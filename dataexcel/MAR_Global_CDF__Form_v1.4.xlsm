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59b14b771156966/Bureau/"/>
    </mc:Choice>
  </mc:AlternateContent>
  <xr:revisionPtr revIDLastSave="0" documentId="8_{2D617A39-D7DD-4ACE-AED0-68922538AEB8}" xr6:coauthVersionLast="47" xr6:coauthVersionMax="47" xr10:uidLastSave="{00000000-0000-0000-0000-000000000000}"/>
  <workbookProtection workbookAlgorithmName="SHA-512" workbookHashValue="lUdUpPIrvtNtyL2sV5GHGTxmzj/Cs51keE9gKF1lTBiF3x+UVMwUJtG1jmvqCUz8JT0a0Q0Zc9Hkv1HftmiVXA==" workbookSaltValue="6SxdfQ8TmpleSHihKy6iSg==" workbookSpinCount="100000" lockStructure="1"/>
  <bookViews>
    <workbookView xWindow="-120" yWindow="-120" windowWidth="20730" windowHeight="11160" firstSheet="2" activeTab="3" xr2:uid="{00000000-000D-0000-FFFF-FFFF00000000}"/>
  </bookViews>
  <sheets>
    <sheet name="User Guide" sheetId="6" r:id="rId1"/>
    <sheet name="Cartographie Career Navigator" sheetId="11" r:id="rId2"/>
    <sheet name="Incentives (PPP)" sheetId="16" r:id="rId3"/>
    <sheet name="Recruitment" sheetId="1" r:id="rId4"/>
    <sheet name="CDF Data" sheetId="4" r:id="rId5"/>
    <sheet name="Data Entry" sheetId="5" r:id="rId6"/>
    <sheet name="Mandatory Fields" sheetId="7" r:id="rId7"/>
    <sheet name="LOV" sheetId="2" state="hidden" r:id="rId8"/>
    <sheet name="Sheet3" sheetId="3" state="hidden" r:id="rId9"/>
    <sheet name="RULE JOB CODE FGDC" sheetId="12" r:id="rId10"/>
    <sheet name="RULE JOB CODE CORPO" sheetId="13" r:id="rId11"/>
    <sheet name="Période d'essai CDF" sheetId="15" r:id="rId12"/>
    <sheet name="PW" sheetId="10" state="hidden" r:id="rId13"/>
  </sheets>
  <externalReferences>
    <externalReference r:id="rId14"/>
    <externalReference r:id="rId15"/>
    <externalReference r:id="rId16"/>
    <externalReference r:id="rId17"/>
    <externalReference r:id="rId18"/>
  </externalReferences>
  <definedNames>
    <definedName name="ans">LOV!$E$2:$E$56</definedName>
    <definedName name="anyear">LOV!$D$25:$D$56</definedName>
    <definedName name="ApprenLevel">'[1]DROP DOWN PSA'!$A$178:$A$188</definedName>
    <definedName name="appsource">LOV!$A$3:$A$12</definedName>
    <definedName name="appsrce" localSheetId="11">#REF!</definedName>
    <definedName name="appsrce">#REF!</definedName>
    <definedName name="Bids_Clause" localSheetId="11">'[2]drop douwn'!$K$347:$L$360</definedName>
    <definedName name="Bids_Clause">'[1]drop douwn'!$K$347:$L$360</definedName>
    <definedName name="BirthCountry">LOV!$G$2:$G$257</definedName>
    <definedName name="BLocation">LOV!$G$1:$G$257</definedName>
    <definedName name="BUnitv5" localSheetId="11">[2]Sheet2!$H$21:$H$35</definedName>
    <definedName name="BUnitv5">[1]Sheet2!$H$21:$H$35</definedName>
    <definedName name="BusinessUnit">LOV!$A$40:$A$43</definedName>
    <definedName name="career" localSheetId="11">#REF!</definedName>
    <definedName name="career">#REF!</definedName>
    <definedName name="careerpthway" localSheetId="11">#REF!</definedName>
    <definedName name="careerpthway">#REF!</definedName>
    <definedName name="CDD_single" localSheetId="11">'[2]drop douwn'!$R$13:$S$14</definedName>
    <definedName name="CDD_single">'[1]drop douwn'!$R$13:$S$14</definedName>
    <definedName name="choices_single" localSheetId="11">'[2]drop douwn'!$A$276:$B$278</definedName>
    <definedName name="choices_single">'[1]drop douwn'!$A$276:$B$278</definedName>
    <definedName name="choices_single2" localSheetId="11">'[2]drop douwn'!$A$281:$B$282</definedName>
    <definedName name="choices_single2">'[1]drop douwn'!$A$281:$B$282</definedName>
    <definedName name="citizenship">LOV!$A$24:$A$27</definedName>
    <definedName name="coef_post_single" localSheetId="11">'[2]drop douwn'!$AK$3:$AM$27</definedName>
    <definedName name="coef_post_single">'[1]drop douwn'!$AK$3:$AM$27</definedName>
    <definedName name="country2" localSheetId="11">#REF!</definedName>
    <definedName name="country2">#REF!</definedName>
    <definedName name="Cpathway">LOV!$B$110:$B$123</definedName>
    <definedName name="crlvl" localSheetId="11">#REF!</definedName>
    <definedName name="crlvl">#REF!</definedName>
    <definedName name="d1ys" localSheetId="11">#REF!</definedName>
    <definedName name="d1ys">#REF!</definedName>
    <definedName name="date" localSheetId="11">#REF!</definedName>
    <definedName name="date" localSheetId="10">#REF!</definedName>
    <definedName name="date" localSheetId="9">#REF!</definedName>
    <definedName name="date">LOV!$B$2:$B$33</definedName>
    <definedName name="day">[3]dropdown!$F$1:$F$32</definedName>
    <definedName name="Days" localSheetId="11">'[2]drop douwn'!$I$3:$I$33</definedName>
    <definedName name="Days">'[1]drop douwn'!$I$3:$I$33</definedName>
    <definedName name="days1" localSheetId="11">#REF!</definedName>
    <definedName name="days1">#REF!</definedName>
    <definedName name="days2" localSheetId="11">#REF!</definedName>
    <definedName name="days2">#REF!</definedName>
    <definedName name="days6" localSheetId="11">#REF!</definedName>
    <definedName name="days6">#REF!</definedName>
    <definedName name="daysdays" localSheetId="11">#REF!</definedName>
    <definedName name="daysdays">#REF!</definedName>
    <definedName name="df">'[4]drop douwn'!$I$3:$I$33</definedName>
    <definedName name="disability" localSheetId="11">#REF!</definedName>
    <definedName name="disability">#REF!</definedName>
    <definedName name="disable" localSheetId="11">#REF!</definedName>
    <definedName name="disable">#REF!</definedName>
    <definedName name="durped" localSheetId="11">#REF!</definedName>
    <definedName name="durped">#REF!</definedName>
    <definedName name="durproper" localSheetId="11">#REF!</definedName>
    <definedName name="durproper">#REF!</definedName>
    <definedName name="educ">LOV!$A$30:$A$37</definedName>
    <definedName name="educinfo">LOV!$B$164:$B$190</definedName>
    <definedName name="EmergencyFR">LOV!$C$222:$C$256</definedName>
    <definedName name="EmpType" localSheetId="11">#REF!</definedName>
    <definedName name="EmpType">#REF!</definedName>
    <definedName name="function">LOV!$B$127:$B$141</definedName>
    <definedName name="gender1" localSheetId="11">#REF!</definedName>
    <definedName name="gender1">#REF!</definedName>
    <definedName name="gnders">[5]dropdown!$A$67:$A$69</definedName>
    <definedName name="Grade">LOV!$B$71:$B$97</definedName>
    <definedName name="gradev5" localSheetId="11">'[2]Final PSA drop Down'!$AB$92:$AB$101</definedName>
    <definedName name="gradev5">'[1]Final PSA drop Down'!$AB$92:$AB$101</definedName>
    <definedName name="hoursa" localSheetId="11">#REF!</definedName>
    <definedName name="hoursa">#REF!</definedName>
    <definedName name="hrs" localSheetId="11">#REF!</definedName>
    <definedName name="hrs">#REF!</definedName>
    <definedName name="hrsprday" localSheetId="11">#REF!</definedName>
    <definedName name="hrsprday">#REF!</definedName>
    <definedName name="Incentive">LOV!$B$152:$B$157</definedName>
    <definedName name="incntv">[5]dropdown!$A$32:$A$45</definedName>
    <definedName name="jbtle" localSheetId="11">#REF!</definedName>
    <definedName name="jbtle">#REF!</definedName>
    <definedName name="jobcode">LOV!$B$59:$B$67</definedName>
    <definedName name="jobcode19" localSheetId="11">'[2]DROP DOWN PSA'!$D$59:$D$94</definedName>
    <definedName name="jobcode19">'[1]DROP DOWN PSA'!$D$58:$D$94</definedName>
    <definedName name="jobtitle">LOV!$A$56:$A$243</definedName>
    <definedName name="jobtitle1" localSheetId="11">#REF!</definedName>
    <definedName name="jobtitle1">#REF!</definedName>
    <definedName name="LaborFACIDv2" localSheetId="11">'[2]Final PSA drop Down'!$AP$39:$AP$50</definedName>
    <definedName name="LaborFACIDv2">'[1]Final PSA drop Down'!$AP$39:$AP$50</definedName>
    <definedName name="level" localSheetId="11">#REF!</definedName>
    <definedName name="level">#REF!</definedName>
    <definedName name="levelv1">Recruitment!$A$156:$A$172</definedName>
    <definedName name="levelv2">Recruitment!$B$156:$B$163</definedName>
    <definedName name="LevelV5" localSheetId="11">[2]Recruitment!$A$162:$A$179</definedName>
    <definedName name="LevelV5">[1]Recruitment!$A$163:$A$180</definedName>
    <definedName name="linkemer">LOV!$B$223:$B$255</definedName>
    <definedName name="location">LOV!$A$45:$A$48</definedName>
    <definedName name="m1ys" localSheetId="11">#REF!</definedName>
    <definedName name="m1ys">#REF!</definedName>
    <definedName name="marital">LOV!$B$42:$B$46</definedName>
    <definedName name="meal_single" localSheetId="11">'[2]drop douwn'!$AC$109:$AD$110</definedName>
    <definedName name="meal_single">'[1]drop douwn'!$AC$109:$AD$110</definedName>
    <definedName name="MF" localSheetId="11">#REF!</definedName>
    <definedName name="MF">#REF!</definedName>
    <definedName name="Miss" localSheetId="11">#REF!</definedName>
    <definedName name="Miss">#REF!</definedName>
    <definedName name="Mobility_Table" localSheetId="11">[2]Recruitment!$AA$49:$AE$398</definedName>
    <definedName name="Mobility_Table">[1]Recruitment!$AA$49:$AE$399</definedName>
    <definedName name="mois">LOV!$C$2:$C$14</definedName>
    <definedName name="month" localSheetId="11">#REF!</definedName>
    <definedName name="month">#REF!</definedName>
    <definedName name="monthsvlookup" localSheetId="11">'[2]drop douwn'!$Q$25:$R$36</definedName>
    <definedName name="monthsvlookup">'[1]drop douwn'!$Q$25:$R$36</definedName>
    <definedName name="monthsvlookup2" localSheetId="11">'[2]drop douwn'!$Q$39:$R$50</definedName>
    <definedName name="monthsvlookup2">'[1]drop douwn'!$Q$39:$R$50</definedName>
    <definedName name="mrme" localSheetId="11">#REF!</definedName>
    <definedName name="mrme">#REF!</definedName>
    <definedName name="MrMS" localSheetId="11">#REF!</definedName>
    <definedName name="MrMS">#REF!</definedName>
    <definedName name="MultiChoix">OFFSET(Table1[[#Headers],[menu]],1,MATCH(Recruitment!$E$128,Table1[#Headers],0)-1,COUNTA(OFFSET(Table1[[#Headers],[menu]],1,MATCH(Recruitment!$E$128,Table1[#Headers],0)-1,27)),1)</definedName>
    <definedName name="NAtionality">LOV!$C$458:$C$687</definedName>
    <definedName name="ncntvs" localSheetId="11">#REF!</definedName>
    <definedName name="ncntvs">#REF!</definedName>
    <definedName name="newinc_single" localSheetId="11">'[2]drop douwn'!$K$1258:$L$1260</definedName>
    <definedName name="newinc_single">'[1]drop douwn'!$K$1258:$L$1260</definedName>
    <definedName name="newjc">LOV!$A$1250:$A$1275</definedName>
    <definedName name="no" localSheetId="11">#REF!</definedName>
    <definedName name="no">#REF!</definedName>
    <definedName name="noticedperiod" localSheetId="11">#REF!</definedName>
    <definedName name="noticedperiod">#REF!</definedName>
    <definedName name="ntceped" localSheetId="11">#REF!</definedName>
    <definedName name="ntceped">#REF!</definedName>
    <definedName name="ntly" localSheetId="11">#REF!</definedName>
    <definedName name="ntly">#REF!</definedName>
    <definedName name="pattern" localSheetId="11">#REF!</definedName>
    <definedName name="pattern">#REF!</definedName>
    <definedName name="period" localSheetId="11">#REF!</definedName>
    <definedName name="period">#REF!</definedName>
    <definedName name="preferredno">LOV!$B$160:$B$162</definedName>
    <definedName name="probdays" localSheetId="11">#REF!</definedName>
    <definedName name="probdays">#REF!</definedName>
    <definedName name="probm1" localSheetId="11">#REF!</definedName>
    <definedName name="probm1">#REF!</definedName>
    <definedName name="PSAbenefitplan" localSheetId="11">'[2]Final PSA drop Down'!$F$114:$F$117</definedName>
    <definedName name="PSAbenefitplan">'[1]Final PSA drop Down'!$F$114:$F$117</definedName>
    <definedName name="PSAbirthloc" localSheetId="11">'[2]Final PSA drop Down'!$BJ$89:$BJ$345</definedName>
    <definedName name="PSAbirthloc">'[1]Final PSA drop Down'!$BJ$89:$BJ$345</definedName>
    <definedName name="PSACoefPos" localSheetId="11">'[2]Final PSA drop Down'!$BJ$43:$BJ$67</definedName>
    <definedName name="PSACoefPos">'[1]Final PSA drop Down'!$BJ$43:$BJ$67</definedName>
    <definedName name="PSAday" localSheetId="11">'[2]Final PSA drop Down'!$BL$1:$BL$32</definedName>
    <definedName name="PSAday">'[1]Final PSA drop Down'!$BL$1:$BL$32</definedName>
    <definedName name="PSAEDUCv2" localSheetId="11">'[2]Final PSA drop Down'!$BM$88:$BM$98</definedName>
    <definedName name="PSAEDUCv2">'[1]Final PSA drop Down'!$BM$88:$BM$98</definedName>
    <definedName name="PSAEngPref" localSheetId="11">'[2]Final PSA drop Down'!$H$2:$H$4</definedName>
    <definedName name="PSAEngPref">'[1]Final PSA drop Down'!$H$2:$H$4</definedName>
    <definedName name="PSAFRDept" localSheetId="11">[2]Sheet2!$E$3:$E$111</definedName>
    <definedName name="PSAFRDept">[1]Sheet2!$E$3:$E$111</definedName>
    <definedName name="PSAHolSched" localSheetId="11">'[2]Final PSA drop Down'!$F$120:$F$122</definedName>
    <definedName name="PSAHolSched">'[1]Final PSA drop Down'!$F$120:$F$122</definedName>
    <definedName name="PSAmonth" localSheetId="11">'[2]Final PSA drop Down'!$BM$1:$BM$13</definedName>
    <definedName name="PSAmonth">'[1]Final PSA drop Down'!$BM$1:$BM$13</definedName>
    <definedName name="PSATypeStage" localSheetId="11">'[2]DROP DOWN PSA'!$G$2:$G$10</definedName>
    <definedName name="PSATypeStage">'[1]DROP DOWN PSA'!$G$2:$G$10</definedName>
    <definedName name="PSAyear1" localSheetId="11">'[2]Final PSA drop Down'!$BN$1:$BN$45</definedName>
    <definedName name="PSAyear1">'[1]Final PSA drop Down'!$BN$1:$BN$45</definedName>
    <definedName name="PSAyearstart" localSheetId="11">'[2]Final PSA drop Down'!$BO$1:$BO$16</definedName>
    <definedName name="PSAyearstart">'[1]Final PSA drop Down'!$BO$1:$BO$16</definedName>
    <definedName name="PSAYorN" localSheetId="11">'[2]Final PSA drop Down'!$BJ$2:$BJ$4</definedName>
    <definedName name="PSAYorN">'[1]Final PSA drop Down'!$BJ$2:$BJ$4</definedName>
    <definedName name="PSAYRWP" localSheetId="11">'[2]Final PSA drop Down'!$BD$79:$BD$110</definedName>
    <definedName name="PSAYRWP">'[1]Final PSA drop Down'!$BD$79:$BD$110</definedName>
    <definedName name="Qualificationv5" localSheetId="11">[2]Recruitment!$A$267:$A$338</definedName>
    <definedName name="Qualificationv5">[1]Recruitment!$A$268:$A$339</definedName>
    <definedName name="reason_FTE_single" localSheetId="11">'[2]drop douwn'!$BB$3:$BC$7</definedName>
    <definedName name="reason_FTE_single">'[1]drop douwn'!$BB$3:$BC$7</definedName>
    <definedName name="rehiretype">LOV!$A$51:$A$53</definedName>
    <definedName name="rep_cat_single" localSheetId="11">'[2]drop douwn'!$K$2477:$L$2478</definedName>
    <definedName name="rep_cat_single">'[1]drop douwn'!$K$2477:$L$2478</definedName>
    <definedName name="ReplacementCategory" localSheetId="11">'[2]drop douwn'!$K$2477:$K$2478</definedName>
    <definedName name="ReplacementCategory">'[1]drop douwn'!$K$2477:$K$2478</definedName>
    <definedName name="RFRec">LOV!$A$15:$A$22</definedName>
    <definedName name="SalaryAdminv5">Recruitment!$C$175:$C$184</definedName>
    <definedName name="SalaryAdminv6">Recruitment!$D$175:$D$176</definedName>
    <definedName name="salarygrade">LOV!$D$203:$D$229</definedName>
    <definedName name="salaryPlanv5">Recruitment!$C$175:$C$185</definedName>
    <definedName name="SalaryPv2" localSheetId="11">[2]Recruitment!$A$340:$A$352</definedName>
    <definedName name="SalaryPv2">[1]Recruitment!$A$341:$A$353</definedName>
    <definedName name="schoolgroup2017" localSheetId="11">'[2]drop douwn'!$AO$287:$AO$295</definedName>
    <definedName name="schoolgroup2017">'[1]drop douwn'!$AO$287:$AO$295</definedName>
    <definedName name="SEARCH_RESULTLAST" localSheetId="5">'Data Entry'!$G$133</definedName>
    <definedName name="Signatories2021">'[1]Final PSA drop Down'!$AL$34:$AL$102</definedName>
    <definedName name="signatoryv3">'[2]Final PSA drop Down'!$AL$34:$AL$101</definedName>
    <definedName name="srcehire" localSheetId="11">#REF!</definedName>
    <definedName name="srcehire">#REF!</definedName>
    <definedName name="status" localSheetId="11">#REF!</definedName>
    <definedName name="status">#REF!</definedName>
    <definedName name="status1" localSheetId="11">#REF!</definedName>
    <definedName name="status1">#REF!</definedName>
    <definedName name="Steps">LOV!$B$100:$B$107</definedName>
    <definedName name="title">LOV!$B$37:$B$39</definedName>
    <definedName name="trn_all_single" localSheetId="11">'[2]drop douwn'!$AC$102:$AD$103</definedName>
    <definedName name="trn_all_single">'[1]drop douwn'!$AC$102:$AD$103</definedName>
    <definedName name="typeofCDD2" localSheetId="11">'[2]drop douwn'!$R$12:$R$15</definedName>
    <definedName name="typeofCDD2">'[1]drop douwn'!$R$12:$R$15</definedName>
    <definedName name="typeofcontract">LOV!$B$143:$B$149</definedName>
    <definedName name="UpdatedJC">LOV!$E$1250:$E$1302</definedName>
    <definedName name="updatedJT">LOV!$D$266:$D$492</definedName>
    <definedName name="Updatedyear">LOV!$R$2:$R$16</definedName>
    <definedName name="URSAF_NUM" localSheetId="11">'[2]drop douwn'!$AZ$181:$AZ$206</definedName>
    <definedName name="URSAF_NUM">'[1]drop douwn'!$AZ$181:$AZ$206</definedName>
    <definedName name="URSAFF_NAME" localSheetId="11">'[2]drop douwn'!$AY$181:$AY$209</definedName>
    <definedName name="URSAFF_NAME">'[1]drop douwn'!$AY$181:$AY$209</definedName>
    <definedName name="visastatus">LOV!$B$216:$B$219</definedName>
    <definedName name="visatype">LOV!$B$194:$B$213</definedName>
    <definedName name="visav2">'[1]DROP DOWN PSA'!$D$163:$D$186</definedName>
    <definedName name="visayear">LOV!$E$61:$E$97</definedName>
    <definedName name="workpatt_single" localSheetId="11">'[2]drop douwn'!$O$20:$P$21</definedName>
    <definedName name="workpatt_single">'[1]drop douwn'!$O$20:$P$21</definedName>
    <definedName name="wrkhrs" localSheetId="11">#REF!</definedName>
    <definedName name="wrkhrs">#REF!</definedName>
    <definedName name="wrkptrn" localSheetId="11">#REF!</definedName>
    <definedName name="wrkptrn">#REF!</definedName>
    <definedName name="year">LOV!$D$2:$D$23</definedName>
    <definedName name="yearrec">[3]dropdown!$H$1:$H$11</definedName>
    <definedName name="YESN">[5]dropdown!$M$5:$M$7</definedName>
    <definedName name="YESNO" localSheetId="11">#REF!</definedName>
    <definedName name="YESNO" localSheetId="10">#REF!</definedName>
    <definedName name="YESNO" localSheetId="9">#REF!</definedName>
    <definedName name="yesno">[3]dropdown!$W$37:$Z$37</definedName>
    <definedName name="yesorno">LOV!$F$2:$F$4</definedName>
    <definedName name="ys" localSheetId="11">#REF!</definedName>
    <definedName name="ys">#REF!</definedName>
  </definedNames>
  <calcPr calcId="191029"/>
</workbook>
</file>

<file path=xl/calcChain.xml><?xml version="1.0" encoding="utf-8"?>
<calcChain xmlns="http://schemas.openxmlformats.org/spreadsheetml/2006/main">
  <c r="C22" i="5" l="1"/>
  <c r="A127" i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D23" i="1" l="1"/>
  <c r="G12" i="5"/>
  <c r="C12" i="5" s="1"/>
  <c r="G11" i="5"/>
  <c r="C11" i="5" s="1"/>
  <c r="C174" i="5"/>
  <c r="C206" i="5"/>
  <c r="C205" i="5"/>
  <c r="C207" i="5"/>
  <c r="C217" i="5"/>
  <c r="E48" i="5"/>
  <c r="C23" i="5"/>
  <c r="C177" i="5" l="1"/>
  <c r="C176" i="5"/>
  <c r="C159" i="5"/>
  <c r="C209" i="1" l="1"/>
  <c r="C154" i="5"/>
  <c r="E26" i="5" l="1"/>
  <c r="C106" i="5" l="1"/>
  <c r="K129" i="1" l="1"/>
  <c r="AA129" i="1" s="1"/>
  <c r="E151" i="5"/>
  <c r="L100" i="1"/>
  <c r="L101" i="1" s="1"/>
  <c r="B209" i="1" l="1"/>
  <c r="F129" i="1"/>
  <c r="AB29" i="2"/>
  <c r="Z29" i="2"/>
  <c r="AJ2" i="2"/>
  <c r="D154" i="5" l="1"/>
  <c r="C152" i="5" l="1"/>
  <c r="C218" i="5" l="1"/>
  <c r="C48" i="5"/>
  <c r="C47" i="5"/>
  <c r="C167" i="5"/>
  <c r="C185" i="5"/>
  <c r="D147" i="1"/>
  <c r="L146" i="1" s="1"/>
  <c r="C158" i="5" l="1"/>
  <c r="D117" i="5"/>
  <c r="D115" i="5"/>
  <c r="D116" i="5" s="1"/>
  <c r="B117" i="5"/>
  <c r="B116" i="5"/>
  <c r="B115" i="5"/>
  <c r="K108" i="5"/>
  <c r="C96" i="5"/>
  <c r="C74" i="5"/>
  <c r="E41" i="5" l="1"/>
  <c r="B227" i="5"/>
  <c r="C104" i="5" s="1"/>
  <c r="C72" i="5"/>
  <c r="AA141" i="1" l="1"/>
  <c r="AA146" i="1"/>
  <c r="K33" i="1"/>
  <c r="H128" i="1" l="1"/>
  <c r="L91" i="1"/>
  <c r="K91" i="1" s="1"/>
  <c r="AA93" i="1" s="1"/>
  <c r="L90" i="1"/>
  <c r="D144" i="1"/>
  <c r="D150" i="1"/>
  <c r="D151" i="1"/>
  <c r="D152" i="1"/>
  <c r="J10" i="2"/>
  <c r="J20" i="2"/>
  <c r="D136" i="1"/>
  <c r="D137" i="1"/>
  <c r="J19" i="2"/>
  <c r="D118" i="1"/>
  <c r="J9" i="2"/>
  <c r="K90" i="1" l="1"/>
  <c r="H65" i="5"/>
  <c r="H60" i="5"/>
  <c r="AA19" i="1"/>
  <c r="K86" i="1" l="1"/>
  <c r="H63" i="5" l="1"/>
  <c r="H62" i="5"/>
  <c r="H64" i="5"/>
  <c r="K34" i="1"/>
  <c r="AA33" i="1"/>
  <c r="A9" i="1" l="1"/>
  <c r="A10" i="1" s="1"/>
  <c r="A11" i="1" s="1"/>
  <c r="A12" i="1" s="1"/>
  <c r="A13" i="1" s="1"/>
  <c r="A14" i="1" s="1"/>
  <c r="A15" i="1" s="1"/>
  <c r="A16" i="1" s="1"/>
  <c r="A17" i="1" s="1"/>
  <c r="A18" i="1" s="1"/>
  <c r="A22" i="1" s="1"/>
  <c r="K119" i="1" l="1"/>
  <c r="K118" i="1"/>
  <c r="D105" i="5"/>
  <c r="C105" i="5"/>
  <c r="D104" i="5" l="1"/>
  <c r="E7" i="2"/>
  <c r="E6" i="2" s="1"/>
  <c r="E5" i="2" s="1"/>
  <c r="E4" i="2" s="1"/>
  <c r="E3" i="2" s="1"/>
  <c r="C194" i="5" l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41" i="1" s="1"/>
  <c r="A42" i="1" s="1"/>
  <c r="A43" i="1" s="1"/>
  <c r="A44" i="1" s="1"/>
  <c r="A45" i="1" s="1"/>
  <c r="A46" i="1" s="1"/>
  <c r="A47" i="1" s="1"/>
  <c r="A49" i="1" s="1"/>
  <c r="A50" i="1" s="1"/>
  <c r="A51" i="1" s="1"/>
  <c r="A52" i="1" s="1"/>
  <c r="A53" i="1" s="1"/>
  <c r="A54" i="1" s="1"/>
  <c r="A55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3" i="1" s="1"/>
  <c r="A74" i="1" s="1"/>
  <c r="A75" i="1" s="1"/>
  <c r="A79" i="1" s="1"/>
  <c r="A80" i="1" s="1"/>
  <c r="A81" i="1" s="1"/>
  <c r="A86" i="1" s="1"/>
  <c r="A87" i="1" s="1"/>
  <c r="A90" i="1" s="1"/>
  <c r="A91" i="1" s="1"/>
  <c r="A94" i="1" s="1"/>
  <c r="D96" i="1" l="1"/>
  <c r="D121" i="1"/>
  <c r="D122" i="1" s="1"/>
  <c r="A95" i="1" l="1"/>
  <c r="A96" i="1" s="1"/>
  <c r="A97" i="1" s="1"/>
  <c r="A98" i="1" s="1"/>
  <c r="A99" i="1" s="1"/>
  <c r="A100" i="1" s="1"/>
  <c r="A101" i="1" s="1"/>
  <c r="A105" i="1" s="1"/>
  <c r="A106" i="1" s="1"/>
  <c r="A107" i="1" s="1"/>
  <c r="A108" i="1" s="1"/>
  <c r="A110" i="1" s="1"/>
  <c r="A111" i="1" s="1"/>
  <c r="A112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C44" i="5"/>
  <c r="A150" i="1" l="1"/>
  <c r="A151" i="1" s="1"/>
  <c r="A152" i="1" s="1"/>
  <c r="A153" i="1" s="1"/>
  <c r="D95" i="1"/>
  <c r="C93" i="5" l="1"/>
  <c r="C29" i="5" l="1"/>
  <c r="I38" i="1" l="1"/>
  <c r="K132" i="1"/>
  <c r="K29" i="1" l="1"/>
  <c r="AA29" i="1" s="1"/>
  <c r="C210" i="5" l="1"/>
  <c r="C211" i="5"/>
  <c r="L118" i="1" l="1"/>
  <c r="L119" i="1" s="1"/>
  <c r="C32" i="5"/>
  <c r="K65" i="1" l="1"/>
  <c r="K61" i="1"/>
  <c r="C118" i="5" l="1"/>
  <c r="B118" i="5"/>
  <c r="D118" i="5" s="1"/>
  <c r="K114" i="5"/>
  <c r="K113" i="5"/>
  <c r="K112" i="5"/>
  <c r="K110" i="5"/>
  <c r="K109" i="5"/>
  <c r="C216" i="5"/>
  <c r="K53" i="1"/>
  <c r="L53" i="1" s="1"/>
  <c r="C209" i="5" s="1"/>
  <c r="K52" i="1"/>
  <c r="L52" i="1" s="1"/>
  <c r="C208" i="5" s="1"/>
  <c r="C197" i="5"/>
  <c r="K45" i="1"/>
  <c r="L45" i="1" s="1"/>
  <c r="C199" i="5" s="1"/>
  <c r="K44" i="1"/>
  <c r="L44" i="1" s="1"/>
  <c r="C198" i="5" s="1"/>
  <c r="D175" i="5" l="1"/>
  <c r="C201" i="5"/>
  <c r="C200" i="5"/>
  <c r="L115" i="1"/>
  <c r="C71" i="5"/>
  <c r="C64" i="5"/>
  <c r="C65" i="5"/>
  <c r="C66" i="5"/>
  <c r="C128" i="5" l="1"/>
  <c r="M116" i="1"/>
  <c r="C170" i="5"/>
  <c r="C169" i="5"/>
  <c r="C18" i="5"/>
  <c r="D47" i="5"/>
  <c r="C43" i="5"/>
  <c r="C42" i="5"/>
  <c r="C41" i="5"/>
  <c r="C40" i="5"/>
  <c r="C37" i="5"/>
  <c r="C31" i="5"/>
  <c r="C30" i="5"/>
  <c r="C24" i="5"/>
  <c r="C17" i="5"/>
  <c r="C129" i="5" l="1"/>
  <c r="K138" i="1"/>
  <c r="AA138" i="1" s="1"/>
  <c r="AA65" i="1" l="1"/>
  <c r="C108" i="5" l="1"/>
  <c r="K35" i="1" l="1"/>
  <c r="C16" i="5" s="1"/>
  <c r="AA132" i="1" l="1"/>
  <c r="K126" i="1"/>
  <c r="AA126" i="1" s="1"/>
  <c r="K94" i="1"/>
  <c r="AA94" i="1" s="1"/>
  <c r="L98" i="1"/>
  <c r="AA119" i="1"/>
  <c r="AA61" i="1"/>
  <c r="K36" i="1"/>
  <c r="AA36" i="1" s="1"/>
  <c r="K19" i="1"/>
  <c r="AA118" i="1"/>
  <c r="K111" i="5"/>
  <c r="C115" i="5" s="1"/>
  <c r="K98" i="1" l="1"/>
  <c r="AA98" i="1" s="1"/>
  <c r="H61" i="5"/>
  <c r="C67" i="5" s="1"/>
  <c r="C151" i="5" s="1"/>
  <c r="L99" i="1"/>
  <c r="C73" i="5" l="1"/>
  <c r="L114" i="1" l="1"/>
  <c r="D140" i="1"/>
  <c r="K110" i="1"/>
  <c r="AA110" i="1" s="1"/>
  <c r="K63" i="1"/>
  <c r="AA63" i="1" s="1"/>
  <c r="K24" i="1"/>
  <c r="AA24" i="1" s="1"/>
  <c r="K23" i="1"/>
  <c r="AA23" i="1" s="1"/>
  <c r="K22" i="1"/>
  <c r="D138" i="1"/>
  <c r="C26" i="5" l="1"/>
  <c r="C21" i="5"/>
  <c r="C7" i="5"/>
  <c r="C36" i="5"/>
  <c r="L116" i="1"/>
  <c r="D116" i="1" s="1"/>
  <c r="C130" i="5" s="1"/>
  <c r="C58" i="5"/>
  <c r="L148" i="1"/>
  <c r="C161" i="5" s="1"/>
  <c r="L147" i="1"/>
  <c r="D148" i="1" s="1"/>
  <c r="K114" i="1"/>
  <c r="K136" i="1"/>
  <c r="AA136" i="1" s="1"/>
  <c r="C117" i="5"/>
  <c r="K135" i="1"/>
  <c r="AA135" i="1" s="1"/>
  <c r="C116" i="5"/>
  <c r="C10" i="5"/>
  <c r="AA22" i="1"/>
  <c r="D131" i="1"/>
  <c r="K130" i="1" s="1"/>
  <c r="AA130" i="1" s="1"/>
  <c r="C150" i="5" l="1"/>
  <c r="C183" i="5"/>
  <c r="C157" i="5"/>
  <c r="C175" i="5" s="1"/>
  <c r="C135" i="5"/>
  <c r="K116" i="1"/>
  <c r="AA114" i="1"/>
  <c r="C168" i="5"/>
  <c r="D168" i="5" s="1"/>
  <c r="C142" i="5"/>
  <c r="AA147" i="1"/>
  <c r="D92" i="5"/>
  <c r="C112" i="5"/>
  <c r="D112" i="5" s="1"/>
  <c r="J133" i="1"/>
  <c r="D132" i="1" s="1"/>
  <c r="K131" i="1" s="1"/>
  <c r="AA131" i="1" s="1"/>
</calcChain>
</file>

<file path=xl/sharedStrings.xml><?xml version="1.0" encoding="utf-8"?>
<sst xmlns="http://schemas.openxmlformats.org/spreadsheetml/2006/main" count="11779" uniqueCount="6762">
  <si>
    <t xml:space="preserve">Item Code </t>
  </si>
  <si>
    <r>
      <t>HR information</t>
    </r>
    <r>
      <rPr>
        <b/>
        <sz val="11"/>
        <color rgb="FFFFC000"/>
        <rFont val="Arial"/>
        <family val="2"/>
      </rPr>
      <t xml:space="preserve"> (To be filled by recruitement)</t>
    </r>
  </si>
  <si>
    <t>Nom du responsable recrutement*</t>
  </si>
  <si>
    <t>Hiring manager's name*</t>
  </si>
  <si>
    <t>Matricule du manager*</t>
  </si>
  <si>
    <t>Supervisor staff number*</t>
  </si>
  <si>
    <t xml:space="preserve">Nom du Manager* </t>
  </si>
  <si>
    <t>Supervisor's name*</t>
  </si>
  <si>
    <t xml:space="preserve">Application source* </t>
  </si>
  <si>
    <t>Motif de recrutement*</t>
  </si>
  <si>
    <t>Reason for recruitment*</t>
  </si>
  <si>
    <t>Approbation*</t>
  </si>
  <si>
    <t>Approval*</t>
  </si>
  <si>
    <t>Nom de l'approbateur d'embauche*</t>
  </si>
  <si>
    <t>Hiring approver name*</t>
  </si>
  <si>
    <t>Date d'approbation de l'embauche*</t>
  </si>
  <si>
    <t>Approval date*</t>
  </si>
  <si>
    <t>Civilité*</t>
  </si>
  <si>
    <t>Title*</t>
  </si>
  <si>
    <t>Sexe*</t>
  </si>
  <si>
    <t>Gender*</t>
  </si>
  <si>
    <t>Statut marital*</t>
  </si>
  <si>
    <t>Marital status*</t>
  </si>
  <si>
    <t>Prénom*</t>
  </si>
  <si>
    <t>First name*</t>
  </si>
  <si>
    <t>Nom*</t>
  </si>
  <si>
    <t>2e prénom</t>
  </si>
  <si>
    <t>Nom d'usage</t>
  </si>
  <si>
    <t>Preferred name</t>
  </si>
  <si>
    <t>Numéro CIN*</t>
  </si>
  <si>
    <t>National ID number*</t>
  </si>
  <si>
    <t>Numéro CIMR*</t>
  </si>
  <si>
    <r>
      <t xml:space="preserve">Pension Number* </t>
    </r>
    <r>
      <rPr>
        <i/>
        <sz val="11"/>
        <rFont val="Calibri"/>
        <family val="2"/>
      </rPr>
      <t>(Only if the status is Permanent)</t>
    </r>
  </si>
  <si>
    <t>Numéro CNSS*</t>
  </si>
  <si>
    <t xml:space="preserve">CNSS number* </t>
  </si>
  <si>
    <t>Date de naissance*</t>
  </si>
  <si>
    <t>Date of birth*</t>
  </si>
  <si>
    <t>Pays de naissance*</t>
  </si>
  <si>
    <t>Ville*</t>
  </si>
  <si>
    <t>City*</t>
  </si>
  <si>
    <t>Code postal</t>
  </si>
  <si>
    <t>Zip</t>
  </si>
  <si>
    <t>Pays*</t>
  </si>
  <si>
    <t>Country*</t>
  </si>
  <si>
    <t>Numéro de téléphone mobile</t>
  </si>
  <si>
    <t>Mobile phone number</t>
  </si>
  <si>
    <t>Niveau de diplôme le plus élevé*</t>
  </si>
  <si>
    <t>Education*</t>
  </si>
  <si>
    <t>Employé précédement chez CGI*</t>
  </si>
  <si>
    <t>Previous employement for CGI*</t>
  </si>
  <si>
    <t>Date de fin*</t>
  </si>
  <si>
    <t>End date*</t>
  </si>
  <si>
    <t>Ancien matricule*</t>
  </si>
  <si>
    <t>Fomer Staff number*</t>
  </si>
  <si>
    <t>Entité juridique*</t>
  </si>
  <si>
    <t>Company*</t>
  </si>
  <si>
    <t>Unité d'Affaires*</t>
  </si>
  <si>
    <t>Business Unit*</t>
  </si>
  <si>
    <t>Departement RH*</t>
  </si>
  <si>
    <t>HR Department*</t>
  </si>
  <si>
    <t>Code Département RH*</t>
  </si>
  <si>
    <t>HR Department Code*</t>
  </si>
  <si>
    <t>Lieu d'exécution du contrat*</t>
  </si>
  <si>
    <t>Location*</t>
  </si>
  <si>
    <t>Type de demande de recrutement si conversion*</t>
  </si>
  <si>
    <t>Type of Request if rehire*</t>
  </si>
  <si>
    <t>Date de début du contrat*</t>
  </si>
  <si>
    <t>Start date of employment*</t>
  </si>
  <si>
    <t>Date d'ancienneté</t>
  </si>
  <si>
    <t>Adjusted Service Date* (applicable for rehire employees)</t>
  </si>
  <si>
    <t>Intitulé de poste*</t>
  </si>
  <si>
    <t>Job Code *</t>
  </si>
  <si>
    <t>Filière*</t>
  </si>
  <si>
    <t>Fonction*</t>
  </si>
  <si>
    <t>Function*</t>
  </si>
  <si>
    <t>Steps</t>
  </si>
  <si>
    <t>Salary Plan</t>
  </si>
  <si>
    <t>GL Pay Type*</t>
  </si>
  <si>
    <t>Billable*</t>
  </si>
  <si>
    <t>Grand livre de la paie*</t>
  </si>
  <si>
    <t>Facturable*</t>
  </si>
  <si>
    <t xml:space="preserve">Salaire de base mensuel*(Ne concerne pas les stagiaires) </t>
  </si>
  <si>
    <t>Monthly Basic Salary* (Not applicable for trainee)</t>
  </si>
  <si>
    <t>Salaire Brut mensuel*</t>
  </si>
  <si>
    <t>Salaire Brut annuel*</t>
  </si>
  <si>
    <t>Annual gross salary*</t>
  </si>
  <si>
    <t>Salaire net mensuel*</t>
  </si>
  <si>
    <t>Net monthly salary*</t>
  </si>
  <si>
    <r>
      <t xml:space="preserve">Avantages et indemnité </t>
    </r>
    <r>
      <rPr>
        <i/>
        <u/>
        <sz val="11"/>
        <color rgb="FFFF0000"/>
        <rFont val="Calibri"/>
        <family val="2"/>
      </rPr>
      <t xml:space="preserve">(ne concerne pas la stagiaires) </t>
    </r>
  </si>
  <si>
    <r>
      <t xml:space="preserve">Benefits &amp; Allowance </t>
    </r>
    <r>
      <rPr>
        <i/>
        <u/>
        <sz val="11"/>
        <color rgb="FFFF0000"/>
        <rFont val="Calibri"/>
        <family val="2"/>
      </rPr>
      <t>( Not applicable for trainee)</t>
    </r>
  </si>
  <si>
    <t>Indemnité de repas*</t>
  </si>
  <si>
    <t>Meal*</t>
  </si>
  <si>
    <t>Transports*</t>
  </si>
  <si>
    <t>Transportation*</t>
  </si>
  <si>
    <t>Type de variable</t>
  </si>
  <si>
    <t>Incentives</t>
  </si>
  <si>
    <t xml:space="preserve">Taux du variable* </t>
  </si>
  <si>
    <t>Incentive rate* (Only use for permanent)</t>
  </si>
  <si>
    <t>Congé annuel*</t>
  </si>
  <si>
    <t>Annual Leave*</t>
  </si>
  <si>
    <t>Car Allowance</t>
  </si>
  <si>
    <t>Oui - Yes</t>
  </si>
  <si>
    <t>Date de fin de la période d'essai*</t>
  </si>
  <si>
    <t>End date of probation period*</t>
  </si>
  <si>
    <t>Période d'essai* (uniquement pour CDI &amp; CDD)</t>
  </si>
  <si>
    <t>Probation period*(Only if permanent &amp; Fixed term contract CDD)</t>
  </si>
  <si>
    <t>Passeport / Passport</t>
  </si>
  <si>
    <r>
      <t xml:space="preserve">Statut Citoyen* </t>
    </r>
    <r>
      <rPr>
        <sz val="10"/>
        <rFont val="Arial"/>
        <family val="2"/>
      </rPr>
      <t>(à compléter pour tous)</t>
    </r>
  </si>
  <si>
    <t>Citizenship Status*</t>
  </si>
  <si>
    <r>
      <t xml:space="preserve">Nationalité* </t>
    </r>
    <r>
      <rPr>
        <sz val="10"/>
        <rFont val="Arial"/>
        <family val="2"/>
      </rPr>
      <t>(à compléter pour tous)</t>
    </r>
  </si>
  <si>
    <t>Numéro du passeport</t>
  </si>
  <si>
    <t>Passport Number</t>
  </si>
  <si>
    <t>Date de délivrance</t>
  </si>
  <si>
    <t>Issue Date</t>
  </si>
  <si>
    <t>Date de fin de validité</t>
  </si>
  <si>
    <t>Expiration Date</t>
  </si>
  <si>
    <t>Ville</t>
  </si>
  <si>
    <t>City</t>
  </si>
  <si>
    <t>Délivré par/ Autorité</t>
  </si>
  <si>
    <t>Authority</t>
  </si>
  <si>
    <t>Authorisation de travail / Visa / Permit Data</t>
  </si>
  <si>
    <t>Type*</t>
  </si>
  <si>
    <t>Type of Visa*</t>
  </si>
  <si>
    <r>
      <t xml:space="preserve">Statut* </t>
    </r>
    <r>
      <rPr>
        <sz val="10"/>
        <rFont val="Arial"/>
        <family val="2"/>
      </rPr>
      <t>(si procédure changement de statut ou introduction, indiquer "Demandé")</t>
    </r>
  </si>
  <si>
    <t>Status*</t>
  </si>
  <si>
    <t>Work permit number</t>
  </si>
  <si>
    <t>Date de délivrance*</t>
  </si>
  <si>
    <t>Issue date*</t>
  </si>
  <si>
    <t>Date d'expiration*</t>
  </si>
  <si>
    <t>Expiration Date*</t>
  </si>
  <si>
    <t>Délivré par/ Autorité*</t>
  </si>
  <si>
    <t>Issuing authority*</t>
  </si>
  <si>
    <t>Lieu de délivrance</t>
  </si>
  <si>
    <t>Issue place</t>
  </si>
  <si>
    <t xml:space="preserve"> Citoyenneté/Passeport </t>
  </si>
  <si>
    <t>Citizenship/Passport</t>
  </si>
  <si>
    <t>menu</t>
  </si>
  <si>
    <t xml:space="preserve">Cabinet de recrutement  / recruiting agency   </t>
  </si>
  <si>
    <t xml:space="preserve">Sites d'offres d'emploi / Job Boards  </t>
  </si>
  <si>
    <t xml:space="preserve">Site carrière CGI  / CGI career site   </t>
  </si>
  <si>
    <t xml:space="preserve">Contacté par l'équipe recrutement CGI / Contacted by CGI Recruitement Team   </t>
  </si>
  <si>
    <t xml:space="preserve">Réseaux sociaux  / Social networks  </t>
  </si>
  <si>
    <t>Recommandé par un employé  / Employee Referral</t>
  </si>
  <si>
    <t>Evenement de recrutement / Recruitment Event</t>
  </si>
  <si>
    <t>Site tiers / Other websites</t>
  </si>
  <si>
    <t xml:space="preserve">Autres / Others </t>
  </si>
  <si>
    <t>Reason for Recruitment</t>
  </si>
  <si>
    <t>Charge de travail supplémentaire - Additional workload</t>
  </si>
  <si>
    <t>Création de poste - Job Creation</t>
  </si>
  <si>
    <t>Remplacement en congée Maternité - Maternity Cover</t>
  </si>
  <si>
    <t>Réengagé avec contrat à durée déterminée - Re-hired on Fixed Term Contract</t>
  </si>
  <si>
    <t>Réengagé avec contrat à durée indéterminée - Re-hired on Permanent Contract</t>
  </si>
  <si>
    <t>Remplacement en congé maladie - Replacement for Sickness</t>
  </si>
  <si>
    <t>Transfert de pays - Country Transfer</t>
  </si>
  <si>
    <t>mois - month</t>
  </si>
  <si>
    <t>janvier - January</t>
  </si>
  <si>
    <t>février - February</t>
  </si>
  <si>
    <t>mars - March</t>
  </si>
  <si>
    <t>avril - April</t>
  </si>
  <si>
    <t>mai - May</t>
  </si>
  <si>
    <t>juin - June</t>
  </si>
  <si>
    <t>juillet - July</t>
  </si>
  <si>
    <t>août - August</t>
  </si>
  <si>
    <t>septembre - September</t>
  </si>
  <si>
    <t>octobre - October</t>
  </si>
  <si>
    <t>novembre - November</t>
  </si>
  <si>
    <t>décembre - December</t>
  </si>
  <si>
    <t>Generic LOVs</t>
  </si>
  <si>
    <t>Non - No</t>
  </si>
  <si>
    <t>M. - Mr.</t>
  </si>
  <si>
    <t>Masculin - Male</t>
  </si>
  <si>
    <t>Mme. - Mrs.</t>
  </si>
  <si>
    <t>Féminin -Female</t>
  </si>
  <si>
    <t>Marital Status - FR</t>
  </si>
  <si>
    <t>Célibataire - Single</t>
  </si>
  <si>
    <t>Divorcé(e) - Divorced</t>
  </si>
  <si>
    <t>Mari é(e) - Married</t>
  </si>
  <si>
    <t>Veuf(ve) - Widowed</t>
  </si>
  <si>
    <t>Birth Country*</t>
  </si>
  <si>
    <t>Afghanistan-Afghanistan</t>
  </si>
  <si>
    <t>AFG</t>
  </si>
  <si>
    <t>Afrique du Sud-South Africa</t>
  </si>
  <si>
    <t>ZAF</t>
  </si>
  <si>
    <t>Albanie-Albania</t>
  </si>
  <si>
    <t>ALB</t>
  </si>
  <si>
    <t>Algérie-Algeria</t>
  </si>
  <si>
    <t>DZA</t>
  </si>
  <si>
    <t>Allemagne-Germany</t>
  </si>
  <si>
    <t>DEU</t>
  </si>
  <si>
    <t>Angleterre-England</t>
  </si>
  <si>
    <t>ENG</t>
  </si>
  <si>
    <t>Angola-Angola</t>
  </si>
  <si>
    <t>AGO</t>
  </si>
  <si>
    <t>Anguilla-Anguilla</t>
  </si>
  <si>
    <t>AIA</t>
  </si>
  <si>
    <t>Antarctique-Antarctica</t>
  </si>
  <si>
    <t>ATA</t>
  </si>
  <si>
    <t>Antigua-et-Barbuda-Antigua and Barbuda</t>
  </si>
  <si>
    <t>ATG</t>
  </si>
  <si>
    <t>Antilles néerlandaises-Netherlands Antilles</t>
  </si>
  <si>
    <t>ANT</t>
  </si>
  <si>
    <t>Arabie saoudite-Saudi Arabia</t>
  </si>
  <si>
    <t>SAU</t>
  </si>
  <si>
    <t>Archipel Aland-Aland Islands</t>
  </si>
  <si>
    <t>ALA</t>
  </si>
  <si>
    <t>Argentine-Argentina</t>
  </si>
  <si>
    <t>ARG</t>
  </si>
  <si>
    <t>Arménie-Armenia</t>
  </si>
  <si>
    <t>ARM</t>
  </si>
  <si>
    <t>Aruba-Aruba</t>
  </si>
  <si>
    <t>ABW</t>
  </si>
  <si>
    <t>Australie-Australia</t>
  </si>
  <si>
    <t>AUS</t>
  </si>
  <si>
    <t>Autriche-Austria</t>
  </si>
  <si>
    <t>AUT</t>
  </si>
  <si>
    <t>Azerbaïdjan-Azerbaijan</t>
  </si>
  <si>
    <t>AZE</t>
  </si>
  <si>
    <t>Bahamas-Bahamas</t>
  </si>
  <si>
    <t>BHS</t>
  </si>
  <si>
    <t>Bahreïn-Bahrain</t>
  </si>
  <si>
    <t>BHR</t>
  </si>
  <si>
    <t>Bangladesh-Bangladesh</t>
  </si>
  <si>
    <t>BGD</t>
  </si>
  <si>
    <t>Barbade-Barbados</t>
  </si>
  <si>
    <t>BRB</t>
  </si>
  <si>
    <t>Bélarus-Belarus</t>
  </si>
  <si>
    <t>BLR</t>
  </si>
  <si>
    <t>Belgique-Belgium</t>
  </si>
  <si>
    <t>BEL</t>
  </si>
  <si>
    <t>Belize-Belize</t>
  </si>
  <si>
    <t>BLZ</t>
  </si>
  <si>
    <t>Bénin-Benin</t>
  </si>
  <si>
    <t>BEN</t>
  </si>
  <si>
    <t>Bermudes-Bermuda</t>
  </si>
  <si>
    <t>BMU</t>
  </si>
  <si>
    <t>Bhoutan-Bhutan</t>
  </si>
  <si>
    <t>BTN</t>
  </si>
  <si>
    <t>Bolivie-Bolivia</t>
  </si>
  <si>
    <t>BOL</t>
  </si>
  <si>
    <t>Bonaire, St Eustatius et Saba-Bonaire, Sint Eustatius &amp; Saba</t>
  </si>
  <si>
    <t>BES</t>
  </si>
  <si>
    <t>Bosnie-Herzégovine-Bosnia and Herzegovina</t>
  </si>
  <si>
    <t>BIH</t>
  </si>
  <si>
    <t>Botswana-Botswana</t>
  </si>
  <si>
    <t>BWA</t>
  </si>
  <si>
    <t>Brésil-Brazil</t>
  </si>
  <si>
    <t>BRA</t>
  </si>
  <si>
    <t>Brunéi Darussalam-Brunei Darussalam</t>
  </si>
  <si>
    <t>BRN</t>
  </si>
  <si>
    <t>Bulgarie-Bulgaria</t>
  </si>
  <si>
    <t>BGR</t>
  </si>
  <si>
    <t>Burkina Faso-Burkina Faso</t>
  </si>
  <si>
    <t>BFA</t>
  </si>
  <si>
    <t>Burundi-Burundi</t>
  </si>
  <si>
    <t>BDI</t>
  </si>
  <si>
    <t>Cambodge-Cambodia</t>
  </si>
  <si>
    <t>KHM</t>
  </si>
  <si>
    <t>Cameroun-Cameroon</t>
  </si>
  <si>
    <t>CMR</t>
  </si>
  <si>
    <t>Canada-Canada</t>
  </si>
  <si>
    <t>CAN</t>
  </si>
  <si>
    <t>Cap-Vert-Cape Verde</t>
  </si>
  <si>
    <t>CPV</t>
  </si>
  <si>
    <t>Chili-Chile</t>
  </si>
  <si>
    <t>CHL</t>
  </si>
  <si>
    <t>Chypre-Cyprus</t>
  </si>
  <si>
    <t>CYP</t>
  </si>
  <si>
    <t>Colombie-Colombia</t>
  </si>
  <si>
    <t>COL</t>
  </si>
  <si>
    <t>Comores-Comoros</t>
  </si>
  <si>
    <t>COM</t>
  </si>
  <si>
    <t>Congo-Congo</t>
  </si>
  <si>
    <t>COG</t>
  </si>
  <si>
    <t>Corée du Sud-Korea, Republic of</t>
  </si>
  <si>
    <t>KOR</t>
  </si>
  <si>
    <t>Costa Rica-Costa Rica</t>
  </si>
  <si>
    <t>CRI</t>
  </si>
  <si>
    <t>Côte d'Ivoire-Cote D'Ivoire</t>
  </si>
  <si>
    <t>CIV</t>
  </si>
  <si>
    <t>Croatie-Croatia</t>
  </si>
  <si>
    <t>HRV</t>
  </si>
  <si>
    <t>Cuba-Cuba</t>
  </si>
  <si>
    <t>CUB</t>
  </si>
  <si>
    <t>Curaçao-Curacao</t>
  </si>
  <si>
    <t>CUW</t>
  </si>
  <si>
    <t>Danemark-Denmark</t>
  </si>
  <si>
    <t>DNK</t>
  </si>
  <si>
    <t>Djibouti-Djibouti</t>
  </si>
  <si>
    <t>DJI</t>
  </si>
  <si>
    <t>Dominique-Dominica</t>
  </si>
  <si>
    <t>DMA</t>
  </si>
  <si>
    <t>Écosse-Scotland</t>
  </si>
  <si>
    <t>SCT</t>
  </si>
  <si>
    <t>Égypte-Egypt</t>
  </si>
  <si>
    <t>EGY</t>
  </si>
  <si>
    <t>El Salvador-El Salvador</t>
  </si>
  <si>
    <t>SLV</t>
  </si>
  <si>
    <t>Émirats arabes unis-United Arab Emirates</t>
  </si>
  <si>
    <t>ARE</t>
  </si>
  <si>
    <t>Équateur-Ecuador</t>
  </si>
  <si>
    <t>ECU</t>
  </si>
  <si>
    <t>Érythrée-Eritrea</t>
  </si>
  <si>
    <t>ERI</t>
  </si>
  <si>
    <t>Espagne-Spain</t>
  </si>
  <si>
    <t>ESP</t>
  </si>
  <si>
    <t>Estonie-Estonia</t>
  </si>
  <si>
    <t>EST</t>
  </si>
  <si>
    <t>États-Unis-United States</t>
  </si>
  <si>
    <t>USA</t>
  </si>
  <si>
    <t>Éthiopie-Ethiopia</t>
  </si>
  <si>
    <t>ETH</t>
  </si>
  <si>
    <t>Ex-Rép. yougoslave Macédoine-Fmr Yugoslav Rep of Macedonia</t>
  </si>
  <si>
    <t>MKD</t>
  </si>
  <si>
    <t>Fédération de Russie-Russian Federation</t>
  </si>
  <si>
    <t>RUS</t>
  </si>
  <si>
    <t>Fidji-Fiji</t>
  </si>
  <si>
    <t>FJI</t>
  </si>
  <si>
    <t>Finlande-Finland</t>
  </si>
  <si>
    <t>FIN</t>
  </si>
  <si>
    <t>France-France</t>
  </si>
  <si>
    <t>FRA</t>
  </si>
  <si>
    <t>Gabon-Gabon</t>
  </si>
  <si>
    <t>GAB</t>
  </si>
  <si>
    <t>Gambie-Gambia</t>
  </si>
  <si>
    <t>GMB</t>
  </si>
  <si>
    <t>Géorgie Sud -îles Sandwich Sud-Sth Georgia &amp; Sth Sandwich Is</t>
  </si>
  <si>
    <t>SGS</t>
  </si>
  <si>
    <t>Géorgie-Georgia</t>
  </si>
  <si>
    <t>GEO</t>
  </si>
  <si>
    <t>Ghana-Ghana</t>
  </si>
  <si>
    <t>GHA</t>
  </si>
  <si>
    <t>Gibraltar-Gibraltar</t>
  </si>
  <si>
    <t>GIB</t>
  </si>
  <si>
    <t>Grèce-Greece</t>
  </si>
  <si>
    <t>GRC</t>
  </si>
  <si>
    <t>Grenade-Grenada</t>
  </si>
  <si>
    <t>GRD</t>
  </si>
  <si>
    <t>Groenland-Greenland</t>
  </si>
  <si>
    <t>GRL</t>
  </si>
  <si>
    <t>Guadeloupe-Guadeloupe</t>
  </si>
  <si>
    <t>GLP</t>
  </si>
  <si>
    <t>Guam-Guam</t>
  </si>
  <si>
    <t>GUM</t>
  </si>
  <si>
    <t>Guatemala-Guatemala</t>
  </si>
  <si>
    <t>GTM</t>
  </si>
  <si>
    <t>Guernsey-Guernsey</t>
  </si>
  <si>
    <t>GGY</t>
  </si>
  <si>
    <t>Guinée équatoriale-Equatorial Guinea</t>
  </si>
  <si>
    <t>GNQ</t>
  </si>
  <si>
    <t>Guinée-Bissau-Guinea-Bissau</t>
  </si>
  <si>
    <t>GNB</t>
  </si>
  <si>
    <t>Guinée-Guinea</t>
  </si>
  <si>
    <t>GIN</t>
  </si>
  <si>
    <t>Guyane française-French Guiana</t>
  </si>
  <si>
    <t>GUF</t>
  </si>
  <si>
    <t>Guyane-Guyana</t>
  </si>
  <si>
    <t>GUY</t>
  </si>
  <si>
    <t>Haïti-Haiti</t>
  </si>
  <si>
    <t>HTI</t>
  </si>
  <si>
    <t>Honduras-Honduras</t>
  </si>
  <si>
    <t>HND</t>
  </si>
  <si>
    <t>Hong Kong-Hong Kong</t>
  </si>
  <si>
    <t>HKG</t>
  </si>
  <si>
    <t>Hongrie-Hungary</t>
  </si>
  <si>
    <t>HUN</t>
  </si>
  <si>
    <t>île Bouvet-Bouvet Island</t>
  </si>
  <si>
    <t>BVT</t>
  </si>
  <si>
    <t>île Christmas-Christmas Island</t>
  </si>
  <si>
    <t>CXR</t>
  </si>
  <si>
    <t>Île de la Réunion-Reunion</t>
  </si>
  <si>
    <t>REU</t>
  </si>
  <si>
    <t>Île de Man-Isle of Man</t>
  </si>
  <si>
    <t>IMN</t>
  </si>
  <si>
    <t>Île Maurice-Mauritius</t>
  </si>
  <si>
    <t>MUS</t>
  </si>
  <si>
    <t>Île Nioué-Niue</t>
  </si>
  <si>
    <t>NIU</t>
  </si>
  <si>
    <t>Île Norfolk-Norfolk Island</t>
  </si>
  <si>
    <t>NFK</t>
  </si>
  <si>
    <t>Île Pitcairn-Pitcairn</t>
  </si>
  <si>
    <t>PCN</t>
  </si>
  <si>
    <t>îles Cayman-Cayman Islands</t>
  </si>
  <si>
    <t>CYM</t>
  </si>
  <si>
    <t>îles Cocos (Keeling)-Cocos (Keeling) Islands</t>
  </si>
  <si>
    <t>CCK</t>
  </si>
  <si>
    <t>îles Cook-Cook Islands</t>
  </si>
  <si>
    <t>COK</t>
  </si>
  <si>
    <t>îles Falkland (Malvinas)-Falkland Islands (Malvinas)</t>
  </si>
  <si>
    <t>FLK</t>
  </si>
  <si>
    <t>îles Féroé-Faroe Islands</t>
  </si>
  <si>
    <t>FRO</t>
  </si>
  <si>
    <t>îles Heard et McDonald-Heard and McDonald Islands</t>
  </si>
  <si>
    <t>HMD</t>
  </si>
  <si>
    <t>Îles Mariannes du Nord-Northern Mariana Islands</t>
  </si>
  <si>
    <t>MNP</t>
  </si>
  <si>
    <t>Îles Marshall-Marshall Islands</t>
  </si>
  <si>
    <t>MHL</t>
  </si>
  <si>
    <t>Îles mineures des États-Unis-US Minor Outlying Islands</t>
  </si>
  <si>
    <t>UMI</t>
  </si>
  <si>
    <t>Îles Salomon-Solomon Islands</t>
  </si>
  <si>
    <t>SLB</t>
  </si>
  <si>
    <t>îles Svalbard et Jan Mayen-Svalbard and Jan Mayen</t>
  </si>
  <si>
    <t>SJM</t>
  </si>
  <si>
    <t>Îles Tokélaous-Tokelau</t>
  </si>
  <si>
    <t>TKL</t>
  </si>
  <si>
    <t>Îles Turks et Caicos-Turks and Caicos Islands</t>
  </si>
  <si>
    <t>TCA</t>
  </si>
  <si>
    <t>Îles Vierges américaines-Virgin Islands (U.S.)</t>
  </si>
  <si>
    <t>VIR</t>
  </si>
  <si>
    <t>Îles Vierges britanniques-Virgin Islands (British)</t>
  </si>
  <si>
    <t>VGB</t>
  </si>
  <si>
    <t>Îles Wallis et Futuna-Wallis and Futuna Islands</t>
  </si>
  <si>
    <t>WLF</t>
  </si>
  <si>
    <t>Inde-India</t>
  </si>
  <si>
    <t>IND</t>
  </si>
  <si>
    <t>Indonésie-Indonesia</t>
  </si>
  <si>
    <t>IDN</t>
  </si>
  <si>
    <t>Iraq-Iraq</t>
  </si>
  <si>
    <t>IRQ</t>
  </si>
  <si>
    <t>Irlande du Nord-Northern Ireland</t>
  </si>
  <si>
    <t>NIR</t>
  </si>
  <si>
    <t>Irlande-Ireland</t>
  </si>
  <si>
    <t>IRL</t>
  </si>
  <si>
    <t>Islande-Iceland</t>
  </si>
  <si>
    <t>ISL</t>
  </si>
  <si>
    <t>Israël-Israel</t>
  </si>
  <si>
    <t>ISR</t>
  </si>
  <si>
    <t>Italie-Italy</t>
  </si>
  <si>
    <t>ITA</t>
  </si>
  <si>
    <t>Jamaïque-Jamaica</t>
  </si>
  <si>
    <t>JAM</t>
  </si>
  <si>
    <t>Japon-Japan</t>
  </si>
  <si>
    <t>JPN</t>
  </si>
  <si>
    <t>Jersey-Jersey</t>
  </si>
  <si>
    <t>JEY</t>
  </si>
  <si>
    <t>Jordanie-Jordan</t>
  </si>
  <si>
    <t>JOR</t>
  </si>
  <si>
    <t>Kazakhstan-Kazakhstan</t>
  </si>
  <si>
    <t>KAZ</t>
  </si>
  <si>
    <t>Kenya-Kenya</t>
  </si>
  <si>
    <t>KEN</t>
  </si>
  <si>
    <t>Kirghizistan-Kyrgyzstan</t>
  </si>
  <si>
    <t>KGZ</t>
  </si>
  <si>
    <t>Kiribati-Kiribati</t>
  </si>
  <si>
    <t>KIR</t>
  </si>
  <si>
    <t>Kosovo-Kosovo</t>
  </si>
  <si>
    <t>KOS</t>
  </si>
  <si>
    <t>Koweït-Kuwait</t>
  </si>
  <si>
    <t>KWT</t>
  </si>
  <si>
    <t>Lesotho-Lesotho</t>
  </si>
  <si>
    <t>LSO</t>
  </si>
  <si>
    <t>Lettonie-Latvia</t>
  </si>
  <si>
    <t>LVA</t>
  </si>
  <si>
    <t>Liban-Lebanon</t>
  </si>
  <si>
    <t>LBN</t>
  </si>
  <si>
    <t>Libéria-Liberia</t>
  </si>
  <si>
    <t>LBR</t>
  </si>
  <si>
    <t>Libye-Libyan Arab Jamahiriya</t>
  </si>
  <si>
    <t>LBY</t>
  </si>
  <si>
    <t>Liechtenstein-Liechtenstein</t>
  </si>
  <si>
    <t>LIE</t>
  </si>
  <si>
    <t>Lituanie-Lithuania</t>
  </si>
  <si>
    <t>LTU</t>
  </si>
  <si>
    <t>Luxembourg-Luxembourg</t>
  </si>
  <si>
    <t>LUX</t>
  </si>
  <si>
    <t>Macao-Macao</t>
  </si>
  <si>
    <t>MAC</t>
  </si>
  <si>
    <t>Madagascar-Madagascar</t>
  </si>
  <si>
    <t>MDG</t>
  </si>
  <si>
    <t>Malaisie-Malaysia</t>
  </si>
  <si>
    <t>MYS</t>
  </si>
  <si>
    <t>Malawi-Malawi</t>
  </si>
  <si>
    <t>MWI</t>
  </si>
  <si>
    <t>Maldives-Maldives</t>
  </si>
  <si>
    <t>MDV</t>
  </si>
  <si>
    <t>Mali-Mali</t>
  </si>
  <si>
    <t>MLI</t>
  </si>
  <si>
    <t>Malte-Malta</t>
  </si>
  <si>
    <t>MLT</t>
  </si>
  <si>
    <t>Maroc-Morocco</t>
  </si>
  <si>
    <t>MAR</t>
  </si>
  <si>
    <t>Martinique-Martinique</t>
  </si>
  <si>
    <t>MTQ</t>
  </si>
  <si>
    <t>Mauritanie-Mauritania</t>
  </si>
  <si>
    <t>MRT</t>
  </si>
  <si>
    <t>Mayotte-Mayotte</t>
  </si>
  <si>
    <t>MYT</t>
  </si>
  <si>
    <t>Mexique-Mexico</t>
  </si>
  <si>
    <t>MEX</t>
  </si>
  <si>
    <t>Micronésie, États fédérés de-Micronesia, Federated States</t>
  </si>
  <si>
    <t>FSM</t>
  </si>
  <si>
    <t>Moldavie, République de-Moldova, Republic of</t>
  </si>
  <si>
    <t>MDA</t>
  </si>
  <si>
    <t>Monaco, Principauté de-Monaco</t>
  </si>
  <si>
    <t>MCO</t>
  </si>
  <si>
    <t>Mongolie-Mongolia</t>
  </si>
  <si>
    <t>MNG</t>
  </si>
  <si>
    <t>Montserrat-Montserrat</t>
  </si>
  <si>
    <t>MSR</t>
  </si>
  <si>
    <t>Mozambique-Mozambique</t>
  </si>
  <si>
    <t>MOZ</t>
  </si>
  <si>
    <t>Myanmar-Myanmar</t>
  </si>
  <si>
    <t>MMR</t>
  </si>
  <si>
    <t>Namibie-Namibia</t>
  </si>
  <si>
    <t>NAM</t>
  </si>
  <si>
    <t>Nauru-Nauru</t>
  </si>
  <si>
    <t>NRU</t>
  </si>
  <si>
    <t>Népal-Nepal</t>
  </si>
  <si>
    <t>NPL</t>
  </si>
  <si>
    <t>Nicaragua-Nicaragua</t>
  </si>
  <si>
    <t>NIC</t>
  </si>
  <si>
    <t>Nigéria-Nigeria</t>
  </si>
  <si>
    <t>NGA</t>
  </si>
  <si>
    <t>Niger-Niger</t>
  </si>
  <si>
    <t>NER</t>
  </si>
  <si>
    <t>Norvège-Norway</t>
  </si>
  <si>
    <t>NOR</t>
  </si>
  <si>
    <t>Nouvelle-Calédonie-New Caledonia</t>
  </si>
  <si>
    <t>NCL</t>
  </si>
  <si>
    <t>Nouvelle-Zélande-New Zealand</t>
  </si>
  <si>
    <t>NZL</t>
  </si>
  <si>
    <t>Oman-Oman</t>
  </si>
  <si>
    <t>OMN</t>
  </si>
  <si>
    <t>Ouganda-Uganda</t>
  </si>
  <si>
    <t>UGA</t>
  </si>
  <si>
    <t>Ouzbékistan-Uzbekistan</t>
  </si>
  <si>
    <t>UZB</t>
  </si>
  <si>
    <t>Pakistan-Pakistan</t>
  </si>
  <si>
    <t>PAK</t>
  </si>
  <si>
    <t>Palaos-Palau</t>
  </si>
  <si>
    <t>PLW</t>
  </si>
  <si>
    <t>Panama-Panama</t>
  </si>
  <si>
    <t>PAN</t>
  </si>
  <si>
    <t>Papouasie-Nouvelle-Guinée-Papua New Guinea</t>
  </si>
  <si>
    <t>PNG</t>
  </si>
  <si>
    <t>Paraguay-Paraguay</t>
  </si>
  <si>
    <t>PRY</t>
  </si>
  <si>
    <t>Pays de Galles-Wales</t>
  </si>
  <si>
    <t>WAL</t>
  </si>
  <si>
    <t>Pays-Bas-Netherlands</t>
  </si>
  <si>
    <t>NLD</t>
  </si>
  <si>
    <t>Pérou-Peru</t>
  </si>
  <si>
    <t>PER</t>
  </si>
  <si>
    <t>Philippines-Philippines</t>
  </si>
  <si>
    <t>PHL</t>
  </si>
  <si>
    <t>Pologne-Poland</t>
  </si>
  <si>
    <t>POL</t>
  </si>
  <si>
    <t>Polynésie française-French Polynesia</t>
  </si>
  <si>
    <t>PYF</t>
  </si>
  <si>
    <t>Porto Rico-Puerto Rico</t>
  </si>
  <si>
    <t>PRI</t>
  </si>
  <si>
    <t>Portugal-Portugal</t>
  </si>
  <si>
    <t>PRT</t>
  </si>
  <si>
    <t>Principauté d'Andorre-Andorra</t>
  </si>
  <si>
    <t>AND</t>
  </si>
  <si>
    <t>Qatar-Qatar</t>
  </si>
  <si>
    <t>QAT</t>
  </si>
  <si>
    <t>Rép. populaire démocr. Corée-Korea, Democratic People's Rep</t>
  </si>
  <si>
    <t>PRK</t>
  </si>
  <si>
    <t>Rép. populaire démocr. du Laos-Lao People's Democratic Rep</t>
  </si>
  <si>
    <t>LAO</t>
  </si>
  <si>
    <t>République arabe syrienne-Syrian Arab Republic</t>
  </si>
  <si>
    <t>SYR</t>
  </si>
  <si>
    <t>République centrafricaine-Central African Republic</t>
  </si>
  <si>
    <t>CAF</t>
  </si>
  <si>
    <t>République de Serbie-Republic of Serbia</t>
  </si>
  <si>
    <t>SRB</t>
  </si>
  <si>
    <t>République démocratique Congo-Congo, The Democratic Republic</t>
  </si>
  <si>
    <t>COD</t>
  </si>
  <si>
    <t>République des Seychelles-Seychelles</t>
  </si>
  <si>
    <t>SYC</t>
  </si>
  <si>
    <t>République dominicaine-Dominican Republic</t>
  </si>
  <si>
    <t>DOM</t>
  </si>
  <si>
    <t>République du Monténégro-Republic of Montenegro</t>
  </si>
  <si>
    <t>MNE</t>
  </si>
  <si>
    <t>République islamique d'Iran-Iran (Islamic Republic Of)</t>
  </si>
  <si>
    <t>IRN</t>
  </si>
  <si>
    <t>République populaire de Chine-China</t>
  </si>
  <si>
    <t>CHN</t>
  </si>
  <si>
    <t>République tchèque-Czech Republic</t>
  </si>
  <si>
    <t>CZE</t>
  </si>
  <si>
    <t>Roumanie-Romania</t>
  </si>
  <si>
    <t>ROU</t>
  </si>
  <si>
    <t>Royaume-Uni-United Kingdom</t>
  </si>
  <si>
    <t>GBR</t>
  </si>
  <si>
    <t>Rwanda-Rwanda</t>
  </si>
  <si>
    <t>RWA</t>
  </si>
  <si>
    <t>Sahara occidental-Western Sahara</t>
  </si>
  <si>
    <t>ESH</t>
  </si>
  <si>
    <t>Saint-Barthélemy-Saint Barthelemy</t>
  </si>
  <si>
    <t>BLM</t>
  </si>
  <si>
    <t>Sainte-Hélène-Saint Helena</t>
  </si>
  <si>
    <t>SHN</t>
  </si>
  <si>
    <t>Sainte-Lucie-Saint Lucia</t>
  </si>
  <si>
    <t>LCA</t>
  </si>
  <si>
    <t>Saint-Kitts-et-Nevis-Saint Kitts and Nevis</t>
  </si>
  <si>
    <t>KNA</t>
  </si>
  <si>
    <t>Saint-Marin-San Marino</t>
  </si>
  <si>
    <t>SMR</t>
  </si>
  <si>
    <t>Saint-Martin (côté néerland.)-Sint Maarten (Dutch part)</t>
  </si>
  <si>
    <t>SXM</t>
  </si>
  <si>
    <t>Saint-Martin-Saint Martin</t>
  </si>
  <si>
    <t>MAF</t>
  </si>
  <si>
    <t>Samoa américaines-American Samoa</t>
  </si>
  <si>
    <t>ASM</t>
  </si>
  <si>
    <t>Samoa-Samoa</t>
  </si>
  <si>
    <t>WSM</t>
  </si>
  <si>
    <t>Sao Tomé-et-Principe-Sao Tome and Principe</t>
  </si>
  <si>
    <t>STP</t>
  </si>
  <si>
    <t>Sénégal-Senegal</t>
  </si>
  <si>
    <t>SEN</t>
  </si>
  <si>
    <t>Sierra Leone-Sierra Leone</t>
  </si>
  <si>
    <t>SLE</t>
  </si>
  <si>
    <t>Singapour-Singapore</t>
  </si>
  <si>
    <t>SGP</t>
  </si>
  <si>
    <t>Slovaquie-Slovakia</t>
  </si>
  <si>
    <t>SVK</t>
  </si>
  <si>
    <t>Slovénie-Slovenia</t>
  </si>
  <si>
    <t>SVN</t>
  </si>
  <si>
    <t>Somalie-Somalia</t>
  </si>
  <si>
    <t>SOM</t>
  </si>
  <si>
    <t>Soudan du Sud-South Sudan</t>
  </si>
  <si>
    <t>SSD</t>
  </si>
  <si>
    <t>Soudan-Sudan</t>
  </si>
  <si>
    <t>SDN</t>
  </si>
  <si>
    <t>Sri Lanka-Sri Lanka</t>
  </si>
  <si>
    <t>LKA</t>
  </si>
  <si>
    <t>St-Pierre-et-Miquelon-Saint Pierre and Miquelon</t>
  </si>
  <si>
    <t>SPM</t>
  </si>
  <si>
    <t>St-Vincent-et-les Grenadines-St Vincent and the Grenadines</t>
  </si>
  <si>
    <t>VCT</t>
  </si>
  <si>
    <t>Suède-Sweden</t>
  </si>
  <si>
    <t>SWE</t>
  </si>
  <si>
    <t>Suisse-Switzerland</t>
  </si>
  <si>
    <t>CHE</t>
  </si>
  <si>
    <t>Suriname-Suriname</t>
  </si>
  <si>
    <t>SUR</t>
  </si>
  <si>
    <t>Swaziland-Swaziland</t>
  </si>
  <si>
    <t>SWZ</t>
  </si>
  <si>
    <t>Tadjikistan-Tajikistan</t>
  </si>
  <si>
    <t>TJK</t>
  </si>
  <si>
    <t>Taïwan-Taiwan</t>
  </si>
  <si>
    <t>TWN</t>
  </si>
  <si>
    <t>Tanzanie, République-Unie de-Tanzania, United Republic of</t>
  </si>
  <si>
    <t>TZA</t>
  </si>
  <si>
    <t>Tchad-Chad</t>
  </si>
  <si>
    <t>TCD</t>
  </si>
  <si>
    <t>Terr. brit. de l'océan Indien-British Indian Ocean Territory</t>
  </si>
  <si>
    <t>IOT</t>
  </si>
  <si>
    <t>Terres australes françaises-French Southern Territories</t>
  </si>
  <si>
    <t>ATF</t>
  </si>
  <si>
    <t>Territoire palestinien occupé-Palestinian Territory, Occupie</t>
  </si>
  <si>
    <t>PSE</t>
  </si>
  <si>
    <t>Thaïlande-Thailand</t>
  </si>
  <si>
    <t>THA</t>
  </si>
  <si>
    <t>Timor-Leste-East Timor</t>
  </si>
  <si>
    <t>TLS</t>
  </si>
  <si>
    <t>Togo-Togo</t>
  </si>
  <si>
    <t>TGO</t>
  </si>
  <si>
    <t>Tonga-Tonga</t>
  </si>
  <si>
    <t>TON</t>
  </si>
  <si>
    <t>Trinité-et-Tobago-Trinidad and Tobago</t>
  </si>
  <si>
    <t>TTO</t>
  </si>
  <si>
    <t>Tunisie-Tunisia</t>
  </si>
  <si>
    <t>TUN</t>
  </si>
  <si>
    <t>Turkménistan-Turkmenistan</t>
  </si>
  <si>
    <t>TKM</t>
  </si>
  <si>
    <t>Turquie-Turkey</t>
  </si>
  <si>
    <t>TUR</t>
  </si>
  <si>
    <t>Tuvalu-Tuvalu</t>
  </si>
  <si>
    <t>TUV</t>
  </si>
  <si>
    <t>Ukraine-Ukraine</t>
  </si>
  <si>
    <t>UKR</t>
  </si>
  <si>
    <t>Uruguay-Uruguay</t>
  </si>
  <si>
    <t>URY</t>
  </si>
  <si>
    <t>Vanuatu-Vanuatu</t>
  </si>
  <si>
    <t>VUT</t>
  </si>
  <si>
    <t>Vatican (Saint-Siège)-Holy See (Vatican City State)</t>
  </si>
  <si>
    <t>VAT</t>
  </si>
  <si>
    <t>Venezuela-Venezuela</t>
  </si>
  <si>
    <t>VEN</t>
  </si>
  <si>
    <t>Vietnam-Viet Nam</t>
  </si>
  <si>
    <t>VNM</t>
  </si>
  <si>
    <t>Yémen-Yemen</t>
  </si>
  <si>
    <t>YEM</t>
  </si>
  <si>
    <t>Yougoslavie-Yugoslavia</t>
  </si>
  <si>
    <t>YUG</t>
  </si>
  <si>
    <t>Zambie-Zambia</t>
  </si>
  <si>
    <t>ZMB</t>
  </si>
  <si>
    <t>Zimbabwe-Zimbabwe</t>
  </si>
  <si>
    <t>ZWE</t>
  </si>
  <si>
    <t>Natif</t>
  </si>
  <si>
    <t>Naturalisé</t>
  </si>
  <si>
    <t>Non precise</t>
  </si>
  <si>
    <t>Bac</t>
  </si>
  <si>
    <t>Bac+1</t>
  </si>
  <si>
    <t xml:space="preserve">Bac+2 - Autre – Bac +2/3 </t>
  </si>
  <si>
    <t xml:space="preserve">Bac+3 - Autre – Bac +2/3 </t>
  </si>
  <si>
    <t>Bac+4 - Autre – Bac +4/5</t>
  </si>
  <si>
    <t>Bac+5 - Autre – Bac +4/5</t>
  </si>
  <si>
    <t>Bac+6 et plus</t>
  </si>
  <si>
    <t>Education</t>
  </si>
  <si>
    <t>MA817 – Morocco</t>
  </si>
  <si>
    <t>MA152 – Morocco Corpo</t>
  </si>
  <si>
    <t>MA470 – Morocco Corpo</t>
  </si>
  <si>
    <t>To Update - 0 gap/continous contract</t>
  </si>
  <si>
    <t>To Rehire - with gap/new employment</t>
  </si>
  <si>
    <t>Consultant Junior Débutant</t>
  </si>
  <si>
    <t>Manager Taxes</t>
  </si>
  <si>
    <t>Responsable Technique</t>
  </si>
  <si>
    <t>Agent d'Exploitation</t>
  </si>
  <si>
    <t>Responsable du Contrôle de Gestion</t>
  </si>
  <si>
    <t>Directeur Engagement</t>
  </si>
  <si>
    <t>Assistant</t>
  </si>
  <si>
    <t>Assistant(e) Adm RH</t>
  </si>
  <si>
    <t>Architecte Technique</t>
  </si>
  <si>
    <t>Assistant de Gestion cadre</t>
  </si>
  <si>
    <t>Assistante de Direction</t>
  </si>
  <si>
    <t>Assistante du President</t>
  </si>
  <si>
    <t>Associé</t>
  </si>
  <si>
    <t>Chargé de Projet</t>
  </si>
  <si>
    <t>Chargé d'Affaires</t>
  </si>
  <si>
    <t>Chef de Projet</t>
  </si>
  <si>
    <t>Comptable Confirmé cadre</t>
  </si>
  <si>
    <t>Assistant GAP</t>
  </si>
  <si>
    <t>Chargé de Gestion cadre</t>
  </si>
  <si>
    <t>Consultant</t>
  </si>
  <si>
    <t>Consultant Junior</t>
  </si>
  <si>
    <t>Consultant Senior</t>
  </si>
  <si>
    <t>Directeur des Ressources Humaines Territoire</t>
  </si>
  <si>
    <t>Directeur</t>
  </si>
  <si>
    <t>Directeur Adjoint</t>
  </si>
  <si>
    <t>Analyste</t>
  </si>
  <si>
    <t>Concepteur Fonctionnel</t>
  </si>
  <si>
    <t>Chef Projet Fonctionnel</t>
  </si>
  <si>
    <t>Chef de Projet Outsourcing</t>
  </si>
  <si>
    <t>Directeur de Projet Outsourcing</t>
  </si>
  <si>
    <t>Ingénieur IMS/Expert Tech</t>
  </si>
  <si>
    <t>Architecte Technique SI</t>
  </si>
  <si>
    <t>Manager Technique</t>
  </si>
  <si>
    <t>Directeur Technique Adjoint</t>
  </si>
  <si>
    <t>Chargé d'Affaires Junior</t>
  </si>
  <si>
    <t>Chargé d'Affaires Senior</t>
  </si>
  <si>
    <t>Manager Business</t>
  </si>
  <si>
    <t>Manager Business Senior</t>
  </si>
  <si>
    <t>Directeur Adjoint Business</t>
  </si>
  <si>
    <t>Directeur Business</t>
  </si>
  <si>
    <t>Directeur Administratif et Financier</t>
  </si>
  <si>
    <t>Directeur Technique</t>
  </si>
  <si>
    <t>Contrôleur Financier</t>
  </si>
  <si>
    <t>Directeur Financier Adjoint</t>
  </si>
  <si>
    <t>Chargé(e) de mission achats</t>
  </si>
  <si>
    <t>Manager MARCOM Senior</t>
  </si>
  <si>
    <t>Manager Juridique</t>
  </si>
  <si>
    <t>Auditeur Senior</t>
  </si>
  <si>
    <t>Responsable des Engagements</t>
  </si>
  <si>
    <t>Directeur des Ressources Humaines Pays</t>
  </si>
  <si>
    <t>Directeur des Opérations Comptables et Financières</t>
  </si>
  <si>
    <t>Directeur Associé</t>
  </si>
  <si>
    <t>Directeur de la Logistique</t>
  </si>
  <si>
    <t>Directeur d'agence</t>
  </si>
  <si>
    <t>Directeur de la protection des données</t>
  </si>
  <si>
    <t>Directeur de Projet</t>
  </si>
  <si>
    <t>Directeur MARCOM Groupe</t>
  </si>
  <si>
    <t>Directeur Général</t>
  </si>
  <si>
    <t>DG Adjoint</t>
  </si>
  <si>
    <t>Directeur des Achats</t>
  </si>
  <si>
    <t>Directeur Juridique Groupe</t>
  </si>
  <si>
    <t>Expert Technique</t>
  </si>
  <si>
    <t>Directeur Contrôle de Gestion et Reporting</t>
  </si>
  <si>
    <t>Directeur Juridique Secteur</t>
  </si>
  <si>
    <t>Gestionnaire Paie Cadre</t>
  </si>
  <si>
    <t>Expert Fonctionnel Junior</t>
  </si>
  <si>
    <t>Juriste Junior</t>
  </si>
  <si>
    <t>Ingénieur IMS / Expert Technique Junior</t>
  </si>
  <si>
    <t>Chargé(e) de mission Qualité Junior</t>
  </si>
  <si>
    <t>Chargé(e) de Marketing &amp; Communication Junior</t>
  </si>
  <si>
    <t>Gestionnaire Paie Junior</t>
  </si>
  <si>
    <t>Comptable Junior</t>
  </si>
  <si>
    <t>Gestionnaire Paie Confirmé</t>
  </si>
  <si>
    <t>Ingénieur Commercial</t>
  </si>
  <si>
    <t>Directeur Groupe d,Un centre d'excellence RH</t>
  </si>
  <si>
    <t>Ingénieur Système</t>
  </si>
  <si>
    <t>Médecin Coordinateur</t>
  </si>
  <si>
    <t>Directeur des Engagements Pays</t>
  </si>
  <si>
    <t>Responsable des Opérations</t>
  </si>
  <si>
    <t>Responsable Recouvrement</t>
  </si>
  <si>
    <t>Consultant Test</t>
  </si>
  <si>
    <t>Analyste de Test</t>
  </si>
  <si>
    <t>Analyste de Test Junior</t>
  </si>
  <si>
    <t>Analyste Programmeur Junior</t>
  </si>
  <si>
    <t>Ingénieur en Technoligie de l'Information Junior</t>
  </si>
  <si>
    <t>Ingénieur Commercial Junior</t>
  </si>
  <si>
    <t>Chargé(e) de Missions Junior</t>
  </si>
  <si>
    <t>Chargé(e) de Gestion Junior</t>
  </si>
  <si>
    <t>Chargé(e) de Missions Achats Junior</t>
  </si>
  <si>
    <t>Chargé(e) de Missions RH Junior</t>
  </si>
  <si>
    <t>Acheteur</t>
  </si>
  <si>
    <t>Acheteur Senior</t>
  </si>
  <si>
    <t>Auditeur</t>
  </si>
  <si>
    <t>Chargé(e) de Marketing &amp; Communication Confirmé</t>
  </si>
  <si>
    <t>Chargé(e) Missions LOG</t>
  </si>
  <si>
    <t>Chargé(e) Missions RH Confirmé</t>
  </si>
  <si>
    <t>Chargé(e) des Engagements</t>
  </si>
  <si>
    <t>Chargé(e) des Engagement Confirmé</t>
  </si>
  <si>
    <t>Chargé(e) de Marketing et Communication</t>
  </si>
  <si>
    <t>Contrôleur de Gestion Confirmé</t>
  </si>
  <si>
    <t>Directeur de Domaine RH</t>
  </si>
  <si>
    <t>Juriste</t>
  </si>
  <si>
    <t>Manager</t>
  </si>
  <si>
    <t>Membre du Coex</t>
  </si>
  <si>
    <t>Président</t>
  </si>
  <si>
    <t>Vice Président</t>
  </si>
  <si>
    <t>Senior Vice Président</t>
  </si>
  <si>
    <t>Responsable Comptable</t>
  </si>
  <si>
    <t>Responsable Comptable/Responsable de la Trésorerie</t>
  </si>
  <si>
    <t>Responsable Qualité</t>
  </si>
  <si>
    <t>Responsable RH</t>
  </si>
  <si>
    <t>Responsable Organisation Secrétariat</t>
  </si>
  <si>
    <t>Responsable Paie Adjoint</t>
  </si>
  <si>
    <t>Responsable Administration des ventes</t>
  </si>
  <si>
    <t>Secrétaire de Direction Cadre</t>
  </si>
  <si>
    <t>Senior Manager</t>
  </si>
  <si>
    <t>Manager des Opérations</t>
  </si>
  <si>
    <t>Technicien Bureautique Cadre</t>
  </si>
  <si>
    <t>Chargé(e) de Missions</t>
  </si>
  <si>
    <t>Chargé(e) de missions RH</t>
  </si>
  <si>
    <t>Responsable Santé et Mieux-être</t>
  </si>
  <si>
    <t>Ingénieur en Technologie de l'Information</t>
  </si>
  <si>
    <t>Directeur Delivery France</t>
  </si>
  <si>
    <t>Consultant Fonct. Senior</t>
  </si>
  <si>
    <t>Membre de l'EBF</t>
  </si>
  <si>
    <t>Contrôleur de Gestion</t>
  </si>
  <si>
    <t>Directeur des opérations</t>
  </si>
  <si>
    <t>Responsable Comptable Adjoint</t>
  </si>
  <si>
    <t>Ingénieur Réseaux</t>
  </si>
  <si>
    <t>Directeur Juridique pays</t>
  </si>
  <si>
    <t>Directeur Marketing &amp; Communication Pays</t>
  </si>
  <si>
    <t>Directeur Comptable</t>
  </si>
  <si>
    <t>Infirmier(e) Travail</t>
  </si>
  <si>
    <t>Juriste Senior</t>
  </si>
  <si>
    <t>Manager Achats</t>
  </si>
  <si>
    <t>Manager Comptable</t>
  </si>
  <si>
    <t>Manager Domaine RH</t>
  </si>
  <si>
    <t>Manager des Engagement</t>
  </si>
  <si>
    <t>Manager Gestion</t>
  </si>
  <si>
    <t>Manager Logistique</t>
  </si>
  <si>
    <t>Manager Marketing &amp; Communication</t>
  </si>
  <si>
    <t>Manager Paie</t>
  </si>
  <si>
    <t>Manager Qualité</t>
  </si>
  <si>
    <t>Manager RH</t>
  </si>
  <si>
    <t>Responsable Domaine RH</t>
  </si>
  <si>
    <t>Responsable Logistique</t>
  </si>
  <si>
    <t>Responsable Marketing &amp; Communication</t>
  </si>
  <si>
    <t>Technicien Logistique</t>
  </si>
  <si>
    <t>Psychologue</t>
  </si>
  <si>
    <t>Chargé(e) de Missions Qualité Junior</t>
  </si>
  <si>
    <t>Analyste Programmeur</t>
  </si>
  <si>
    <t>Assistant de Gestion employé</t>
  </si>
  <si>
    <t>Assistant Paie</t>
  </si>
  <si>
    <t>Comptable</t>
  </si>
  <si>
    <t>Comptable Confirmé employé</t>
  </si>
  <si>
    <t>Chargé de Gestion employé</t>
  </si>
  <si>
    <t>Administrateur Système</t>
  </si>
  <si>
    <t>Responsable cellule Informatique</t>
  </si>
  <si>
    <t>Gestionnaire IT Consulting</t>
  </si>
  <si>
    <t>Manager Senior IT Consulting</t>
  </si>
  <si>
    <t>Directeur Adjoint IT Consulting</t>
  </si>
  <si>
    <t>Directeur IT Consulting</t>
  </si>
  <si>
    <t>Directeur de Projet Sénior</t>
  </si>
  <si>
    <t>Directeur de Programme</t>
  </si>
  <si>
    <t>Directeur de Grand Programme</t>
  </si>
  <si>
    <t>Directeur Projet Outsourcing Senior</t>
  </si>
  <si>
    <t>Directeur Adjt Outsourcing</t>
  </si>
  <si>
    <t>Directeur Outsourcing</t>
  </si>
  <si>
    <t>Médecin du travail</t>
  </si>
  <si>
    <t>Consultant Solutions Junior</t>
  </si>
  <si>
    <t>Consultant Solutions</t>
  </si>
  <si>
    <t>Consultant Solutions Senior</t>
  </si>
  <si>
    <t>Hotesse Standardiste</t>
  </si>
  <si>
    <t>Gestionnaire Paie Employé</t>
  </si>
  <si>
    <t>Chargé de Recouvrement</t>
  </si>
  <si>
    <t>Secrétaire</t>
  </si>
  <si>
    <t>Secrétaire de Direction Employé</t>
  </si>
  <si>
    <t>Stagiaire</t>
  </si>
  <si>
    <t>Technicien Bureautique Employé</t>
  </si>
  <si>
    <t>Support Agent Expérimenté</t>
  </si>
  <si>
    <t>Support Agent</t>
  </si>
  <si>
    <t>Ingénieur Support</t>
  </si>
  <si>
    <t>Analyste Support</t>
  </si>
  <si>
    <t>Technicien Support</t>
  </si>
  <si>
    <t>Techn Logistique Junior</t>
  </si>
  <si>
    <t>Assistant de Gestion Junior</t>
  </si>
  <si>
    <t>Assistant Paie Junior</t>
  </si>
  <si>
    <t>Job Code</t>
  </si>
  <si>
    <t>GL Paytype</t>
  </si>
  <si>
    <t>Billability</t>
  </si>
  <si>
    <t>001 TRAINEE (DIR)</t>
  </si>
  <si>
    <t>DIR</t>
  </si>
  <si>
    <t>Oui-Yes</t>
  </si>
  <si>
    <t>009 MEMBRE (ADM)</t>
  </si>
  <si>
    <t>ADM</t>
  </si>
  <si>
    <t>Non-No</t>
  </si>
  <si>
    <t>403  Manager (DIR)</t>
  </si>
  <si>
    <t>404 Manager (MGM)</t>
  </si>
  <si>
    <t>MGM</t>
  </si>
  <si>
    <t>419 Director (expert) (DIR)</t>
  </si>
  <si>
    <t>420 Director (MGM)</t>
  </si>
  <si>
    <t>510 Vice President* (MGM)</t>
  </si>
  <si>
    <t>999 MEMBRE (DIR)</t>
  </si>
  <si>
    <t>Temporary National ID</t>
  </si>
  <si>
    <t>Achats</t>
  </si>
  <si>
    <t>Conseil en TI</t>
  </si>
  <si>
    <t>Finance - ADV</t>
  </si>
  <si>
    <t>Finance - Audit</t>
  </si>
  <si>
    <t>Finance – Contrôleur de  gestion</t>
  </si>
  <si>
    <t>Finance - Comptabilité</t>
  </si>
  <si>
    <t>Finance - Paie</t>
  </si>
  <si>
    <t>General Management &amp; Function</t>
  </si>
  <si>
    <t>GMF - Juridique</t>
  </si>
  <si>
    <t>Marketing et Communication</t>
  </si>
  <si>
    <t>Management Consulting</t>
  </si>
  <si>
    <t>Project Delivery</t>
  </si>
  <si>
    <t>GMF - Qualité</t>
  </si>
  <si>
    <t>RH - Administration</t>
  </si>
  <si>
    <t>RH - Formation</t>
  </si>
  <si>
    <t>RH - HRBP</t>
  </si>
  <si>
    <t>RH - Recrutement</t>
  </si>
  <si>
    <t>RH - Relations sociales</t>
  </si>
  <si>
    <t>HR - Talent&amp;Développement</t>
  </si>
  <si>
    <t>RH-Rémunération&amp;Av.Sociaux</t>
  </si>
  <si>
    <t>Sales and Account Management</t>
  </si>
  <si>
    <t>GMF-Santé travail</t>
  </si>
  <si>
    <t>Service Delivery</t>
  </si>
  <si>
    <t>GMF - Services généraux</t>
  </si>
  <si>
    <t>Technique</t>
  </si>
  <si>
    <t>Sans filière</t>
  </si>
  <si>
    <t>GRADE</t>
  </si>
  <si>
    <t xml:space="preserve">STMAR-MA40  </t>
  </si>
  <si>
    <t>careerpathway</t>
  </si>
  <si>
    <t>N/A</t>
  </si>
  <si>
    <t>Business Consultancy</t>
  </si>
  <si>
    <t>CCO</t>
  </si>
  <si>
    <t>Commercial</t>
  </si>
  <si>
    <t>Finance</t>
  </si>
  <si>
    <t>General Management and Administration</t>
  </si>
  <si>
    <t>Human Resources</t>
  </si>
  <si>
    <t>Marketing and Communications</t>
  </si>
  <si>
    <t>Product Management</t>
  </si>
  <si>
    <t>Technical</t>
  </si>
  <si>
    <t>Function</t>
  </si>
  <si>
    <t>Bids</t>
  </si>
  <si>
    <t>Delivery</t>
  </si>
  <si>
    <t>Facilities</t>
  </si>
  <si>
    <t>HR</t>
  </si>
  <si>
    <t>ISD</t>
  </si>
  <si>
    <t>Legal</t>
  </si>
  <si>
    <t>Management</t>
  </si>
  <si>
    <t>Marketing</t>
  </si>
  <si>
    <t>Procurement</t>
  </si>
  <si>
    <t>Quality Assurance</t>
  </si>
  <si>
    <t>RandD</t>
  </si>
  <si>
    <t>Sales</t>
  </si>
  <si>
    <t>Type de contrat*</t>
  </si>
  <si>
    <t>Type of employment*</t>
  </si>
  <si>
    <t>CDI-Contrat durée indéterminée</t>
  </si>
  <si>
    <t>Contrat ANAPEC – Type 1</t>
  </si>
  <si>
    <t>Contrat ANAPEC – Type 2</t>
  </si>
  <si>
    <t>Contrat ANAPEC – Type 3</t>
  </si>
  <si>
    <t>3 mois - 3 months</t>
  </si>
  <si>
    <t>Sans objet - Not Applicable</t>
  </si>
  <si>
    <t>If fixed term contract/Anapec</t>
  </si>
  <si>
    <t>Date de fin de contrat*</t>
  </si>
  <si>
    <t>End date of employment*</t>
  </si>
  <si>
    <t>Durée du contrat*</t>
  </si>
  <si>
    <t>Duration of employment*</t>
  </si>
  <si>
    <t>Nouvelle date de fin (renouvellement de contrat)</t>
  </si>
  <si>
    <t>New End Date (Contract Extended)</t>
  </si>
  <si>
    <t>Si Stagiaire</t>
  </si>
  <si>
    <t>If trainee</t>
  </si>
  <si>
    <t>Montant brut de l’indemnité de stage (mensuel)*</t>
  </si>
  <si>
    <t>Gross Monthly Amount of Training Allowance (in LPS)*</t>
  </si>
  <si>
    <t>Montant Net de l’indemnité de stage (mensuel)*</t>
  </si>
  <si>
    <t>Net Monthly Amount of Training Allowance*</t>
  </si>
  <si>
    <t>Date de fin du stage*</t>
  </si>
  <si>
    <t xml:space="preserve">     End date of training course*</t>
  </si>
  <si>
    <t>Tuteur de stage</t>
  </si>
  <si>
    <t xml:space="preserve">     Guardian of training course (tuteur)</t>
  </si>
  <si>
    <t>Date de prolongation du stage</t>
  </si>
  <si>
    <t xml:space="preserve">     Training contract extension start date</t>
  </si>
  <si>
    <t>Date de fin de stage</t>
  </si>
  <si>
    <t xml:space="preserve">     Training contract extension end date</t>
  </si>
  <si>
    <t>Numéro de téléphone du domicile</t>
  </si>
  <si>
    <t>Home phone number</t>
  </si>
  <si>
    <t xml:space="preserve">Numéro favori </t>
  </si>
  <si>
    <t>Preferred Number</t>
  </si>
  <si>
    <t>Téléphone du domicile (Home phone number)</t>
  </si>
  <si>
    <t>Téléphone mobile (Mobile phone number)</t>
  </si>
  <si>
    <r>
      <t>Fréquence*</t>
    </r>
    <r>
      <rPr>
        <i/>
        <sz val="12"/>
        <rFont val="Arial"/>
        <family val="2"/>
      </rPr>
      <t xml:space="preserve"> </t>
    </r>
    <r>
      <rPr>
        <sz val="12"/>
        <rFont val="Arial"/>
        <family val="2"/>
      </rPr>
      <t>(</t>
    </r>
    <r>
      <rPr>
        <sz val="10"/>
        <rFont val="Arial"/>
        <family val="2"/>
      </rPr>
      <t>choisir "Exemption hourly" pour toutes les embauches et "Hourly" uniquement pour les stagiaires)</t>
    </r>
  </si>
  <si>
    <t>Employee Type*</t>
  </si>
  <si>
    <t>E - Exemption Hourly</t>
  </si>
  <si>
    <t>H - Hourly</t>
  </si>
  <si>
    <t>Compensation Frequency</t>
  </si>
  <si>
    <t>A - Annual</t>
  </si>
  <si>
    <t>Work Groups</t>
  </si>
  <si>
    <t>Task Group</t>
  </si>
  <si>
    <t>Eligibility Group</t>
  </si>
  <si>
    <t>EL MA REG – Morocco Regular Members</t>
  </si>
  <si>
    <t>EL MA TRN – Morocco Trainee Members</t>
  </si>
  <si>
    <t>MOROCCO - Morocco Regular Members</t>
  </si>
  <si>
    <t>MOROCCO2 - Morocco Trainee Members</t>
  </si>
  <si>
    <t>PSNONTASK</t>
  </si>
  <si>
    <t>Rate Code</t>
  </si>
  <si>
    <t xml:space="preserve">Gross monthly salary* </t>
  </si>
  <si>
    <t>Regular/Temporary</t>
  </si>
  <si>
    <t>Youssef Feedback</t>
  </si>
  <si>
    <t xml:space="preserve">can't apply automation </t>
  </si>
  <si>
    <t xml:space="preserve">Can't apply automation </t>
  </si>
  <si>
    <t>If seniority date is filled (change to free text)</t>
  </si>
  <si>
    <t>OK</t>
  </si>
  <si>
    <t xml:space="preserve">OK </t>
  </si>
  <si>
    <t>OK (Change order of lines , should be after first name line)</t>
  </si>
  <si>
    <t>Verifiy with the list of values on PSA</t>
  </si>
  <si>
    <t>Drop down list with two values ("Demandé" ; "Acquis") if no list of values is on PSA</t>
  </si>
  <si>
    <t>Numéro du visa de travail/Contrat de travail d'étranger</t>
  </si>
  <si>
    <t xml:space="preserve">Is there an exsting list of values on PSA ? </t>
  </si>
  <si>
    <t>Ok</t>
  </si>
  <si>
    <t xml:space="preserve">Is this the same as on the list provided in the D410 ? Plus am waiting the validation of some job titles to be added for Morocco </t>
  </si>
  <si>
    <t xml:space="preserve">Awaiting validation for an updated list of values  </t>
  </si>
  <si>
    <t>Maybe Should be salary Grade instead of Career Level as on D410</t>
  </si>
  <si>
    <t>Salary Grade*</t>
  </si>
  <si>
    <t>Salary Step*</t>
  </si>
  <si>
    <t xml:space="preserve">Niveau </t>
  </si>
  <si>
    <t>The field is automated (can't choose beetwen Exemption hourly &amp; hourly)</t>
  </si>
  <si>
    <t>OK (Company name updated)</t>
  </si>
  <si>
    <t>Representation Allowance</t>
  </si>
  <si>
    <t>Prime de représentation</t>
  </si>
  <si>
    <t xml:space="preserve">Automated field for permanent and CDD (Value "Yes") ; not pplicable for other types of contracts </t>
  </si>
  <si>
    <t>if CDD (choice beetwen "2 semaines" , "1 mois") If CDI ("3mois" ) , If other types ( None , not applicable)</t>
  </si>
  <si>
    <t>Not mandatory (but the field should be included for the automated calculation of Gross monthly salary, lock the value of the field on "0")</t>
  </si>
  <si>
    <t>Voiture de service</t>
  </si>
  <si>
    <t>Is there a field on PSA to be populated with these values ?</t>
  </si>
  <si>
    <t>Is there a list of values on PSA ?  If none create drop down list of values ("Visa de travail" , "other")</t>
  </si>
  <si>
    <t>Middle Name</t>
  </si>
  <si>
    <t>A – Non indiqué</t>
  </si>
  <si>
    <t>Associate Degree</t>
  </si>
  <si>
    <t>B – Inf. à diplôme secondaire</t>
  </si>
  <si>
    <t>C – Secondaire ou équiv.</t>
  </si>
  <si>
    <t>D – Inférieur  à maj.</t>
  </si>
  <si>
    <t>Diplôme d’études collég. 3 ans</t>
  </si>
  <si>
    <t>F4 – Attest d’études collége</t>
  </si>
  <si>
    <t>F5 – Études univ. Non-complétées</t>
  </si>
  <si>
    <t>First Professional</t>
  </si>
  <si>
    <t>G – Baccalauréat</t>
  </si>
  <si>
    <t>G1 – Un Certificat Universatiaire</t>
  </si>
  <si>
    <t>G2 – Duex Certificat Univ.</t>
  </si>
  <si>
    <t>H – 2e cycle non terminé</t>
  </si>
  <si>
    <t>I – Maîtrise</t>
  </si>
  <si>
    <t>J – Doctorat (recherche)</t>
  </si>
  <si>
    <t>K – Doctorat (professionnel)</t>
  </si>
  <si>
    <t>L – Études postdoctorales</t>
  </si>
  <si>
    <t>M1-Bac+2 BTS, DUT</t>
  </si>
  <si>
    <t>M2-Bac+3 Licence université</t>
  </si>
  <si>
    <t>M3-Bac+4 Master 1</t>
  </si>
  <si>
    <t>M4-Bac+5 Master 2 université</t>
  </si>
  <si>
    <t>M5-Bac+5 Écol.(lng/Com)cat.B,C</t>
  </si>
  <si>
    <t>M6-Bac+5 Écol.(lng/Com)cat.A</t>
  </si>
  <si>
    <t>Majeure</t>
  </si>
  <si>
    <t>Post-Master’s Work</t>
  </si>
  <si>
    <t>`</t>
  </si>
  <si>
    <t>Dave</t>
  </si>
  <si>
    <t>Used PSA values</t>
  </si>
  <si>
    <t>Done</t>
  </si>
  <si>
    <t>Applied for</t>
  </si>
  <si>
    <t>Granted</t>
  </si>
  <si>
    <t>Renewal</t>
  </si>
  <si>
    <t>Renewed</t>
  </si>
  <si>
    <t>Carte résident</t>
  </si>
  <si>
    <t>Carte de séjour - Étudiant</t>
  </si>
  <si>
    <t>Carte de séjour - salarié</t>
  </si>
  <si>
    <t>Visa - Étudiant</t>
  </si>
  <si>
    <t>Visa - Employé</t>
  </si>
  <si>
    <t>Visa - Stagiaire</t>
  </si>
  <si>
    <t>Accordé</t>
  </si>
  <si>
    <t>Demandé</t>
  </si>
  <si>
    <t>Renouvelé</t>
  </si>
  <si>
    <t>Added PSA values</t>
  </si>
  <si>
    <t>Adult Child</t>
  </si>
  <si>
    <t>Agency</t>
  </si>
  <si>
    <t>Child</t>
  </si>
  <si>
    <t>Confidential</t>
  </si>
  <si>
    <t>Domestic Partner Adult</t>
  </si>
  <si>
    <t>Domestic Partner Child</t>
  </si>
  <si>
    <t>Employee</t>
  </si>
  <si>
    <t>Estate</t>
  </si>
  <si>
    <t>ExDomestic Partner</t>
  </si>
  <si>
    <t>ExSpouse</t>
  </si>
  <si>
    <t>Foster Child</t>
  </si>
  <si>
    <t>Friend</t>
  </si>
  <si>
    <t>Grand Parent</t>
  </si>
  <si>
    <t>Grandchild</t>
  </si>
  <si>
    <t>Great Grand Parent</t>
  </si>
  <si>
    <t>Great Grandchild</t>
  </si>
  <si>
    <t>In-Law</t>
  </si>
  <si>
    <t>Neighbor</t>
  </si>
  <si>
    <t>Other Child</t>
  </si>
  <si>
    <t>Other Contact</t>
  </si>
  <si>
    <t>Other Relative</t>
  </si>
  <si>
    <t>Parent</t>
  </si>
  <si>
    <t>Parent In-Law</t>
  </si>
  <si>
    <t>Recognized Child</t>
  </si>
  <si>
    <t>Roommate</t>
  </si>
  <si>
    <t>Sibling</t>
  </si>
  <si>
    <t>Significant Other</t>
  </si>
  <si>
    <t>Spouse</t>
  </si>
  <si>
    <t>Step Parent</t>
  </si>
  <si>
    <t>Stepchild</t>
  </si>
  <si>
    <t>US Same Sex-Spouse</t>
  </si>
  <si>
    <t>Ward</t>
  </si>
  <si>
    <t>For finalization. I think entering emergency contact will be done via ESS</t>
  </si>
  <si>
    <t xml:space="preserve">OK (Verify if location on PSA should be under these codes : 
MARCAS001 – CASA – Casablanca
MARRAB001 – AGDA – Rabat
MARFES0001 – FGCD_M-FES)
 </t>
  </si>
  <si>
    <t>MARCAS001 – CASA – Casablanca</t>
  </si>
  <si>
    <t>MARRAB001 – AGDA – Rabat</t>
  </si>
  <si>
    <t xml:space="preserve">Used PSA values </t>
  </si>
  <si>
    <t>I used the list of values in D410. to wait for the new job titles</t>
  </si>
  <si>
    <t>ill wait for the approved lists</t>
  </si>
  <si>
    <t>Changed to salary grade</t>
  </si>
  <si>
    <t>Applied automation</t>
  </si>
  <si>
    <t>The HR Assistant should indicate the probation end date. That is what the system reqiuires.</t>
  </si>
  <si>
    <t>Placed Automation (H-Hourly for Stagiaire and E-Exception Hourly for the rest)</t>
  </si>
  <si>
    <t>The CDF Line is needed to draft the contract</t>
  </si>
  <si>
    <t>MAR –  CGI Tech et Sol Maroc SAS</t>
  </si>
  <si>
    <t>Last name</t>
  </si>
  <si>
    <t>N° de carte de séjour ( si résident étrangers)</t>
  </si>
  <si>
    <t>Adresse email personnelle*</t>
  </si>
  <si>
    <t>Email address*</t>
  </si>
  <si>
    <t>Contact d'urgence (nom &amp; prénom)*</t>
  </si>
  <si>
    <t>Emergency Contact (Full name) *</t>
  </si>
  <si>
    <t>Link to emergency contact *</t>
  </si>
  <si>
    <t>Lien avec contact d'urgence *</t>
  </si>
  <si>
    <t>Numéro de téléphone du contact d'urgence *</t>
  </si>
  <si>
    <t>Emergency contact phone number*</t>
  </si>
  <si>
    <t>Contract</t>
  </si>
  <si>
    <t>Contract Ready Data</t>
  </si>
  <si>
    <t>No</t>
  </si>
  <si>
    <t>Yes</t>
  </si>
  <si>
    <t>M</t>
  </si>
  <si>
    <t>Mlle. - Miss</t>
  </si>
  <si>
    <t>Mlle</t>
  </si>
  <si>
    <t>Mme</t>
  </si>
  <si>
    <t>Data Transformation</t>
  </si>
  <si>
    <t>Monsieur</t>
  </si>
  <si>
    <t>Mademoiselle</t>
  </si>
  <si>
    <t>Madame</t>
  </si>
  <si>
    <t>Nationality - FR</t>
  </si>
  <si>
    <t>Aboriginal or Torres Strait Islanders</t>
  </si>
  <si>
    <t>Afghane - Afghan</t>
  </si>
  <si>
    <t>Albanaise - Albanian</t>
  </si>
  <si>
    <t>Algérienne  - Algerian</t>
  </si>
  <si>
    <t>Américaine  - American</t>
  </si>
  <si>
    <t>Andorrane - Andorran</t>
  </si>
  <si>
    <t>Angolaise - Angolan</t>
  </si>
  <si>
    <t>Anguilla - Anguillan</t>
  </si>
  <si>
    <t>Antarctique - Antarctic</t>
  </si>
  <si>
    <t>Antiguaise - Antiguans</t>
  </si>
  <si>
    <t>Argentine - Argentinean</t>
  </si>
  <si>
    <t>Arménienne  - Armenian</t>
  </si>
  <si>
    <t>Arubéenne - Aruban</t>
  </si>
  <si>
    <t>Australienne  - Australian</t>
  </si>
  <si>
    <t>Autrichienne  - Austrian</t>
  </si>
  <si>
    <t>Azerbaïdjanaise - Azerbaijani</t>
  </si>
  <si>
    <t>Bahaméenne  - Bahamian</t>
  </si>
  <si>
    <t>Bahrainie - Bahraini</t>
  </si>
  <si>
    <t>Bengali - Bangladeshi</t>
  </si>
  <si>
    <t>Barbadian - Barbadian</t>
  </si>
  <si>
    <t>Barbadienne - Barbudans</t>
  </si>
  <si>
    <t>Botswanaise - Batswana</t>
  </si>
  <si>
    <t>Biélorusse - Belarusian</t>
  </si>
  <si>
    <t>Belge - Belgian</t>
  </si>
  <si>
    <t>Bélizienne - Belizean</t>
  </si>
  <si>
    <t>Béninoise - Beninese</t>
  </si>
  <si>
    <t>Bermudienne - Bermudan</t>
  </si>
  <si>
    <t>Bhoutanaise - Bhutanese</t>
  </si>
  <si>
    <t>Bissau-guinean</t>
  </si>
  <si>
    <t>Bolivienne - Bolivian</t>
  </si>
  <si>
    <t>Bosniaque - Bosnian</t>
  </si>
  <si>
    <t>Brésilienne - Brazilian</t>
  </si>
  <si>
    <t>Britannique - British</t>
  </si>
  <si>
    <t>Brunéienne - Bruneian</t>
  </si>
  <si>
    <t>Bulgare - Bulgarian</t>
  </si>
  <si>
    <t>Burkinabée - Burkinabe</t>
  </si>
  <si>
    <t>Burundaise - Burundian</t>
  </si>
  <si>
    <t>Cambodgienne - Cambodian</t>
  </si>
  <si>
    <t>Camerounaise - Cameroonian</t>
  </si>
  <si>
    <t>Canadienne - Canadian</t>
  </si>
  <si>
    <t>Cap-verdienne - Cape Verdean</t>
  </si>
  <si>
    <t>Centrafricaine - Central African</t>
  </si>
  <si>
    <t>Tchadienne - Chadian</t>
  </si>
  <si>
    <t>Chilienne - Chilean</t>
  </si>
  <si>
    <t>Chinoise - Chinese</t>
  </si>
  <si>
    <t>Colombienne - Colombian</t>
  </si>
  <si>
    <t>Comorienne - Comoran</t>
  </si>
  <si>
    <t>Congolaise - Congolese</t>
  </si>
  <si>
    <t>Costaricienne - Costa Rican</t>
  </si>
  <si>
    <t>Croate - Croatian</t>
  </si>
  <si>
    <t>Cubaine - Cuban</t>
  </si>
  <si>
    <t>Chypriote - Cypriot</t>
  </si>
  <si>
    <t>Tchèque - Czech</t>
  </si>
  <si>
    <t>Danoise - Danish</t>
  </si>
  <si>
    <t>Des I.Mariannes</t>
  </si>
  <si>
    <t>Ddjiboutienne - Djibouti</t>
  </si>
  <si>
    <t>Dominicaine - Dominican</t>
  </si>
  <si>
    <t>Néerlandaise - Dutch</t>
  </si>
  <si>
    <t>Timor oriental - East Timorese</t>
  </si>
  <si>
    <t>Ecuadorean</t>
  </si>
  <si>
    <t>Egyptienne - Egyptian</t>
  </si>
  <si>
    <t>Equato-guinéen - Equatorial Guinean</t>
  </si>
  <si>
    <t>Erythréenne - Eritrean</t>
  </si>
  <si>
    <t>Estonienne - Estonian</t>
  </si>
  <si>
    <t>Ethiopienne - Ethiopian</t>
  </si>
  <si>
    <t>Fidjienne- Fijian</t>
  </si>
  <si>
    <t>Philippine - Filipino</t>
  </si>
  <si>
    <t>Finlandaise - Finnish</t>
  </si>
  <si>
    <t>Franҫaise - French</t>
  </si>
  <si>
    <t>Gabonaise - Gabonese</t>
  </si>
  <si>
    <t>Gambienne - Gambian</t>
  </si>
  <si>
    <t>Gaza</t>
  </si>
  <si>
    <t>Géorgienne - Georgian</t>
  </si>
  <si>
    <t>Allemande - German</t>
  </si>
  <si>
    <t>Ghanéenne - Ghanaian</t>
  </si>
  <si>
    <t>Gibraltar</t>
  </si>
  <si>
    <t>Grecque - Greek</t>
  </si>
  <si>
    <t>Grenadienne - Grenadian</t>
  </si>
  <si>
    <t>Guatémaltèque - Guatemalan</t>
  </si>
  <si>
    <t>Guinea-Bissauan</t>
  </si>
  <si>
    <t>Guinéenne - Guinean</t>
  </si>
  <si>
    <t>Guyanaise - Guyanese</t>
  </si>
  <si>
    <t>Haïtienne - Haitian</t>
  </si>
  <si>
    <t>Herzegovinian</t>
  </si>
  <si>
    <t>Hondurienne - Honduran</t>
  </si>
  <si>
    <t>Hong Kong</t>
  </si>
  <si>
    <t>Hongroise - Hungarian</t>
  </si>
  <si>
    <t>Kiribatienne - I-Kiribati</t>
  </si>
  <si>
    <t>Islandaise - Icelander</t>
  </si>
  <si>
    <t>II. Heard/McDon.</t>
  </si>
  <si>
    <t>Ile Bouvet</t>
  </si>
  <si>
    <t>Ile Norfolk</t>
  </si>
  <si>
    <t>Iles Cook</t>
  </si>
  <si>
    <t>Iles Minor Outl</t>
  </si>
  <si>
    <t>Iles Tokelau</t>
  </si>
  <si>
    <t>Indienne - Indian</t>
  </si>
  <si>
    <t>Indonésienne - Indonesian</t>
  </si>
  <si>
    <t>Iranienne - Iranian</t>
  </si>
  <si>
    <t>Irakienne - Iraqi</t>
  </si>
  <si>
    <t>Irlandaise - Irish</t>
  </si>
  <si>
    <t>Israélienne - Israeli</t>
  </si>
  <si>
    <t>Italienne - Italian</t>
  </si>
  <si>
    <t>Ivoirienne - Ivorian</t>
  </si>
  <si>
    <t>Jamaïcaine - Jamaican</t>
  </si>
  <si>
    <t>Japonaise - Japanese</t>
  </si>
  <si>
    <t>Jordanienne - Jordanian</t>
  </si>
  <si>
    <t>Kazakhe - Kazakhstani</t>
  </si>
  <si>
    <t>Kenyane - Kenyan</t>
  </si>
  <si>
    <t>Kirghistani</t>
  </si>
  <si>
    <t>Kittian et Nevisian - Kittian and Nevisian</t>
  </si>
  <si>
    <t>Koweitienne - Kuwaiti</t>
  </si>
  <si>
    <t>Kirghize - Kyrgyz</t>
  </si>
  <si>
    <t>Laotienne - Laotian</t>
  </si>
  <si>
    <t>Lettone - Latvian</t>
  </si>
  <si>
    <t>Libanaise - Lebanese</t>
  </si>
  <si>
    <t>Lesothane - Lesotho</t>
  </si>
  <si>
    <t>Libérienne - Liberian</t>
  </si>
  <si>
    <t>Libyenne - Libyan</t>
  </si>
  <si>
    <t>Liechtenstein - Liechtensteiner</t>
  </si>
  <si>
    <t>Lituanienne - Lithuanian</t>
  </si>
  <si>
    <t>Luxembourgeoise - Luxembourg</t>
  </si>
  <si>
    <t>Macédonienne - Macedonian</t>
  </si>
  <si>
    <t>Madagascan</t>
  </si>
  <si>
    <t>Malgache - Malagasy</t>
  </si>
  <si>
    <t>Malawienne - Malawian</t>
  </si>
  <si>
    <t>Malaisienne - Malaysian</t>
  </si>
  <si>
    <t>Maldivienne - Maldivan</t>
  </si>
  <si>
    <t>Malienne - Malian</t>
  </si>
  <si>
    <t>Maltaise - Maltese</t>
  </si>
  <si>
    <t>IIes Marshall - Marshallese</t>
  </si>
  <si>
    <t>Mauritanienne - Mauritanian</t>
  </si>
  <si>
    <t>Mauricienne - Mauritian</t>
  </si>
  <si>
    <t>Member of Irish Traveller Community</t>
  </si>
  <si>
    <t>Mexicaine - Mexican</t>
  </si>
  <si>
    <t>Micronésienne - Micronesian</t>
  </si>
  <si>
    <t>Moldave - Moldovan</t>
  </si>
  <si>
    <t>Monégasque - Monacan</t>
  </si>
  <si>
    <t>Mongole - Mongolian</t>
  </si>
  <si>
    <t>Montenegro</t>
  </si>
  <si>
    <t>Montserrat</t>
  </si>
  <si>
    <t>Marocaine - Moroccan</t>
  </si>
  <si>
    <t>Mosotho</t>
  </si>
  <si>
    <t>Motswana</t>
  </si>
  <si>
    <t>Mozambicaine - Mozambican</t>
  </si>
  <si>
    <t>Myanmar</t>
  </si>
  <si>
    <t>Namibienne - Namibian</t>
  </si>
  <si>
    <t>Nauruane - Nauruan</t>
  </si>
  <si>
    <t>Népalaise - Nepalese</t>
  </si>
  <si>
    <t>Néo-zélandaise - New Zealander</t>
  </si>
  <si>
    <t>Vanuatuane - Ni-Vanuatu</t>
  </si>
  <si>
    <t>Nicaraguayenne - Nicaraguan</t>
  </si>
  <si>
    <t>Nigérienne - Nigerian</t>
  </si>
  <si>
    <t>Niue</t>
  </si>
  <si>
    <t>Coréenne du Nord - North Korean</t>
  </si>
  <si>
    <t>Norvégienne - Norwegian</t>
  </si>
  <si>
    <t>Non déclaré - Not declared</t>
  </si>
  <si>
    <t>Inconnu - Not known</t>
  </si>
  <si>
    <t>Omanaise - Omani</t>
  </si>
  <si>
    <t>D'autre identité nationale - Other national identity</t>
  </si>
  <si>
    <t>Pakistanaise - Pakistani</t>
  </si>
  <si>
    <t>Palau - Palauan</t>
  </si>
  <si>
    <t>Palestine - Palestinian</t>
  </si>
  <si>
    <t>Panaméenne - Panamanian</t>
  </si>
  <si>
    <t>Papouan-n.guin. - Papua New Guinean</t>
  </si>
  <si>
    <t>Paraguayenne - Paraguayan</t>
  </si>
  <si>
    <t>Péruvienne - Peruvian</t>
  </si>
  <si>
    <t>Polonaise - Polish</t>
  </si>
  <si>
    <t>Portugaise - Portuguese</t>
  </si>
  <si>
    <t>Qatari</t>
  </si>
  <si>
    <t>Roumaine - Romanian</t>
  </si>
  <si>
    <t>Russe - Russian</t>
  </si>
  <si>
    <t>Rwandaise - Rwandan</t>
  </si>
  <si>
    <t>Saint Lucian</t>
  </si>
  <si>
    <t>Saint-lucienne</t>
  </si>
  <si>
    <t>Sainte-Hélène</t>
  </si>
  <si>
    <t>Salvadorienne - Salvadoran</t>
  </si>
  <si>
    <t>Samoane - Samoan</t>
  </si>
  <si>
    <t>Saint-marinaise - San Marinese</t>
  </si>
  <si>
    <t>Santoméenne - Santomeic</t>
  </si>
  <si>
    <t>Sao Tomean</t>
  </si>
  <si>
    <t>Saoudienne - Saudi</t>
  </si>
  <si>
    <t>Sénégalaise - Senegalese</t>
  </si>
  <si>
    <t>Serbe-Monténég. - Serbian</t>
  </si>
  <si>
    <t>Seychelloise - Seychellois</t>
  </si>
  <si>
    <t>Sierra-léonaise - Sierra Leonean</t>
  </si>
  <si>
    <t>Singapourienne - Singaporean</t>
  </si>
  <si>
    <t>Slovaque - Slovakian</t>
  </si>
  <si>
    <t>Slovène - Slovenian</t>
  </si>
  <si>
    <t>Salomonaise - Solomon Islander</t>
  </si>
  <si>
    <t>Somalienne - Somali</t>
  </si>
  <si>
    <t>Sud-africaine - South African</t>
  </si>
  <si>
    <t>Coréenne du Sud - South Korean</t>
  </si>
  <si>
    <t>Espagnole - Spanish</t>
  </si>
  <si>
    <t>Sri-Lankais - Sri Lankan</t>
  </si>
  <si>
    <t>Soudanaise - Sudanese</t>
  </si>
  <si>
    <t>Surinamienne - Surinamer</t>
  </si>
  <si>
    <t>Swazi</t>
  </si>
  <si>
    <t>Suédoise - Swedish</t>
  </si>
  <si>
    <t>Suisse - Swiss</t>
  </si>
  <si>
    <t>Syrienne - Syrian</t>
  </si>
  <si>
    <t>Taïwanaise - Taiwanese</t>
  </si>
  <si>
    <t>Tadjike - Tajik</t>
  </si>
  <si>
    <t>Tanzanienne - Tanzanian</t>
  </si>
  <si>
    <t>TerBritOcéanInd</t>
  </si>
  <si>
    <t>Thaïlandaise - Thai</t>
  </si>
  <si>
    <t>Togolaise - Togolese</t>
  </si>
  <si>
    <t>Tonguienne - Tongan</t>
  </si>
  <si>
    <t>Trinidadienne - Trinidadian or Tobagonian</t>
  </si>
  <si>
    <t>Tunisienne - Tunisian</t>
  </si>
  <si>
    <t>Turque - Turkish</t>
  </si>
  <si>
    <t>Turkmène - Turkmen</t>
  </si>
  <si>
    <t>Turks &amp; Caicos - Turks &amp; Caicos</t>
  </si>
  <si>
    <t>Tuvaluane - Tuvaluan</t>
  </si>
  <si>
    <t>Ougandaise - Ugandan</t>
  </si>
  <si>
    <t>Ukrainienne - Ukrainian</t>
  </si>
  <si>
    <t>des Emir.arabes  - United Arab Emirates</t>
  </si>
  <si>
    <t>Uruguayenne - Uruguayan</t>
  </si>
  <si>
    <t>Uzbekistani</t>
  </si>
  <si>
    <t>Vatican - Vatican City</t>
  </si>
  <si>
    <t>Vénézuélienne - Venezuelan</t>
  </si>
  <si>
    <t>Vietnamienne - Vietnamese</t>
  </si>
  <si>
    <t>Vincentaise</t>
  </si>
  <si>
    <t>Wallis &amp; Futuna</t>
  </si>
  <si>
    <t>Yéménite - Yemenite</t>
  </si>
  <si>
    <t>Yougoslave - Yugoslavian</t>
  </si>
  <si>
    <t>Zairian</t>
  </si>
  <si>
    <t>Zambienne - Zambian</t>
  </si>
  <si>
    <t>Zimbabwéenne - Zimbabwean</t>
  </si>
  <si>
    <t>de St Chr.&amp;</t>
  </si>
  <si>
    <t>!!!!!!!!!!!!!!</t>
  </si>
  <si>
    <t>!!!!!!!!</t>
  </si>
  <si>
    <t>Hayat BELECHGUER</t>
  </si>
  <si>
    <t>Hajar CHIHEB</t>
  </si>
  <si>
    <t>Mohamed KARKACH</t>
  </si>
  <si>
    <t>Achraf SADKI</t>
  </si>
  <si>
    <t>Mohamed EL CAIDI</t>
  </si>
  <si>
    <t>Hatim EL KHAMLICHI</t>
  </si>
  <si>
    <t>Youness MOUHIM</t>
  </si>
  <si>
    <t>Nabil HACHIMI</t>
  </si>
  <si>
    <t>Imad EL FASSI</t>
  </si>
  <si>
    <t>Hanane JAMALI</t>
  </si>
  <si>
    <t>Majda MOUJAHID</t>
  </si>
  <si>
    <t>Mariam CHAHID</t>
  </si>
  <si>
    <t>Mohamed Amine BELHASSAN</t>
  </si>
  <si>
    <t>Hind SERMANI</t>
  </si>
  <si>
    <t>Ahmed AINOUZ</t>
  </si>
  <si>
    <t>Allal DOUICH</t>
  </si>
  <si>
    <t>Anass EL BACHI</t>
  </si>
  <si>
    <t>Asmaa MIMOUH</t>
  </si>
  <si>
    <t>Sarra TIMJERDINE</t>
  </si>
  <si>
    <t>Abdelali KHALLOQ</t>
  </si>
  <si>
    <t>Jamal BAHCINE</t>
  </si>
  <si>
    <t>Youssef SALAS</t>
  </si>
  <si>
    <t>Salima LARHZILI</t>
  </si>
  <si>
    <t>Ahmed BADARI</t>
  </si>
  <si>
    <t>Hind EL HILALI</t>
  </si>
  <si>
    <t>Youssef STAIFA</t>
  </si>
  <si>
    <t>Ikram ELFAIZ</t>
  </si>
  <si>
    <t>Radouane BOUGATTAYA</t>
  </si>
  <si>
    <t>Bouchra CHAOUCH</t>
  </si>
  <si>
    <t>Nawal NAFISSE</t>
  </si>
  <si>
    <t>Fatima Ezzahra LAFRIZI</t>
  </si>
  <si>
    <t>Bouchra LAKHAL</t>
  </si>
  <si>
    <t>Boutayna RBAIBI</t>
  </si>
  <si>
    <t>Aimad KADIRI</t>
  </si>
  <si>
    <t>Yassine BOUTEKNA</t>
  </si>
  <si>
    <t>Zineb OUIZZANE</t>
  </si>
  <si>
    <t>Lamiae ACHOUR</t>
  </si>
  <si>
    <t>Abderrahim EZZIHI</t>
  </si>
  <si>
    <t>Youssef EL AOMARIYINE</t>
  </si>
  <si>
    <t>Chaimae BRIMI</t>
  </si>
  <si>
    <t>Walid WASSATE</t>
  </si>
  <si>
    <t>Soukaina FARRI</t>
  </si>
  <si>
    <t>Loubna CHAOUI</t>
  </si>
  <si>
    <t>Amine QUARROUSSI</t>
  </si>
  <si>
    <t>Assia AOUBID</t>
  </si>
  <si>
    <t>Mohammed AL KABBAB</t>
  </si>
  <si>
    <t>Wissam BENADDI</t>
  </si>
  <si>
    <t>Ayoub EL YALAOUI</t>
  </si>
  <si>
    <t>Hajar AIT SAID</t>
  </si>
  <si>
    <t>Saadia ATANAN</t>
  </si>
  <si>
    <t>Lahcen QBIBI</t>
  </si>
  <si>
    <t>Mohammed AMRANI</t>
  </si>
  <si>
    <t>Abir CHAIBOUB</t>
  </si>
  <si>
    <t>Soufiane NIKMAOUI</t>
  </si>
  <si>
    <t>El Haouari EL MALKI</t>
  </si>
  <si>
    <t>Dounia KARYM</t>
  </si>
  <si>
    <t>Mouna LAKHDAR</t>
  </si>
  <si>
    <t>Houda EL HILALI</t>
  </si>
  <si>
    <t>Merouane Mohamed BENAYOUB</t>
  </si>
  <si>
    <t>Bouchra EL KANDSI</t>
  </si>
  <si>
    <t>Asma SABED</t>
  </si>
  <si>
    <t>Fatima Zahra HADRI</t>
  </si>
  <si>
    <t>Hajar EL MAJD</t>
  </si>
  <si>
    <t>Mohammed Youssef AKESBI</t>
  </si>
  <si>
    <t>Faiçal EL FATIHI</t>
  </si>
  <si>
    <t>Mohamed TAHIRI</t>
  </si>
  <si>
    <t>Zakaria Mohamed LALAMI</t>
  </si>
  <si>
    <t>Outman GUELIDA</t>
  </si>
  <si>
    <t>Oussama QUARROUSSI</t>
  </si>
  <si>
    <t>Amina LAMDAYEB</t>
  </si>
  <si>
    <t>Assia MAKBOUL</t>
  </si>
  <si>
    <t>Zakaria TMAR</t>
  </si>
  <si>
    <t>Hind BOUCHRHEL</t>
  </si>
  <si>
    <t>Youssef RAIHANI</t>
  </si>
  <si>
    <t>Abdelilah NABIH</t>
  </si>
  <si>
    <t>Youssef ENNAJAH</t>
  </si>
  <si>
    <t>Oussama MALOUL</t>
  </si>
  <si>
    <t>Brahim DIF ELIDRISSI</t>
  </si>
  <si>
    <t>Brahim RADI</t>
  </si>
  <si>
    <t>Adnane BOUTAHAR</t>
  </si>
  <si>
    <t>Mahmoud DIOURI</t>
  </si>
  <si>
    <t>Ayoub ZAHRAOUI</t>
  </si>
  <si>
    <t>Farah AYAD</t>
  </si>
  <si>
    <t>Hicham BOUANANE HASSANI</t>
  </si>
  <si>
    <t>Hind JANATI</t>
  </si>
  <si>
    <t>Yasmina NAHER</t>
  </si>
  <si>
    <t>Leila EL ORF</t>
  </si>
  <si>
    <t>Rachid LAASRI</t>
  </si>
  <si>
    <t>Aicha ZENNADI</t>
  </si>
  <si>
    <t>Fatima Zahra EL AMRAOUI</t>
  </si>
  <si>
    <t>Ikrame GUEMRA</t>
  </si>
  <si>
    <t>Fatima Ezzahara EL GHANNAMI</t>
  </si>
  <si>
    <t>Salma TADILI</t>
  </si>
  <si>
    <t>Lahsen BIHIMEDEN</t>
  </si>
  <si>
    <t>Rachid BOUAZ</t>
  </si>
  <si>
    <t>Zakaria IBNOU ZAHIR</t>
  </si>
  <si>
    <t>Aya OMRAN</t>
  </si>
  <si>
    <t>Adil OUWAHBI</t>
  </si>
  <si>
    <t>Naoufal LIMOURI</t>
  </si>
  <si>
    <t>Walid DARIF</t>
  </si>
  <si>
    <t>Amal TIZRIT</t>
  </si>
  <si>
    <t>Fatima Ez-Zahra ELGHAMRASNI</t>
  </si>
  <si>
    <t>Youssef AIT TALEB</t>
  </si>
  <si>
    <t>Nouhaila BOUZEKRI</t>
  </si>
  <si>
    <t>Yousra GUEDIRA</t>
  </si>
  <si>
    <t>Brahim BOURKIB</t>
  </si>
  <si>
    <t>Safae ZOUGGAGH</t>
  </si>
  <si>
    <t>Naoufal EL BANI</t>
  </si>
  <si>
    <t>Idriss NEMMAOUI</t>
  </si>
  <si>
    <t>Imane DIOUANE</t>
  </si>
  <si>
    <t>Said KOSSOURI</t>
  </si>
  <si>
    <t>Taha BOUSSETTA</t>
  </si>
  <si>
    <t>Ottman WASFI</t>
  </si>
  <si>
    <t>Anass FAROUQ</t>
  </si>
  <si>
    <t>Soukaina OUBEL</t>
  </si>
  <si>
    <t>Ahmed NAIT NADIR</t>
  </si>
  <si>
    <t>Said TOUATI</t>
  </si>
  <si>
    <t>Khadija HABYB ELLAH</t>
  </si>
  <si>
    <t>Latifa LEGSABI</t>
  </si>
  <si>
    <t>Hasna HATIM</t>
  </si>
  <si>
    <t>Khalid AIT SFER</t>
  </si>
  <si>
    <t>Ahmed Rida DAIF</t>
  </si>
  <si>
    <t>Mohamed EL GHADFI</t>
  </si>
  <si>
    <t>Saida BENTAIFOUR</t>
  </si>
  <si>
    <t>Mehdi EL HAROUCHE</t>
  </si>
  <si>
    <t>Sanaa JALIL</t>
  </si>
  <si>
    <t>Rababe BOUZIANE</t>
  </si>
  <si>
    <t>Intissar AHSISSEN</t>
  </si>
  <si>
    <t>Manal BOUFAROUJ</t>
  </si>
  <si>
    <t>Aymane ALLA</t>
  </si>
  <si>
    <t>Nacira AKHIYAT</t>
  </si>
  <si>
    <t>Moulay Tahar ALAOUI</t>
  </si>
  <si>
    <t>Othmane NACIRI</t>
  </si>
  <si>
    <t>Sara ABOUELFADEL</t>
  </si>
  <si>
    <t>Yassmine ANNI</t>
  </si>
  <si>
    <t>Khadija MOUKHLESS</t>
  </si>
  <si>
    <t>Zakaria JAOUAD</t>
  </si>
  <si>
    <t>Reda ALAMI TALBI</t>
  </si>
  <si>
    <t>Asmaa BELFERHAT</t>
  </si>
  <si>
    <t>Soufiane BOULIF</t>
  </si>
  <si>
    <t>Malika GOUCHENE</t>
  </si>
  <si>
    <t>Samah ATOUT</t>
  </si>
  <si>
    <t>Marouane ROUANE</t>
  </si>
  <si>
    <t>Hamza ZDAOUI</t>
  </si>
  <si>
    <t>Marouan KABIT</t>
  </si>
  <si>
    <t>Mouhanad EL FILALI</t>
  </si>
  <si>
    <t>Samia EL YANDOUZI</t>
  </si>
  <si>
    <t>Imad EL GACHARE</t>
  </si>
  <si>
    <t>Ayoub RECHAM</t>
  </si>
  <si>
    <t>Hind OUMISQUINE</t>
  </si>
  <si>
    <t>Kaoutar DERKAOUI</t>
  </si>
  <si>
    <t>Hamza SALHEDDINE</t>
  </si>
  <si>
    <t>Mostafa Reda SAYAD</t>
  </si>
  <si>
    <t>Karim ADDIRAI</t>
  </si>
  <si>
    <t>Othmane EL BEKKAOUI</t>
  </si>
  <si>
    <t>Imane MOUJAHID</t>
  </si>
  <si>
    <t>Nourelhouda IBRAHIMI</t>
  </si>
  <si>
    <t>Safaa SOUIDA</t>
  </si>
  <si>
    <t>Zineb BENYAHIA</t>
  </si>
  <si>
    <t>Omar AMAOUN</t>
  </si>
  <si>
    <t>Soukaina FARIH</t>
  </si>
  <si>
    <t>Aboubacar HAMANI ABDOU</t>
  </si>
  <si>
    <t>Amine ZAGHLY</t>
  </si>
  <si>
    <t>Akram FARISSI</t>
  </si>
  <si>
    <t>Sara DINOUNE</t>
  </si>
  <si>
    <t>Mohamed MAHFOUDI</t>
  </si>
  <si>
    <t>Mohamed Taha LAHRIZI</t>
  </si>
  <si>
    <t>Mohamed KADIRI</t>
  </si>
  <si>
    <t>Hanane ACHAOUD</t>
  </si>
  <si>
    <t>Zakaria MOURAD</t>
  </si>
  <si>
    <t>Mohammed Amine BAKRAOUI</t>
  </si>
  <si>
    <t>Houssam BOUMAHDI</t>
  </si>
  <si>
    <t>Hajar ADERRAB</t>
  </si>
  <si>
    <t>Jihane HOUMIYA</t>
  </si>
  <si>
    <t>Moulay Rachid ALAOUI</t>
  </si>
  <si>
    <t>Alaaeddine BOUNJOUM</t>
  </si>
  <si>
    <t>Imane MAHDI</t>
  </si>
  <si>
    <t>Mohamed FAGHANNI</t>
  </si>
  <si>
    <t>Fouad MOUZOUN</t>
  </si>
  <si>
    <t>Kaltoum SGHIR</t>
  </si>
  <si>
    <t>Fatima Ezzahra ISSER</t>
  </si>
  <si>
    <t>Mouhcine TALBI</t>
  </si>
  <si>
    <t>Hatim BOUDABZA</t>
  </si>
  <si>
    <t>Sadik EL JADIDI ALAOUI</t>
  </si>
  <si>
    <t>Khaoula EL AMRANI</t>
  </si>
  <si>
    <t>Fatima Ezzahra BENNOUNA</t>
  </si>
  <si>
    <t>Mohammed Lotfi ZNIBER</t>
  </si>
  <si>
    <t>Younes SOUTEH</t>
  </si>
  <si>
    <t>Mohamed SADIK</t>
  </si>
  <si>
    <t>Tarik SEGHIOUER</t>
  </si>
  <si>
    <t>Samira OUKHACH</t>
  </si>
  <si>
    <t>Marouane EL HAZIME</t>
  </si>
  <si>
    <t>Hind TAJMOUATI</t>
  </si>
  <si>
    <t>Said JOUI</t>
  </si>
  <si>
    <t>Saad HACHAMI</t>
  </si>
  <si>
    <t>Madiha SEBBAR</t>
  </si>
  <si>
    <t>Jaouad DAMRANI</t>
  </si>
  <si>
    <t>Aymane EL ALAOUI</t>
  </si>
  <si>
    <t>Abdelhadi OUARIT</t>
  </si>
  <si>
    <t>Fatima Zahra ATRAOUI</t>
  </si>
  <si>
    <t>Fatima NADIRI</t>
  </si>
  <si>
    <t>Mouad TAKKAL</t>
  </si>
  <si>
    <t>Khalid SOLH</t>
  </si>
  <si>
    <t>Zineb NAFISS</t>
  </si>
  <si>
    <t>Zakaria BENNASSER</t>
  </si>
  <si>
    <t>Houda OUAZZANI</t>
  </si>
  <si>
    <t>Jalal BELGHAZI</t>
  </si>
  <si>
    <t>El Mahdi EL MOUNADI</t>
  </si>
  <si>
    <t>Soufiane KOUZAIBAR</t>
  </si>
  <si>
    <t>Mohamed El Mehdi TABCHI</t>
  </si>
  <si>
    <t>Salma FILALI</t>
  </si>
  <si>
    <t>Imane FARKCHI</t>
  </si>
  <si>
    <t>Anis LAAZOUZI</t>
  </si>
  <si>
    <t>Abdelhafid BENKIRANE</t>
  </si>
  <si>
    <t>Fatima Zahra HANOUNOU</t>
  </si>
  <si>
    <t>Mohamed ELHIRECH</t>
  </si>
  <si>
    <t>Anas MOUDNIB</t>
  </si>
  <si>
    <t>Soukaina ZOUBIR</t>
  </si>
  <si>
    <t>Mehdi KAGHAT</t>
  </si>
  <si>
    <t>Zakaria DOUHAIBI</t>
  </si>
  <si>
    <t>Meryem BENDAOU</t>
  </si>
  <si>
    <t>Mohamed CHANYA</t>
  </si>
  <si>
    <t>Younes FETTAH</t>
  </si>
  <si>
    <t>Saida KOUISS</t>
  </si>
  <si>
    <t>Jamal EDDARKAOUI EL IDRISSI</t>
  </si>
  <si>
    <t>Rachid FAIZ</t>
  </si>
  <si>
    <t>Mounia KOUTAIB</t>
  </si>
  <si>
    <t>Mohammed EL BOUSSLAMTI</t>
  </si>
  <si>
    <t>Issam MEHSSANI</t>
  </si>
  <si>
    <t>Najim BELKADI</t>
  </si>
  <si>
    <t>Afaf MOUFTAKIR</t>
  </si>
  <si>
    <t>Ishaq HAMANE</t>
  </si>
  <si>
    <t>Imad EL BAKKARI</t>
  </si>
  <si>
    <t>Abderrafii EL HIDANI</t>
  </si>
  <si>
    <t>Meryem EL FALLAH</t>
  </si>
  <si>
    <t>Rajae MALIK</t>
  </si>
  <si>
    <t>Amine LAALOU</t>
  </si>
  <si>
    <t>Hamza OUJDI</t>
  </si>
  <si>
    <t>Omar MRANI</t>
  </si>
  <si>
    <t>Assya ZAHIR</t>
  </si>
  <si>
    <t>Meriem BELASRI</t>
  </si>
  <si>
    <t>Fatima AHMADI</t>
  </si>
  <si>
    <t>Loubna MEFTAH</t>
  </si>
  <si>
    <t>Hicham BENZOHRA</t>
  </si>
  <si>
    <t>Majdouline FILALI BOUAMI</t>
  </si>
  <si>
    <t>Chaimae SIFFAR</t>
  </si>
  <si>
    <t>Hala BELLEBBARDI</t>
  </si>
  <si>
    <t>Ikram EL ASRI</t>
  </si>
  <si>
    <t>Sarra MOUTAIB</t>
  </si>
  <si>
    <t>Redouane LAMKADEM</t>
  </si>
  <si>
    <t>Mohamed TOUFFAHI</t>
  </si>
  <si>
    <t>Hajar AATABOU</t>
  </si>
  <si>
    <t>Mohammed SELOUANE</t>
  </si>
  <si>
    <t>Soufiane BEN AYOUB</t>
  </si>
  <si>
    <t>Youness BADRI</t>
  </si>
  <si>
    <t>Ridha KHLASS</t>
  </si>
  <si>
    <t>Imane AFTIS</t>
  </si>
  <si>
    <t>Zineb TALBI</t>
  </si>
  <si>
    <t>Soukaina TAOUSSI</t>
  </si>
  <si>
    <t>Lamyaâ KARAM</t>
  </si>
  <si>
    <t>Ikram GUENNICH</t>
  </si>
  <si>
    <t>Aziz LAGHDAIF</t>
  </si>
  <si>
    <t>Badr LAMRANI</t>
  </si>
  <si>
    <t>Nabil BRAHIM</t>
  </si>
  <si>
    <t>Hajiba EL HAYL</t>
  </si>
  <si>
    <t>Nabil EL BYED</t>
  </si>
  <si>
    <t>Abdelouahab GHAZI JERNITI</t>
  </si>
  <si>
    <t>Hamza BICHRI</t>
  </si>
  <si>
    <t>Zakaria OUJEBBAD</t>
  </si>
  <si>
    <t>Youssef EL GAMRANI</t>
  </si>
  <si>
    <t>Mohamed JARJAR</t>
  </si>
  <si>
    <t>Ilham RACHIDI-ALAOUI</t>
  </si>
  <si>
    <t>Saad BOUTAICHA</t>
  </si>
  <si>
    <t>Charif FAHIM</t>
  </si>
  <si>
    <t>Yassine SAIDI</t>
  </si>
  <si>
    <t>Iliass AICHANE</t>
  </si>
  <si>
    <t>Driss HOUARI</t>
  </si>
  <si>
    <t>Sara ALOUZ</t>
  </si>
  <si>
    <t>Mohamed Amine EL BOUKILI</t>
  </si>
  <si>
    <t>Hamza BEN OUATIK</t>
  </si>
  <si>
    <t>Karim EL MAZOUNI</t>
  </si>
  <si>
    <t>Imane AMELI</t>
  </si>
  <si>
    <t>Sara ZYDANE</t>
  </si>
  <si>
    <t>Khalil ALCRDATE</t>
  </si>
  <si>
    <t>Marouane ERRAKI</t>
  </si>
  <si>
    <t>Ayoub HAFDI</t>
  </si>
  <si>
    <t>El Ghali YAKOUBI SOUSSANE</t>
  </si>
  <si>
    <t>Rachid EL MESKINE</t>
  </si>
  <si>
    <t>Salim AIT BENALI</t>
  </si>
  <si>
    <t>Ahmed AMMAR</t>
  </si>
  <si>
    <t>Aicha ADNANE</t>
  </si>
  <si>
    <t>Asmae EL FAGHLOUMI</t>
  </si>
  <si>
    <t>Jihane CHKIRATE</t>
  </si>
  <si>
    <t>Oumayma ENNEBET</t>
  </si>
  <si>
    <t>Ilyass HAFID</t>
  </si>
  <si>
    <t>Mohamed Karim TOUAMI</t>
  </si>
  <si>
    <t>Taha LAKLALECH</t>
  </si>
  <si>
    <t>Omar AZOUZ</t>
  </si>
  <si>
    <t>Adam HOUMDI</t>
  </si>
  <si>
    <t>Hicham SRIR</t>
  </si>
  <si>
    <t>Mohammed HAMMANI</t>
  </si>
  <si>
    <t>Wafaa HANI</t>
  </si>
  <si>
    <t>Hicham ES-SAADANI</t>
  </si>
  <si>
    <t>Amine EL MOUTCHOU</t>
  </si>
  <si>
    <t>Amal AHLYEL</t>
  </si>
  <si>
    <t>Amine EL ATMANI</t>
  </si>
  <si>
    <t>Fouad TATBI</t>
  </si>
  <si>
    <t>Saloua EL HAJHOUJ</t>
  </si>
  <si>
    <t>Mohamed JAWHAR</t>
  </si>
  <si>
    <t>Hanae ELMEKKI</t>
  </si>
  <si>
    <t>Mohamed BOUKRICHA</t>
  </si>
  <si>
    <t>Nour El Yakine HAMDANE</t>
  </si>
  <si>
    <t>Fatima Zohra DOUNAS</t>
  </si>
  <si>
    <t>Safa KHOUI</t>
  </si>
  <si>
    <t>Mohamed BCHIRI</t>
  </si>
  <si>
    <t>Imane BALLAJI</t>
  </si>
  <si>
    <t>Sanae BENKERROUM</t>
  </si>
  <si>
    <t>Soumya EL HAFID</t>
  </si>
  <si>
    <t>Zouhair OUHDID</t>
  </si>
  <si>
    <t>Hajar CHERTI</t>
  </si>
  <si>
    <t>Zineb ISSIMOR</t>
  </si>
  <si>
    <t>Ismail BODOR</t>
  </si>
  <si>
    <t>Mahmoud ZAKARIA</t>
  </si>
  <si>
    <t>Es-Saleh OUZOULI</t>
  </si>
  <si>
    <t>Rajae EL AZZOUZI</t>
  </si>
  <si>
    <t>Benaissa EL BACHA</t>
  </si>
  <si>
    <t>Rania EL MEJDOUBI</t>
  </si>
  <si>
    <t>Ahmed-Amine DOUDA</t>
  </si>
  <si>
    <t>Charaf AAID</t>
  </si>
  <si>
    <t>Zineb MESKAOUI</t>
  </si>
  <si>
    <t>Sara RAGGAD</t>
  </si>
  <si>
    <t>Mehdi LERHZAOUNI</t>
  </si>
  <si>
    <t>Imane KAROUMI</t>
  </si>
  <si>
    <t>Hamza EL KARROUMI</t>
  </si>
  <si>
    <t>Ibtissam SAIH</t>
  </si>
  <si>
    <t>Mohamed EL GOURTY</t>
  </si>
  <si>
    <t>Ghassan MOUTAI</t>
  </si>
  <si>
    <t>Mohamed ECHCHAACHOUAI</t>
  </si>
  <si>
    <t>Fatima Zahrae DADDA</t>
  </si>
  <si>
    <t>Hamid EL GUENAOUI</t>
  </si>
  <si>
    <t>Maryem MOUFADDAL</t>
  </si>
  <si>
    <t>Ayyoub GAMRANI</t>
  </si>
  <si>
    <t>Youssef KOUDY</t>
  </si>
  <si>
    <t>Laila LOUAMAN</t>
  </si>
  <si>
    <t>Merieme SLIMANE</t>
  </si>
  <si>
    <t>Imane ZEMMOURI</t>
  </si>
  <si>
    <t>Hicham MOULINE</t>
  </si>
  <si>
    <t>Idriss RACHEDI</t>
  </si>
  <si>
    <t>Idriss JOUID</t>
  </si>
  <si>
    <t>Adil ECH CHABI</t>
  </si>
  <si>
    <t>Hanane OUBEL</t>
  </si>
  <si>
    <t>El Mostafa MORTAKI</t>
  </si>
  <si>
    <t>Mohamed Rida ELKHANCHOUFI</t>
  </si>
  <si>
    <t>Firdaous KHEMLICHI</t>
  </si>
  <si>
    <t>Khalid TAIB</t>
  </si>
  <si>
    <t>Imad KHAIRELLAH</t>
  </si>
  <si>
    <t>Hasnaa MATRANE</t>
  </si>
  <si>
    <t>Sophia BENBOUBKER</t>
  </si>
  <si>
    <t>Abdelmounaim LRHORFI</t>
  </si>
  <si>
    <t>Meriem JAHFEL</t>
  </si>
  <si>
    <t>Karim ELAZREQ</t>
  </si>
  <si>
    <t>Yassine BENYOUSSEF</t>
  </si>
  <si>
    <t>Mohamed FOUDALI</t>
  </si>
  <si>
    <t>Hajar TALBI</t>
  </si>
  <si>
    <t>Mohamed EL MARHOUNI</t>
  </si>
  <si>
    <t>Alkhalil BELKHARRAZ</t>
  </si>
  <si>
    <t>Ghita MEFTAH</t>
  </si>
  <si>
    <t>Othman NADER</t>
  </si>
  <si>
    <t>Sara ELFJER</t>
  </si>
  <si>
    <t>Hajar BENDRISS</t>
  </si>
  <si>
    <t>Hamza FIGUIGUI</t>
  </si>
  <si>
    <t>Hind GHARIM</t>
  </si>
  <si>
    <t>Mohammed NAOUM</t>
  </si>
  <si>
    <t>Idriss BELKHAYAT ZOUGGARI</t>
  </si>
  <si>
    <t>Amine HANANE</t>
  </si>
  <si>
    <t>Khalid DOURGMANI</t>
  </si>
  <si>
    <t>Salma BOURISSAI</t>
  </si>
  <si>
    <t>Ilyass MBASSO</t>
  </si>
  <si>
    <t>Yassine AZNAG</t>
  </si>
  <si>
    <t>Salama ASSAHLI</t>
  </si>
  <si>
    <t>Oumnia SBAI</t>
  </si>
  <si>
    <t>Said THITAH</t>
  </si>
  <si>
    <t>Saleh EL OMARI</t>
  </si>
  <si>
    <t>Taha BASRI</t>
  </si>
  <si>
    <t>Hassan BOUNA</t>
  </si>
  <si>
    <t>Hanane TALBAOUI</t>
  </si>
  <si>
    <t>Badr CHNAF</t>
  </si>
  <si>
    <t>Khadija CHANNAJ</t>
  </si>
  <si>
    <t>Bader-Eddine MESSAOUDI</t>
  </si>
  <si>
    <t>Oussama LACHHEB</t>
  </si>
  <si>
    <t>Nabila BETTACHE</t>
  </si>
  <si>
    <t>Salma ZOUHAL</t>
  </si>
  <si>
    <t>Zineb TOULBI</t>
  </si>
  <si>
    <t>Younes Ali ZEGGWAGH</t>
  </si>
  <si>
    <t>Tarik RIAD</t>
  </si>
  <si>
    <t>Achraf BOUSSATA</t>
  </si>
  <si>
    <t>Salma ZAGDOUNI</t>
  </si>
  <si>
    <t>Mohammed MOUNIR</t>
  </si>
  <si>
    <t>Mouad SBITI</t>
  </si>
  <si>
    <t>Chaimaa AKRIB</t>
  </si>
  <si>
    <t>Chaimaa BEKBACHI</t>
  </si>
  <si>
    <t>Mohamed Reda BAKRI</t>
  </si>
  <si>
    <t>Mohammed EL ALAMA</t>
  </si>
  <si>
    <t>Yassine EL HARRASS</t>
  </si>
  <si>
    <t>Mohammed GHIZLANE</t>
  </si>
  <si>
    <t>Meryem ABORICHE</t>
  </si>
  <si>
    <t>Mohammed Taha RHAZI</t>
  </si>
  <si>
    <t>Abderrahim MAHBOUB</t>
  </si>
  <si>
    <t>Rajaa HADIR</t>
  </si>
  <si>
    <t>Yassine BARHOUL</t>
  </si>
  <si>
    <t>Soufiane EL OTMANI</t>
  </si>
  <si>
    <t>Hajar BOUKSSIM</t>
  </si>
  <si>
    <t>Brahim ISMAILI</t>
  </si>
  <si>
    <t>Fatima OMARI</t>
  </si>
  <si>
    <t>Badr HAKKARI</t>
  </si>
  <si>
    <t>Taoufik MOUSTAID</t>
  </si>
  <si>
    <t>Nouha TALEB ALAMI</t>
  </si>
  <si>
    <t>Asaad ELHAFIDI</t>
  </si>
  <si>
    <t>Laila BOUHADOU</t>
  </si>
  <si>
    <t>Mustapha CHABBI</t>
  </si>
  <si>
    <t>Kamal KAK</t>
  </si>
  <si>
    <t>Bassam SOUABNI</t>
  </si>
  <si>
    <t>Iliass EL RHANNI</t>
  </si>
  <si>
    <t>Meriem EL MAEZI</t>
  </si>
  <si>
    <t>Fatima Ezzahra LARROUY</t>
  </si>
  <si>
    <t>Oumaima JAMAIL</t>
  </si>
  <si>
    <t>Anass ZAHFIR</t>
  </si>
  <si>
    <t>Ouiame OUADI</t>
  </si>
  <si>
    <t>Safaa HANSABI</t>
  </si>
  <si>
    <t>Wafae HMAMED</t>
  </si>
  <si>
    <t>Saloua NAJIMI</t>
  </si>
  <si>
    <t>Soukayna SABREI</t>
  </si>
  <si>
    <t>Intissar GHAZI</t>
  </si>
  <si>
    <t>Youness DINIA</t>
  </si>
  <si>
    <t>Ismail BOUJAOUB</t>
  </si>
  <si>
    <t>Meryem NOUAR</t>
  </si>
  <si>
    <t>Abdelali BENHSAIEN</t>
  </si>
  <si>
    <t>Oussama DAKAK</t>
  </si>
  <si>
    <t>Zineb EL KHALDI</t>
  </si>
  <si>
    <t>Sarra CHAIBI</t>
  </si>
  <si>
    <t>Zakaria OUDADA</t>
  </si>
  <si>
    <t>Walid ELABASSI</t>
  </si>
  <si>
    <t>Majda BOUACHA</t>
  </si>
  <si>
    <t>Idriss BENCHEKROUN LAKRIMI</t>
  </si>
  <si>
    <t>Ahmed Nabil AL KHODARI</t>
  </si>
  <si>
    <t>Fatiha JALIL</t>
  </si>
  <si>
    <t>Saad BELHADI</t>
  </si>
  <si>
    <t>Hamza KETTANI</t>
  </si>
  <si>
    <t>Tariq AZZOUZI</t>
  </si>
  <si>
    <t>Kdidar HOUSSAINE</t>
  </si>
  <si>
    <t>Fatima Zohra LAGHOUATI</t>
  </si>
  <si>
    <t>Najlae JANE</t>
  </si>
  <si>
    <t>Abdelali EL ANSARI</t>
  </si>
  <si>
    <t>Sofia BENKIRANE</t>
  </si>
  <si>
    <t>Mouad EDDARRAZ</t>
  </si>
  <si>
    <t>Ahlam MASBAH</t>
  </si>
  <si>
    <t>Nazik HARRAG</t>
  </si>
  <si>
    <t>Sara AGOUNINE</t>
  </si>
  <si>
    <t>Anass SOFAINY</t>
  </si>
  <si>
    <t>Amine BECHAR</t>
  </si>
  <si>
    <t>Ali EL MARHRANI</t>
  </si>
  <si>
    <t>Asmae AMNAS</t>
  </si>
  <si>
    <t>Omar KALALI</t>
  </si>
  <si>
    <t>Redwane LAABAR</t>
  </si>
  <si>
    <t>Abdelmajid BOUDOUH</t>
  </si>
  <si>
    <t>Mohammed Amine BENTALBA</t>
  </si>
  <si>
    <t>Zineb LAKHDAR</t>
  </si>
  <si>
    <t>Tarik AMAL</t>
  </si>
  <si>
    <t>Abderrazzak ELKAOUNI</t>
  </si>
  <si>
    <t>Yassine EZZAIR</t>
  </si>
  <si>
    <t>Sara SMAALI</t>
  </si>
  <si>
    <t>Aicha EL HAMMAZE</t>
  </si>
  <si>
    <t>Hind EL KHADDARI</t>
  </si>
  <si>
    <t>Imad BENNIS</t>
  </si>
  <si>
    <t>Tarik JEBARA</t>
  </si>
  <si>
    <t>Souhail AARAB</t>
  </si>
  <si>
    <t>Mohamed Adil EL AYOUBI</t>
  </si>
  <si>
    <t>Abdelhamid BLGRIM</t>
  </si>
  <si>
    <t>Mohammed BOURHALEB</t>
  </si>
  <si>
    <t>Safia DIBE</t>
  </si>
  <si>
    <t>Abdesslam ASSADOUGUI</t>
  </si>
  <si>
    <t>Hanae ELHOUARI</t>
  </si>
  <si>
    <t>Nabil MSAHEL</t>
  </si>
  <si>
    <t>Imane NEJJAR</t>
  </si>
  <si>
    <t>Hassane BOUAZIZ</t>
  </si>
  <si>
    <t>Sara MAMOUNI</t>
  </si>
  <si>
    <t>Salma ABAROU</t>
  </si>
  <si>
    <t>Abdelouahab AZIZ</t>
  </si>
  <si>
    <t>Mohammed Amine WAHBI</t>
  </si>
  <si>
    <t>Malika EDEROUICH</t>
  </si>
  <si>
    <t>Abderrazak BENABDILLAH</t>
  </si>
  <si>
    <t>Zakaria ACHEMLI</t>
  </si>
  <si>
    <t>Jalal GAHIRI</t>
  </si>
  <si>
    <t>Soumia HABRRMAN</t>
  </si>
  <si>
    <t>Zakaria EL FARDOUCHI</t>
  </si>
  <si>
    <t>Sarah BENTAHAR</t>
  </si>
  <si>
    <t>Kawtar LAZAAR</t>
  </si>
  <si>
    <t>Oumaima BELMAOUI</t>
  </si>
  <si>
    <t>Zouhair CHARAF</t>
  </si>
  <si>
    <t>Mehdi MOUDRIKA</t>
  </si>
  <si>
    <t>Abdelfattah ELAMARTI</t>
  </si>
  <si>
    <t>Ahmed BENABOUD</t>
  </si>
  <si>
    <t>Zineb SAIM</t>
  </si>
  <si>
    <t>Zainab OUAHB</t>
  </si>
  <si>
    <t>Maria ZAKANI</t>
  </si>
  <si>
    <t>Mustapha EL BAQAL</t>
  </si>
  <si>
    <t>Lamiae EL GHOUMARI</t>
  </si>
  <si>
    <t>Meryem EL AMMARI</t>
  </si>
  <si>
    <t>Mohamed Amine AMGHAR</t>
  </si>
  <si>
    <t>Mohamed OUAKROUCH</t>
  </si>
  <si>
    <t>Moulay Tahar AL-ECHCHEIKH EL ALAOUI</t>
  </si>
  <si>
    <t>Ismail TAHIRI IDRISSI</t>
  </si>
  <si>
    <t>Rachida MEFTAH</t>
  </si>
  <si>
    <t>Younes EL ARIF</t>
  </si>
  <si>
    <t>Imane HMIMOU</t>
  </si>
  <si>
    <t>Zineb SABRI</t>
  </si>
  <si>
    <t>Assmaa BELAKHDAR</t>
  </si>
  <si>
    <t>Mohammed LYAZIDI</t>
  </si>
  <si>
    <t>Issam MOUHACINE</t>
  </si>
  <si>
    <t>Jihane ERRAIS</t>
  </si>
  <si>
    <t>Mohamed-El Mehdi AIT-ETTOUCH</t>
  </si>
  <si>
    <t>Jade-El-Khir BAHDAOUI</t>
  </si>
  <si>
    <t>Nabil EL BOUCHTAOUI</t>
  </si>
  <si>
    <t>Sara MESBAHI</t>
  </si>
  <si>
    <t>Souad LAFDILI</t>
  </si>
  <si>
    <t>Fatima L'HARIME</t>
  </si>
  <si>
    <t>Youssef EL HAIMER</t>
  </si>
  <si>
    <t>Chaimaa SAHTOUTI</t>
  </si>
  <si>
    <t>Zohair KAHLAOUI</t>
  </si>
  <si>
    <t>Sabrine KAOUKASY</t>
  </si>
  <si>
    <t>Safae AYAD</t>
  </si>
  <si>
    <t>Fatima Ez Zahra EL ARBAOUI</t>
  </si>
  <si>
    <t>Ayoub ANANE</t>
  </si>
  <si>
    <t>Meryem AMRI</t>
  </si>
  <si>
    <t>Yassine BERRI</t>
  </si>
  <si>
    <t>Abdeltif BENMOUSSA</t>
  </si>
  <si>
    <t>Manal MAHBOUB</t>
  </si>
  <si>
    <t>Yassine MITATA NEFARI</t>
  </si>
  <si>
    <t>Hajar ABOU EL OUYOUN</t>
  </si>
  <si>
    <t>Oussama EL BOUSSERGHINI</t>
  </si>
  <si>
    <t>Yacine OUZEROUAL</t>
  </si>
  <si>
    <t>Iman EL HADDOUTI</t>
  </si>
  <si>
    <t>Chihab Eddine LARABI</t>
  </si>
  <si>
    <t>Zineb HALAL</t>
  </si>
  <si>
    <t>Omaima EL MISSI</t>
  </si>
  <si>
    <t>Fadwa NABIH</t>
  </si>
  <si>
    <t>Manar KATIH</t>
  </si>
  <si>
    <t>Anouar BOUJAOUB</t>
  </si>
  <si>
    <t>Hajar ZELOUANI</t>
  </si>
  <si>
    <t>Hadia EL AMRI</t>
  </si>
  <si>
    <t>Sidi Mohamed Anass RIOUCH</t>
  </si>
  <si>
    <t>Noureddine ZARHLOUL</t>
  </si>
  <si>
    <t>Hicham BELMEHDI</t>
  </si>
  <si>
    <t>Nouamane KARIOH</t>
  </si>
  <si>
    <t>Mohamed EL HALFAOUI</t>
  </si>
  <si>
    <t>Said ASSELLAOUI</t>
  </si>
  <si>
    <t>Mohamed El Ghali BERRADA</t>
  </si>
  <si>
    <t>Mazin BOUDOUIK</t>
  </si>
  <si>
    <t>Oussama BELLAGNAOUI</t>
  </si>
  <si>
    <t>Touria JKAOUA</t>
  </si>
  <si>
    <t>Lamiae MESSOUSSI</t>
  </si>
  <si>
    <t>Zakaria EL KARKARI</t>
  </si>
  <si>
    <t>Rabii ATMITIM</t>
  </si>
  <si>
    <t>Mohammed MERBOUH</t>
  </si>
  <si>
    <t>Nisrine BOUTALEB</t>
  </si>
  <si>
    <t>Amal CHARY</t>
  </si>
  <si>
    <t>Ilham KORDAS</t>
  </si>
  <si>
    <t>Mohammed SAGHROUCHNI</t>
  </si>
  <si>
    <t>Marouane ATTAR</t>
  </si>
  <si>
    <t>Mohammed BOUKOUTAYA</t>
  </si>
  <si>
    <t>Naoual BOULILA</t>
  </si>
  <si>
    <t>Ikrame MENNANI</t>
  </si>
  <si>
    <t>Laila SAHNOUNI</t>
  </si>
  <si>
    <t>Mohamed TANTAOUI</t>
  </si>
  <si>
    <t>Youssef ZOUHAIRI</t>
  </si>
  <si>
    <t>Hasnae BOUROUMIYA</t>
  </si>
  <si>
    <t>Soukaina BELARACHE</t>
  </si>
  <si>
    <t>Mehdi AATAATTI</t>
  </si>
  <si>
    <t>Zakaria OULKADI</t>
  </si>
  <si>
    <t>Majd OUBOUHOU</t>
  </si>
  <si>
    <t>Safia BENHADOU</t>
  </si>
  <si>
    <t>Hamid SAHTOUTI</t>
  </si>
  <si>
    <t>Meriama ASAMLAL</t>
  </si>
  <si>
    <t>Youness HAJJI</t>
  </si>
  <si>
    <t>Fadwa SOULAIMANI ALAOUI</t>
  </si>
  <si>
    <t>Abdellatif ABBASSI</t>
  </si>
  <si>
    <t>Samiha ZDEG</t>
  </si>
  <si>
    <t>Naima SALHI</t>
  </si>
  <si>
    <t>Hicham MOURADI</t>
  </si>
  <si>
    <t>Ihsane DRIANE</t>
  </si>
  <si>
    <t>Hassan BOUCHAFRA</t>
  </si>
  <si>
    <t>Jaouad BOUKILI  CHABI</t>
  </si>
  <si>
    <t>Maria EL HARBILI</t>
  </si>
  <si>
    <t>Jamal EL OUACHCHAMA</t>
  </si>
  <si>
    <t>Nawal EL BECHRAOUI</t>
  </si>
  <si>
    <t>Abdelilah CHEKAUD</t>
  </si>
  <si>
    <t>Zakaria HAFIDI</t>
  </si>
  <si>
    <t>Halima BOUJRA</t>
  </si>
  <si>
    <t>Sofia ANSAR</t>
  </si>
  <si>
    <t>Amal EL KHOUSSI</t>
  </si>
  <si>
    <t>Sanae TIRESSE</t>
  </si>
  <si>
    <t>Taoufik AWANE</t>
  </si>
  <si>
    <t>Rajaa BOUAMRI</t>
  </si>
  <si>
    <t>Chaimaa MAKRAT</t>
  </si>
  <si>
    <t>Yassine BRIJ</t>
  </si>
  <si>
    <t>Soukaina HADRI</t>
  </si>
  <si>
    <t>Younes EL HOUARI</t>
  </si>
  <si>
    <t>Chaimaa ERRIANI</t>
  </si>
  <si>
    <t>Réda LAHKIM BENNANI</t>
  </si>
  <si>
    <t>El Mehdi NABIH</t>
  </si>
  <si>
    <t>Nada TAYACH</t>
  </si>
  <si>
    <t>Meryam SABALA</t>
  </si>
  <si>
    <t>Amine STITOU</t>
  </si>
  <si>
    <t>Mohamed Amine KOUDDOUSSI</t>
  </si>
  <si>
    <t>Youness FIKRY</t>
  </si>
  <si>
    <t>Houda KHATTABI FILALI</t>
  </si>
  <si>
    <t>Mohamed Mehdi BENNIS</t>
  </si>
  <si>
    <t>Abdelhamid EL GUARTI</t>
  </si>
  <si>
    <t>Yassine ABOULAILA</t>
  </si>
  <si>
    <t>Mohcine MANII</t>
  </si>
  <si>
    <t>Abdelhakim HAJJOUBI</t>
  </si>
  <si>
    <t>Maryam BOUSNANE</t>
  </si>
  <si>
    <t>Hasnae ERRAIS</t>
  </si>
  <si>
    <t>Iliass ELAMRANI</t>
  </si>
  <si>
    <t>Bahia KHALIL</t>
  </si>
  <si>
    <t>Mehdi MOUTAWAKKIL</t>
  </si>
  <si>
    <t>Sakina ALLALI</t>
  </si>
  <si>
    <t>Yassine AOUADI</t>
  </si>
  <si>
    <t>Ismail NABIL</t>
  </si>
  <si>
    <t>Hamza OUTTAJ</t>
  </si>
  <si>
    <t>Kawtar BOUIBRINE</t>
  </si>
  <si>
    <t>Anas KHALLAAYOUN</t>
  </si>
  <si>
    <t>Amina ABID</t>
  </si>
  <si>
    <t>Jamal BOUHSSINE</t>
  </si>
  <si>
    <t>Ismail MABCHOURE</t>
  </si>
  <si>
    <t>Amine BOUHAIGOUN</t>
  </si>
  <si>
    <t>Noureddine BENHALIMA</t>
  </si>
  <si>
    <t>Widad LEMGENDEZ</t>
  </si>
  <si>
    <t>Hicham ZOUHIR</t>
  </si>
  <si>
    <t>Abderrahim AMANAR</t>
  </si>
  <si>
    <t>Hamza LEFRAOUI</t>
  </si>
  <si>
    <t>Khalil TAFRENT</t>
  </si>
  <si>
    <t>Mohammed CHEKROUD</t>
  </si>
  <si>
    <t>Hamza BENJELLOUN</t>
  </si>
  <si>
    <t>Widad RADOUANE</t>
  </si>
  <si>
    <t>Mohamed Amal ATOUBI</t>
  </si>
  <si>
    <t>Youness DAFALI</t>
  </si>
  <si>
    <t>Amal ARIB</t>
  </si>
  <si>
    <t>Rachida BENABDELKADER</t>
  </si>
  <si>
    <t>Elmehdi TABIT</t>
  </si>
  <si>
    <t>Abderrahmane SABA</t>
  </si>
  <si>
    <t>Zineb BOUNOUALA</t>
  </si>
  <si>
    <t>Ayoub EL MESTI</t>
  </si>
  <si>
    <t>Issam GUERDOUL</t>
  </si>
  <si>
    <t>Nouhaila FANNICHI</t>
  </si>
  <si>
    <t>Hiba FATINI</t>
  </si>
  <si>
    <t>Soufiane HABBOUBA</t>
  </si>
  <si>
    <t>El Mehdi HAFID</t>
  </si>
  <si>
    <t>Hamza EL MAJDOUBI</t>
  </si>
  <si>
    <t>Nawal BAHBA</t>
  </si>
  <si>
    <t>Ourich HAJAR</t>
  </si>
  <si>
    <t>Lamia ZNIBER</t>
  </si>
  <si>
    <t>Hanae NECBA</t>
  </si>
  <si>
    <t>Samia SEMLALI</t>
  </si>
  <si>
    <t>Soukaina SAIDI</t>
  </si>
  <si>
    <t>Maryam CHAHIDI</t>
  </si>
  <si>
    <t>Rochdi SILAMI</t>
  </si>
  <si>
    <t>Sofwa MEKKAOUI ALAOUI</t>
  </si>
  <si>
    <t>Ayoub CHEMAA</t>
  </si>
  <si>
    <t>Oualid BOUANANI</t>
  </si>
  <si>
    <t>Faiçal MALALI</t>
  </si>
  <si>
    <t>Youssef TABARAK</t>
  </si>
  <si>
    <t>Fatima MOUNNAD</t>
  </si>
  <si>
    <t>Nouhaila DOUAZI</t>
  </si>
  <si>
    <t>Abdelaziz CHAWKI</t>
  </si>
  <si>
    <t>Loubna FOURSA</t>
  </si>
  <si>
    <t>Youssef HAFIDI</t>
  </si>
  <si>
    <t>Achraf ATOUAHRI</t>
  </si>
  <si>
    <t>Soumia MOUCHARRAF</t>
  </si>
  <si>
    <t>Khaoula ELBAREHOUMI</t>
  </si>
  <si>
    <t>Othmane OUCHKER</t>
  </si>
  <si>
    <t>Saad MOUMEN</t>
  </si>
  <si>
    <t>Mohamed LOTFI</t>
  </si>
  <si>
    <t>Kholoud WASSATE</t>
  </si>
  <si>
    <t>Omaima LBRINI</t>
  </si>
  <si>
    <t>Ouiame RACHIDI</t>
  </si>
  <si>
    <t>Loubna MOUANIS</t>
  </si>
  <si>
    <t>Loubna HADRACH</t>
  </si>
  <si>
    <t>Taha HASSANE</t>
  </si>
  <si>
    <t>El Oualid EL OUDGHIRI EL IDRISSI</t>
  </si>
  <si>
    <t>Hafsa EL FASSI</t>
  </si>
  <si>
    <t>Mohamed ZORQANY</t>
  </si>
  <si>
    <t>Hasnae FOURKANE</t>
  </si>
  <si>
    <t>Mohammed ACHKARI BEGDOURI</t>
  </si>
  <si>
    <t>Kaoutar ATMANI</t>
  </si>
  <si>
    <t>Asmaa NOUR</t>
  </si>
  <si>
    <t>Assia AMARIR</t>
  </si>
  <si>
    <t>Samira TAKHZANT</t>
  </si>
  <si>
    <t>Abd EL YOUSFI</t>
  </si>
  <si>
    <t>El Mahdi HANZAZ</t>
  </si>
  <si>
    <t>Mounia OUASSOU</t>
  </si>
  <si>
    <t>Aziza EL HASNAOUI</t>
  </si>
  <si>
    <t>Fatine LAZRAK</t>
  </si>
  <si>
    <t>Jaafar FARISSI</t>
  </si>
  <si>
    <t>Hasnae BENOUANASS</t>
  </si>
  <si>
    <t>Sara SEKNOUN</t>
  </si>
  <si>
    <t>Laila DIYANI</t>
  </si>
  <si>
    <t>Zakaria ANSALI</t>
  </si>
  <si>
    <t>Siham MGHARI</t>
  </si>
  <si>
    <t>Mohammed NIOURI</t>
  </si>
  <si>
    <t>Abderrahman OUATIQ</t>
  </si>
  <si>
    <t>Imane GARTANI</t>
  </si>
  <si>
    <t>Mohamed Adnane BALBOUL</t>
  </si>
  <si>
    <t>Badr SAADI</t>
  </si>
  <si>
    <t>Hanae BENABDILLAH LEMDEGHRI</t>
  </si>
  <si>
    <t>Khalil HABRRMAN</t>
  </si>
  <si>
    <t>Sana ABAGHALI</t>
  </si>
  <si>
    <t>Sara LOUDIY</t>
  </si>
  <si>
    <t>Zineb KHALIL</t>
  </si>
  <si>
    <t>Khalid EL OUARDI</t>
  </si>
  <si>
    <t>Hobinirina Jérémie NANDRIANINA</t>
  </si>
  <si>
    <t>Anouar AMRIOUI</t>
  </si>
  <si>
    <t>Said HAIMOUD</t>
  </si>
  <si>
    <t>Lina BERRADA</t>
  </si>
  <si>
    <t>Abdessamad HMIDACHE</t>
  </si>
  <si>
    <t>Houda EL YOUSFI EL FILALI</t>
  </si>
  <si>
    <t>Jihad SEMMAR</t>
  </si>
  <si>
    <t>Younes BALLADI</t>
  </si>
  <si>
    <t>Ahmed AZIZ</t>
  </si>
  <si>
    <t>Amine MOUTTALIB</t>
  </si>
  <si>
    <t>Youness ATKI</t>
  </si>
  <si>
    <t>Misbah LIMANI</t>
  </si>
  <si>
    <t>Sara DRISSI LAHSSINI</t>
  </si>
  <si>
    <t>Zineb ZOUAGUI</t>
  </si>
  <si>
    <t>Youssef LAZRAK</t>
  </si>
  <si>
    <t>Khadija MESRAR</t>
  </si>
  <si>
    <t>Omar LAHOUIR</t>
  </si>
  <si>
    <t>Kaoutar NAMRANI</t>
  </si>
  <si>
    <t>Douaa EL ISMAILI</t>
  </si>
  <si>
    <t>Hamza JYETOUKOUM</t>
  </si>
  <si>
    <t>Anass CHADID ANSARI</t>
  </si>
  <si>
    <t>Tariq BOUSGA</t>
  </si>
  <si>
    <t>Aicha BOUSSAGUI</t>
  </si>
  <si>
    <t>Mehdi INANE</t>
  </si>
  <si>
    <t>Mohamed Reda MOUSTADRAF</t>
  </si>
  <si>
    <t>Irfane BIGA</t>
  </si>
  <si>
    <t>Zina ISMAILI ALAOUI</t>
  </si>
  <si>
    <t>Toukap Guillaume Jessy TEUKAP</t>
  </si>
  <si>
    <t>Imad ELANBRI</t>
  </si>
  <si>
    <t>Oussama ZERIOUHI</t>
  </si>
  <si>
    <t>Mounir GAZANAYI</t>
  </si>
  <si>
    <t>Mohamed BOUTESAINE</t>
  </si>
  <si>
    <t>Omar HAMID</t>
  </si>
  <si>
    <t>Feriba ZIA</t>
  </si>
  <si>
    <t>Safia SALMI</t>
  </si>
  <si>
    <t>Mohamed CHARRIA</t>
  </si>
  <si>
    <t>Mostafa BARBOUCH</t>
  </si>
  <si>
    <t>Laila BELAJILI</t>
  </si>
  <si>
    <t>Saad BOUNA</t>
  </si>
  <si>
    <t>Meryem OULAD BOUYAHYA IDRISSI</t>
  </si>
  <si>
    <t>Imane EL KAHLAOUI</t>
  </si>
  <si>
    <t>Youssef MAHY</t>
  </si>
  <si>
    <t>Safae OUMALI</t>
  </si>
  <si>
    <t>Hamza ABI</t>
  </si>
  <si>
    <t>Habiba BERRANNOUN</t>
  </si>
  <si>
    <t>Oualid HAMZAOUI</t>
  </si>
  <si>
    <t>Ibtissam FDILI</t>
  </si>
  <si>
    <t>Moad ELFATIHI</t>
  </si>
  <si>
    <t>Khawla BOUAYOUN</t>
  </si>
  <si>
    <t>Soumaya BENI M'HAMMED</t>
  </si>
  <si>
    <t>Khalid BOULITE</t>
  </si>
  <si>
    <t>Mohammed KAJJA</t>
  </si>
  <si>
    <t>Younes EL GHAZI</t>
  </si>
  <si>
    <t>Hamza GLIOUI</t>
  </si>
  <si>
    <t>Hamza BELQAID</t>
  </si>
  <si>
    <t>Mohsine TOUALI</t>
  </si>
  <si>
    <t>Kenza BERRADA</t>
  </si>
  <si>
    <t>Issam ELKHARRAT</t>
  </si>
  <si>
    <t>Youssef BENLAFQIH</t>
  </si>
  <si>
    <t>Ismail ELIDRISSI</t>
  </si>
  <si>
    <t>Khouloud EL HABIB</t>
  </si>
  <si>
    <t>Maryam KARKOURI</t>
  </si>
  <si>
    <t>Wijdane LOQMANE</t>
  </si>
  <si>
    <t>Linda HARRAS</t>
  </si>
  <si>
    <t>Abdelillah EL MRABAH</t>
  </si>
  <si>
    <t>Salma JALAL</t>
  </si>
  <si>
    <t>Soukaina GUASSMI</t>
  </si>
  <si>
    <t>Mohamed Khalil TAKAFI</t>
  </si>
  <si>
    <t>Souad OUBIDANE</t>
  </si>
  <si>
    <t>Salima EL ASRI</t>
  </si>
  <si>
    <t>Sanaa FAIQ</t>
  </si>
  <si>
    <t>Brahim ESSAIDI</t>
  </si>
  <si>
    <t>Majdoulina NOUR EL ALAOUI</t>
  </si>
  <si>
    <t>Aziza RAMZI</t>
  </si>
  <si>
    <t>Ilias EL MRINI</t>
  </si>
  <si>
    <t>Abdelhak HAMZANE</t>
  </si>
  <si>
    <t>Chaimae ZNAIDI</t>
  </si>
  <si>
    <t>Salma NACIRI</t>
  </si>
  <si>
    <t>Hassan FENNANE</t>
  </si>
  <si>
    <t>Mohammed EL BELGHYTY</t>
  </si>
  <si>
    <t>Islam KHALI</t>
  </si>
  <si>
    <t>Lekbir MHALLY</t>
  </si>
  <si>
    <t>Ali BASSAM</t>
  </si>
  <si>
    <t>Imane ARJOUZI</t>
  </si>
  <si>
    <t>Omar SENHAJI RHAZI</t>
  </si>
  <si>
    <t>Laila RIZQ</t>
  </si>
  <si>
    <t>Mehdi BENNANI</t>
  </si>
  <si>
    <t>Imadeddine MACHMOUM</t>
  </si>
  <si>
    <t>Sawsane MIRI</t>
  </si>
  <si>
    <t>Ahmed ABDELLAH</t>
  </si>
  <si>
    <t>Hicham EL ALAMI</t>
  </si>
  <si>
    <t>Mehdi-Ilyass MILLOU</t>
  </si>
  <si>
    <t>Inass BEN HADDA</t>
  </si>
  <si>
    <t>Abdelhamid BENELKHAILIA</t>
  </si>
  <si>
    <t>Hassan MHARZI</t>
  </si>
  <si>
    <t>Mohammed BOUGRINE</t>
  </si>
  <si>
    <t>Hicham ELKOUDRY</t>
  </si>
  <si>
    <t>Amal MERZAK</t>
  </si>
  <si>
    <t>Fatima AZEROUAL</t>
  </si>
  <si>
    <t>Soumia HAKIM</t>
  </si>
  <si>
    <t>Chaymaa HABRRMAN</t>
  </si>
  <si>
    <t>Siham EL MANSOURI</t>
  </si>
  <si>
    <t>Younes MILHA</t>
  </si>
  <si>
    <t>Marouan NOUMA</t>
  </si>
  <si>
    <t>Mohamed CHAFIK</t>
  </si>
  <si>
    <t>Loubna EL ALAMI FERRICHA</t>
  </si>
  <si>
    <t>Chaimaa BELKHAMAR</t>
  </si>
  <si>
    <t>Soukaina BENYOUSSEF</t>
  </si>
  <si>
    <t>Elhousayne BIMGHAR</t>
  </si>
  <si>
    <t>Khadija EL AMRANI</t>
  </si>
  <si>
    <t>Maria EL AINAOUI</t>
  </si>
  <si>
    <t>Abderrahman CHEDDIR</t>
  </si>
  <si>
    <t>Amine NAIM</t>
  </si>
  <si>
    <t>Radouane BRAHMI</t>
  </si>
  <si>
    <t>Meryem AMAR</t>
  </si>
  <si>
    <t>Meryem CHAIBY</t>
  </si>
  <si>
    <t>Sanae HADACHI</t>
  </si>
  <si>
    <t>Latifa BERRADA</t>
  </si>
  <si>
    <t>Meriem EL GHALBZOURI</t>
  </si>
  <si>
    <t>Aymen HOUSNI</t>
  </si>
  <si>
    <t>Mourad LAMGARBI</t>
  </si>
  <si>
    <t>Mohammed Said EL HILA</t>
  </si>
  <si>
    <t>Aziz BENZAKOUR</t>
  </si>
  <si>
    <t>Hamid CHENNOUK</t>
  </si>
  <si>
    <t>Nadia OUQEZZA</t>
  </si>
  <si>
    <t>Abdellah SABRY</t>
  </si>
  <si>
    <t>Saad ERRADI</t>
  </si>
  <si>
    <t>Najib KHALIS</t>
  </si>
  <si>
    <t>Hajar ELHAMINE</t>
  </si>
  <si>
    <t>Ghizlane MOUTAKABIL</t>
  </si>
  <si>
    <t>Youness BENKHADAJ</t>
  </si>
  <si>
    <t>Badr HONYA</t>
  </si>
  <si>
    <t>Yassire LAALOU</t>
  </si>
  <si>
    <t>Amine BEN KHADDA</t>
  </si>
  <si>
    <t>Hamza IDELAAMEUR</t>
  </si>
  <si>
    <t>Ayoub DINARY</t>
  </si>
  <si>
    <t>Anas EL AZHAR</t>
  </si>
  <si>
    <t>Wissal SOUNNY SLITINE</t>
  </si>
  <si>
    <t>Amine IDIHIA</t>
  </si>
  <si>
    <t>Brahim RAILLANI</t>
  </si>
  <si>
    <t>Karim FARRAT</t>
  </si>
  <si>
    <t>Badr-Eddine BOUNAKHLA</t>
  </si>
  <si>
    <t>Youssra HAMMA</t>
  </si>
  <si>
    <t>Mohamed HADDADI</t>
  </si>
  <si>
    <t>Chaymae REGRAGUI</t>
  </si>
  <si>
    <t>Houssam Eddine CHAMA</t>
  </si>
  <si>
    <t>Omar SOUNFOUS</t>
  </si>
  <si>
    <t>Assia SALMI</t>
  </si>
  <si>
    <t>Abdeslam LAHJOUJI</t>
  </si>
  <si>
    <t>Hamza SLIMANE</t>
  </si>
  <si>
    <t>Nisrine HARCHAOUI</t>
  </si>
  <si>
    <t>Khadija AKOUFALEN</t>
  </si>
  <si>
    <t>Hanae BERRADA</t>
  </si>
  <si>
    <t>Hajar ELBAZ</t>
  </si>
  <si>
    <t>Mohsine BOUAOUD</t>
  </si>
  <si>
    <t>Kawtar BOUKIL</t>
  </si>
  <si>
    <t>Dalal MOUNAFIA</t>
  </si>
  <si>
    <t>Khadija EDDOURHRI</t>
  </si>
  <si>
    <t>Mariyam BOUASSILA</t>
  </si>
  <si>
    <t>Soumiya CHAKIR</t>
  </si>
  <si>
    <t>Bruno SIMON</t>
  </si>
  <si>
    <t>Abdessamii RAQI</t>
  </si>
  <si>
    <t>Kenza AMMOR</t>
  </si>
  <si>
    <t>Mustapha IHAMJI</t>
  </si>
  <si>
    <t>Morad EL OUTMANI</t>
  </si>
  <si>
    <t>Diae M'HAMDI</t>
  </si>
  <si>
    <t>Safaa HACHIMI IDRISSI</t>
  </si>
  <si>
    <t>Mohamed Yassine EL MOUDNIB</t>
  </si>
  <si>
    <t>Otmane TCHAFAR</t>
  </si>
  <si>
    <t>Hamza ENNEBET</t>
  </si>
  <si>
    <t>Souad TOUFIK</t>
  </si>
  <si>
    <t>Ahmadou Moustapha DIOP</t>
  </si>
  <si>
    <t>Nadir SISSAH</t>
  </si>
  <si>
    <t>Salma BENCHEKROUN</t>
  </si>
  <si>
    <t>Youssef EL BIED</t>
  </si>
  <si>
    <t>Imad BELMOUJAHID</t>
  </si>
  <si>
    <t>Zoubida HARIM</t>
  </si>
  <si>
    <t>Staff ID</t>
  </si>
  <si>
    <t>Member Name</t>
  </si>
  <si>
    <t>Rabat</t>
  </si>
  <si>
    <t>Fès Shore, Route de Sidi Harazm, 30060 Fès, Maroc</t>
  </si>
  <si>
    <t>Stage / Internship</t>
  </si>
  <si>
    <t>Sans objet - not applicable</t>
  </si>
  <si>
    <t>Durée de la période d'essai</t>
  </si>
  <si>
    <t>Duration probation period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</si>
  <si>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</si>
  <si>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</si>
  <si>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</si>
  <si>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</si>
  <si>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</si>
  <si>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</si>
  <si>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</si>
  <si>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</si>
  <si>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</si>
  <si>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</si>
  <si>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</si>
  <si>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</si>
  <si>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1 mois - 1 month</t>
  </si>
  <si>
    <t>Regular</t>
  </si>
  <si>
    <t>Temporary</t>
  </si>
  <si>
    <t>````</t>
  </si>
  <si>
    <t>```</t>
  </si>
  <si>
    <t>Start Date</t>
  </si>
  <si>
    <t>0-an/s</t>
  </si>
  <si>
    <t xml:space="preserve"> 0-jour/s</t>
  </si>
  <si>
    <t>1-an/s</t>
  </si>
  <si>
    <t>1 an</t>
  </si>
  <si>
    <t>1  mois</t>
  </si>
  <si>
    <t xml:space="preserve"> 1-jour/s</t>
  </si>
  <si>
    <t>1 jour</t>
  </si>
  <si>
    <t>2-an/s</t>
  </si>
  <si>
    <t>2 ans</t>
  </si>
  <si>
    <t>2 mois</t>
  </si>
  <si>
    <t xml:space="preserve"> 2-jour/s</t>
  </si>
  <si>
    <t>2 jours</t>
  </si>
  <si>
    <t>3-an/s</t>
  </si>
  <si>
    <t>3 ans</t>
  </si>
  <si>
    <t>3  mois</t>
  </si>
  <si>
    <t xml:space="preserve"> 3-jour/s</t>
  </si>
  <si>
    <t>3 jours</t>
  </si>
  <si>
    <t>5-an/s</t>
  </si>
  <si>
    <t>5 ans</t>
  </si>
  <si>
    <t>5  mois</t>
  </si>
  <si>
    <t xml:space="preserve"> 5-jour/s</t>
  </si>
  <si>
    <t>5 jours</t>
  </si>
  <si>
    <t>7 an/s</t>
  </si>
  <si>
    <t>7 ans</t>
  </si>
  <si>
    <t>7  mois</t>
  </si>
  <si>
    <t xml:space="preserve"> 7-jour/s</t>
  </si>
  <si>
    <t>7 jours</t>
  </si>
  <si>
    <t>8 an/s</t>
  </si>
  <si>
    <t>8 ans</t>
  </si>
  <si>
    <t>8  mois</t>
  </si>
  <si>
    <t xml:space="preserve"> 8-jour/s</t>
  </si>
  <si>
    <t>8 jours</t>
  </si>
  <si>
    <t>9 an/s</t>
  </si>
  <si>
    <t>9 ans</t>
  </si>
  <si>
    <t>9  mois</t>
  </si>
  <si>
    <t xml:space="preserve"> 9-jour/s</t>
  </si>
  <si>
    <t>9 jours</t>
  </si>
  <si>
    <t>10 an/s</t>
  </si>
  <si>
    <t>10 ans</t>
  </si>
  <si>
    <t>10  mois</t>
  </si>
  <si>
    <t>10-jour/s</t>
  </si>
  <si>
    <t>10 jours</t>
  </si>
  <si>
    <t>11 an/s</t>
  </si>
  <si>
    <t>11 ans</t>
  </si>
  <si>
    <t>11  mois</t>
  </si>
  <si>
    <t>11-jour/s</t>
  </si>
  <si>
    <t>11 jours</t>
  </si>
  <si>
    <t>12 an/s</t>
  </si>
  <si>
    <t>12 ans</t>
  </si>
  <si>
    <t>12  mois</t>
  </si>
  <si>
    <t>12-jour/s</t>
  </si>
  <si>
    <t>12 jours</t>
  </si>
  <si>
    <t>13-jour/s</t>
  </si>
  <si>
    <t>13 jours</t>
  </si>
  <si>
    <t>14-jour/s</t>
  </si>
  <si>
    <t>14 jours</t>
  </si>
  <si>
    <t>15-jour/s</t>
  </si>
  <si>
    <t>15 jours</t>
  </si>
  <si>
    <t>16-jour/s</t>
  </si>
  <si>
    <t>16 jours</t>
  </si>
  <si>
    <t>17-jour/s</t>
  </si>
  <si>
    <t>17 jours</t>
  </si>
  <si>
    <t>18-jour/s</t>
  </si>
  <si>
    <t>18 jours</t>
  </si>
  <si>
    <t>19-jour/s</t>
  </si>
  <si>
    <t>19 jours</t>
  </si>
  <si>
    <t>20-jour/s</t>
  </si>
  <si>
    <t>20 jours</t>
  </si>
  <si>
    <t>21-jour/s</t>
  </si>
  <si>
    <t>21 jours</t>
  </si>
  <si>
    <t>22-jour/s</t>
  </si>
  <si>
    <t>22 jours</t>
  </si>
  <si>
    <t>23-jour/s</t>
  </si>
  <si>
    <t>23 jours</t>
  </si>
  <si>
    <t>24-jour/s</t>
  </si>
  <si>
    <t>24 jours</t>
  </si>
  <si>
    <t>25-jour/s</t>
  </si>
  <si>
    <t>25 jours</t>
  </si>
  <si>
    <t>26-jour/s</t>
  </si>
  <si>
    <t>26 jours</t>
  </si>
  <si>
    <t>27-jour/s</t>
  </si>
  <si>
    <t>27 jours</t>
  </si>
  <si>
    <t>28-jour/s</t>
  </si>
  <si>
    <t>28 jours</t>
  </si>
  <si>
    <t>29-jour/s</t>
  </si>
  <si>
    <t>29 jours</t>
  </si>
  <si>
    <t>30-jour/s</t>
  </si>
  <si>
    <t>30 jours</t>
  </si>
  <si>
    <t>31-jour/s</t>
  </si>
  <si>
    <t>31 jours</t>
  </si>
  <si>
    <t xml:space="preserve"> </t>
  </si>
  <si>
    <t xml:space="preserve">Address Line 2* </t>
  </si>
  <si>
    <t>d'Acheteur</t>
  </si>
  <si>
    <t>d'Acheteur Senior</t>
  </si>
  <si>
    <t>d'Administrateur Système</t>
  </si>
  <si>
    <t>d'Agent d'Exploitation</t>
  </si>
  <si>
    <t>d'Analyste</t>
  </si>
  <si>
    <t>d'Analyste de Test</t>
  </si>
  <si>
    <t>d'Analyste de Test Junior</t>
  </si>
  <si>
    <t>d'Analyste Programmeur</t>
  </si>
  <si>
    <t>d'Analyste Programmeur Junior</t>
  </si>
  <si>
    <t>d'Analyste Support</t>
  </si>
  <si>
    <t>d'Architecte Technique</t>
  </si>
  <si>
    <t>d'Architecte Technique SI</t>
  </si>
  <si>
    <t>d'Assistant</t>
  </si>
  <si>
    <t>d'Assistant de Gestion cadre</t>
  </si>
  <si>
    <t>d'Assistant de Gestion employé</t>
  </si>
  <si>
    <t>d'Assistant de Gestion Junior</t>
  </si>
  <si>
    <t>d'Assistant GAP</t>
  </si>
  <si>
    <t>d'Assistant Paie</t>
  </si>
  <si>
    <t>d'Assistant Paie Junior</t>
  </si>
  <si>
    <t>d'Assistant(e) Adm RH</t>
  </si>
  <si>
    <t>d'Assistante de Direction</t>
  </si>
  <si>
    <t>d'Assistante du President</t>
  </si>
  <si>
    <t>d'Associé</t>
  </si>
  <si>
    <t>d'Auditeur</t>
  </si>
  <si>
    <t>d'Auditeur Senior</t>
  </si>
  <si>
    <t>de Chargé d'Affaires</t>
  </si>
  <si>
    <t>de Chargé d'Affaires Junior</t>
  </si>
  <si>
    <t>de Chargé d'Affaires Senior</t>
  </si>
  <si>
    <t>de Chargé de Gestion cadre</t>
  </si>
  <si>
    <t>de Chargé de Gestion employé</t>
  </si>
  <si>
    <t>de Chargé de Projet</t>
  </si>
  <si>
    <t>de Chargé de Recouvrement</t>
  </si>
  <si>
    <t>de Chargé(e) de Gestion Junior</t>
  </si>
  <si>
    <t>de Chargé(e) de Marketing &amp; Communication Confirmé</t>
  </si>
  <si>
    <t>de Chargé(e) de Marketing &amp; Communication Junior</t>
  </si>
  <si>
    <t>de Chargé(e) de Marketing et Communication</t>
  </si>
  <si>
    <t>de Chargé(e) de mission achats</t>
  </si>
  <si>
    <t>de Chargé(e) de mission Qualité Junior</t>
  </si>
  <si>
    <t>de Chargé(e) de Missions</t>
  </si>
  <si>
    <t>de Chargé(e) de Missions Achats Junior</t>
  </si>
  <si>
    <t>de Chargé(e) de Missions Junior</t>
  </si>
  <si>
    <t>de Chargé(e) de Missions Qualité Junior</t>
  </si>
  <si>
    <t>de Chargé(e) de missions RH</t>
  </si>
  <si>
    <t>de Chargé(e) des Engagement Confirmé</t>
  </si>
  <si>
    <t>de Chargé(e) Missions RH Confirmé</t>
  </si>
  <si>
    <t>de Chef de Projet</t>
  </si>
  <si>
    <t>de Chef de Projet Outsourcing</t>
  </si>
  <si>
    <t>de Chef Projet Fonctionnel</t>
  </si>
  <si>
    <t>de Comptable</t>
  </si>
  <si>
    <t>de Comptable Confirmé cadre</t>
  </si>
  <si>
    <t>de Comptable Confirmé employé</t>
  </si>
  <si>
    <t>de Comptable Junior</t>
  </si>
  <si>
    <t>de Concepteur Fonctionnel</t>
  </si>
  <si>
    <t>de Consultant</t>
  </si>
  <si>
    <t>de Consultant Fonct. Senior</t>
  </si>
  <si>
    <t>de Consultant Junior</t>
  </si>
  <si>
    <t>de Consultant Junior Débutant</t>
  </si>
  <si>
    <t>de Consultant Senior</t>
  </si>
  <si>
    <t>de Consultant Solutions</t>
  </si>
  <si>
    <t>de Consultant Solutions Junior</t>
  </si>
  <si>
    <t>de Consultant Solutions Senior</t>
  </si>
  <si>
    <t>de Consultant Test</t>
  </si>
  <si>
    <t>de Contrôleur de Gestion</t>
  </si>
  <si>
    <t>de Contrôleur de Gestion Confirmé</t>
  </si>
  <si>
    <t>de Contrôleur Financier</t>
  </si>
  <si>
    <t>de DG Adjoint</t>
  </si>
  <si>
    <t>de Directeur</t>
  </si>
  <si>
    <t>de Directeur Adjoint</t>
  </si>
  <si>
    <t>de Directeur Adjoint Business</t>
  </si>
  <si>
    <t>de Directeur Adjoint IT Consulting</t>
  </si>
  <si>
    <t>de Directeur Adjt Outsourcing</t>
  </si>
  <si>
    <t>de Directeur Administratif et Financier</t>
  </si>
  <si>
    <t>de Directeur Associé</t>
  </si>
  <si>
    <t>de Directeur Business</t>
  </si>
  <si>
    <t>de Directeur Comptable</t>
  </si>
  <si>
    <t>de Directeur Contrôle de Gestion et Reporting</t>
  </si>
  <si>
    <t>de Directeur d'agence</t>
  </si>
  <si>
    <t>de Directeur de Domaine RH</t>
  </si>
  <si>
    <t>de Directeur de Grand Programme</t>
  </si>
  <si>
    <t>de Directeur de la Logistique</t>
  </si>
  <si>
    <t>de Directeur de la protection des données</t>
  </si>
  <si>
    <t>de Directeur de Programme</t>
  </si>
  <si>
    <t>de Directeur de Projet</t>
  </si>
  <si>
    <t>de Directeur de Projet Outsourcing</t>
  </si>
  <si>
    <t>de Directeur de Projet Sénior</t>
  </si>
  <si>
    <t>de Directeur Delivery France</t>
  </si>
  <si>
    <t>de Directeur des Achats</t>
  </si>
  <si>
    <t>de Directeur des Engagements Pays</t>
  </si>
  <si>
    <t>de Directeur des opérations</t>
  </si>
  <si>
    <t>de Directeur des Opérations Comptables et Financières</t>
  </si>
  <si>
    <t>de Directeur des Ressources Humaines Pays</t>
  </si>
  <si>
    <t>de Directeur Engagement</t>
  </si>
  <si>
    <t>de Directeur Financier Adjoint</t>
  </si>
  <si>
    <t>de Directeur Général</t>
  </si>
  <si>
    <t>de Directeur Groupe d,Un centre d'excellence RH</t>
  </si>
  <si>
    <t>de Directeur IT Consulting</t>
  </si>
  <si>
    <t>de Directeur Juridique Groupe</t>
  </si>
  <si>
    <t>de Directeur Juridique pays</t>
  </si>
  <si>
    <t>de Directeur Juridique Secteur</t>
  </si>
  <si>
    <t>de Directeur MARCOM Groupe</t>
  </si>
  <si>
    <t>de Directeur Marketing &amp; Communication Pays</t>
  </si>
  <si>
    <t>de Directeur Outsourcing</t>
  </si>
  <si>
    <t>de Directeur Projet Outsourcing Senior</t>
  </si>
  <si>
    <t>de Directeur Technique</t>
  </si>
  <si>
    <t>de Directeur Technique Adjoint</t>
  </si>
  <si>
    <t>d'Expert Fonctionnel Junior</t>
  </si>
  <si>
    <t>d'Expert Technique</t>
  </si>
  <si>
    <t>de Gestionnaire IT Consulting</t>
  </si>
  <si>
    <t>de Gestionnaire Paie Cadre</t>
  </si>
  <si>
    <t>de Gestionnaire Paie Confirmé</t>
  </si>
  <si>
    <t>de Gestionnaire Paie Employé</t>
  </si>
  <si>
    <t>de Gestionnaire Paie Junior</t>
  </si>
  <si>
    <t>de Hotesse Standardiste</t>
  </si>
  <si>
    <t>d'Infirmier(e) Travail</t>
  </si>
  <si>
    <t>d'Ingénieur Commercial</t>
  </si>
  <si>
    <t>d'Ingénieur Commercial Junior</t>
  </si>
  <si>
    <t>d'Ingénieur en Technoligie de l'Information Junior</t>
  </si>
  <si>
    <t>d'Ingénieur en Technologie de l'Information</t>
  </si>
  <si>
    <t>d'Ingénieur IMS / Expert Technique Junior</t>
  </si>
  <si>
    <t>d'Ingénieur IMS/Expert Tech</t>
  </si>
  <si>
    <t>d'Ingénieur Réseaux</t>
  </si>
  <si>
    <t>d'Ingénieur Support</t>
  </si>
  <si>
    <t>d'Ingénieur Système</t>
  </si>
  <si>
    <t>de Juriste</t>
  </si>
  <si>
    <t>de Juriste Junior</t>
  </si>
  <si>
    <t>de Juriste Senior</t>
  </si>
  <si>
    <t>de Manager</t>
  </si>
  <si>
    <t>de Manager Achats</t>
  </si>
  <si>
    <t>de Manager Business</t>
  </si>
  <si>
    <t>de Manager Business Senior</t>
  </si>
  <si>
    <t>de Manager Comptable</t>
  </si>
  <si>
    <t>de Manager des Engagement</t>
  </si>
  <si>
    <t>de Manager des Opérations</t>
  </si>
  <si>
    <t>de Manager Domaine RH</t>
  </si>
  <si>
    <t>de Manager Gestion</t>
  </si>
  <si>
    <t>de Manager Juridique</t>
  </si>
  <si>
    <t>de Manager Logistique</t>
  </si>
  <si>
    <t>de Manager MARCOM Senior</t>
  </si>
  <si>
    <t>de Manager Marketing &amp; Communication</t>
  </si>
  <si>
    <t>de Manager Paie</t>
  </si>
  <si>
    <t>de Manager Qualité</t>
  </si>
  <si>
    <t>de Manager RH</t>
  </si>
  <si>
    <t>de Manager Senior IT Consulting</t>
  </si>
  <si>
    <t>de Manager Taxes</t>
  </si>
  <si>
    <t>de Manager Technique</t>
  </si>
  <si>
    <t>de Médecin Coordinateur</t>
  </si>
  <si>
    <t>de Médecin du travail</t>
  </si>
  <si>
    <t>de Membre de l'EBF</t>
  </si>
  <si>
    <t>de Membre du Coex</t>
  </si>
  <si>
    <t>de Président</t>
  </si>
  <si>
    <t>de Psychologue</t>
  </si>
  <si>
    <t>de Responsable Administration des ventes</t>
  </si>
  <si>
    <t>de Responsable cellule Informatique</t>
  </si>
  <si>
    <t>de Responsable Comptable</t>
  </si>
  <si>
    <t>de Responsable Comptable Adjoint</t>
  </si>
  <si>
    <t>de Responsable Comptable/Responsable de la Trésorerie</t>
  </si>
  <si>
    <t>de Responsable des Engagements</t>
  </si>
  <si>
    <t>de Responsable des Opérations</t>
  </si>
  <si>
    <t>de Responsable Domaine RH</t>
  </si>
  <si>
    <t>de Responsable du Contrôle de Gestion</t>
  </si>
  <si>
    <t>de Responsable Logistique</t>
  </si>
  <si>
    <t>de Responsable Marketing &amp; Communication</t>
  </si>
  <si>
    <t>de Responsable Organisation Secrétariat</t>
  </si>
  <si>
    <t>de Responsable Paie Adjoint</t>
  </si>
  <si>
    <t>de Responsable Recouvrement</t>
  </si>
  <si>
    <t>de Responsable RH</t>
  </si>
  <si>
    <t>de Responsable Santé et Mieux-être</t>
  </si>
  <si>
    <t>de Responsable Technique</t>
  </si>
  <si>
    <t>de Secrétaire</t>
  </si>
  <si>
    <t>de Secrétaire de Direction Cadre</t>
  </si>
  <si>
    <t>de Secrétaire de Direction Employé</t>
  </si>
  <si>
    <t>de Senior Manager</t>
  </si>
  <si>
    <t>de Senior Vice Président</t>
  </si>
  <si>
    <t>de Stagiaire</t>
  </si>
  <si>
    <t>de Support Agent</t>
  </si>
  <si>
    <t>de Support Agent Expérimenté</t>
  </si>
  <si>
    <t>de Techn Logistique Junior</t>
  </si>
  <si>
    <t>de Technicien Bureautique Cadre</t>
  </si>
  <si>
    <t>de Technicien Bureautique Employé</t>
  </si>
  <si>
    <t>de Technicien Logistique</t>
  </si>
  <si>
    <t>de Technicien Support</t>
  </si>
  <si>
    <t>de Vice Président</t>
  </si>
  <si>
    <t>Contract Sent Date</t>
  </si>
  <si>
    <t>Title1</t>
  </si>
  <si>
    <t>Title2</t>
  </si>
  <si>
    <t>National ID</t>
  </si>
  <si>
    <t>Nationalité*</t>
  </si>
  <si>
    <t>Nationality*</t>
  </si>
  <si>
    <t>Nationality</t>
  </si>
  <si>
    <t>Street Name and Number</t>
  </si>
  <si>
    <t>Country</t>
  </si>
  <si>
    <t>Base Location</t>
  </si>
  <si>
    <t>Monthly Basic</t>
  </si>
  <si>
    <t>Gross Annual Salary</t>
  </si>
  <si>
    <t>Gross Monthly Salary</t>
  </si>
  <si>
    <t>Net Monthly</t>
  </si>
  <si>
    <t>Meal</t>
  </si>
  <si>
    <t>Transportation</t>
  </si>
  <si>
    <t>Incentive Rate</t>
  </si>
  <si>
    <t>End of Probation</t>
  </si>
  <si>
    <t>Job Title</t>
  </si>
  <si>
    <t>End of Trainee</t>
  </si>
  <si>
    <t>Trainee Monthly Allowance</t>
  </si>
  <si>
    <t>NOTE: SEARCH FOR EXISTING RECORD. CHECK: GLB-02</t>
  </si>
  <si>
    <t>Navigate:</t>
  </si>
  <si>
    <t>Main Menu&gt;&gt;Workforce Administration&gt;&gt;Personal Information&gt;&gt;Add Person</t>
  </si>
  <si>
    <r>
      <t xml:space="preserve">Click </t>
    </r>
    <r>
      <rPr>
        <b/>
        <sz val="10"/>
        <color theme="1"/>
        <rFont val="Calibri"/>
        <family val="2"/>
        <scheme val="minor"/>
      </rPr>
      <t>Add Person</t>
    </r>
    <r>
      <rPr>
        <sz val="10"/>
        <color theme="1"/>
        <rFont val="Calibri"/>
        <family val="2"/>
        <scheme val="minor"/>
      </rPr>
      <t xml:space="preserve"> button</t>
    </r>
  </si>
  <si>
    <t>Name</t>
  </si>
  <si>
    <t>Effective Date:</t>
  </si>
  <si>
    <t>Format Type:</t>
  </si>
  <si>
    <r>
      <t xml:space="preserve">Click </t>
    </r>
    <r>
      <rPr>
        <b/>
        <sz val="10"/>
        <color theme="1"/>
        <rFont val="Calibri"/>
        <family val="2"/>
        <scheme val="minor"/>
      </rPr>
      <t>Add Name</t>
    </r>
    <r>
      <rPr>
        <sz val="10"/>
        <color theme="1"/>
        <rFont val="Calibri"/>
        <family val="2"/>
        <scheme val="minor"/>
      </rPr>
      <t xml:space="preserve"> button</t>
    </r>
  </si>
  <si>
    <t>Prefix:</t>
  </si>
  <si>
    <t>First Name:</t>
  </si>
  <si>
    <t>Last Name:</t>
  </si>
  <si>
    <t>Biographic Information</t>
  </si>
  <si>
    <t>Date of Birth:</t>
  </si>
  <si>
    <t>Birth Country:</t>
  </si>
  <si>
    <t>Birth State:</t>
  </si>
  <si>
    <t>Biographical History</t>
  </si>
  <si>
    <t>Gender:</t>
  </si>
  <si>
    <t>Highest Education Level:</t>
  </si>
  <si>
    <t>Marital Status:</t>
  </si>
  <si>
    <t>As of date:</t>
  </si>
  <si>
    <t>Country:</t>
  </si>
  <si>
    <t>Type:</t>
  </si>
  <si>
    <t>Go to:</t>
  </si>
  <si>
    <t>Current Address</t>
  </si>
  <si>
    <t>Status:</t>
  </si>
  <si>
    <t>Address 1:</t>
  </si>
  <si>
    <t>Address 2 (Bis Ter):</t>
  </si>
  <si>
    <t>Postal:</t>
  </si>
  <si>
    <t>City:</t>
  </si>
  <si>
    <t>Department:</t>
  </si>
  <si>
    <t>Phone Information</t>
  </si>
  <si>
    <t>Preferred:</t>
  </si>
  <si>
    <t>Phone Type Home:</t>
  </si>
  <si>
    <t>Phone Type Mobile:</t>
  </si>
  <si>
    <t>CGI Office Space:</t>
  </si>
  <si>
    <t>CGI Email Access:</t>
  </si>
  <si>
    <t>Choose Org Relationship to Add:</t>
  </si>
  <si>
    <t>NOTE: THE MEMBER STAFF NUMBER IS GENERATED</t>
  </si>
  <si>
    <t>Work Location</t>
  </si>
  <si>
    <t>(mm/dd/yyyy)</t>
  </si>
  <si>
    <t>CLICK TO GET ACTION AND REASON  HERE</t>
  </si>
  <si>
    <t>Regulariory Region:</t>
  </si>
  <si>
    <t>Company:</t>
  </si>
  <si>
    <t>Business Unit:</t>
  </si>
  <si>
    <t>Location:</t>
  </si>
  <si>
    <t>Expected Job End Date:</t>
  </si>
  <si>
    <t>Job Information</t>
  </si>
  <si>
    <t>Job Code:</t>
  </si>
  <si>
    <t>Supervisor ID:</t>
  </si>
  <si>
    <t>Regular/Temporary:</t>
  </si>
  <si>
    <t>Employee Class:</t>
  </si>
  <si>
    <t>Full/Part:</t>
  </si>
  <si>
    <t>Standard Hours</t>
  </si>
  <si>
    <t>Standard Hours:</t>
  </si>
  <si>
    <t>Contract Number</t>
  </si>
  <si>
    <t>Click                                                     button</t>
  </si>
  <si>
    <t>Payroll Information</t>
  </si>
  <si>
    <t>Payroll System:</t>
  </si>
  <si>
    <t>Payroll Interface</t>
  </si>
  <si>
    <t>Absence System:</t>
  </si>
  <si>
    <t>Absence Management</t>
  </si>
  <si>
    <t>Pay Group:</t>
  </si>
  <si>
    <t>Employee Type:</t>
  </si>
  <si>
    <t>Absence Management System</t>
  </si>
  <si>
    <t>Eligibility Group:</t>
  </si>
  <si>
    <t>NOTE: Uncheck Use Pay Group Eligibility</t>
  </si>
  <si>
    <t>Salary Admin Plan:</t>
  </si>
  <si>
    <t>Grade:</t>
  </si>
  <si>
    <t>Grade Entry Date:</t>
  </si>
  <si>
    <t>Compensation</t>
  </si>
  <si>
    <t>Frequency:</t>
  </si>
  <si>
    <t>Pay Components</t>
  </si>
  <si>
    <t>Rate Code:</t>
  </si>
  <si>
    <t>Comp Rate:</t>
  </si>
  <si>
    <t>Currency:</t>
  </si>
  <si>
    <t>Click                                                        Button</t>
  </si>
  <si>
    <t>Conversion:</t>
  </si>
  <si>
    <t>Apply FTE</t>
  </si>
  <si>
    <t>Pay Rates</t>
  </si>
  <si>
    <t>NOTE: You can view breakdown of salary (daily, weekly,monthly and annual)</t>
  </si>
  <si>
    <t xml:space="preserve">Organizational Assignment Data </t>
  </si>
  <si>
    <t>Company Seniority Date:</t>
  </si>
  <si>
    <t>Benefit Status</t>
  </si>
  <si>
    <t>Benefit System:</t>
  </si>
  <si>
    <t>Base Benefits</t>
  </si>
  <si>
    <t>Benefit Program Participation</t>
  </si>
  <si>
    <t>Benefit Program:</t>
  </si>
  <si>
    <t>Click SAVE</t>
  </si>
  <si>
    <t>Navigation: Main Menu&gt;&gt;Workforce Administration&gt;&gt;Job Information&gt;&gt;Contract Adminstration&gt;&gt;Update Contracts</t>
  </si>
  <si>
    <t>Search For Member Record</t>
  </si>
  <si>
    <t>Contract Begin Date:</t>
  </si>
  <si>
    <t>Contract Expected End Date:</t>
  </si>
  <si>
    <t>Contract Template ID:</t>
  </si>
  <si>
    <t>Regulatory Region:</t>
  </si>
  <si>
    <t>Contract Business Title:</t>
  </si>
  <si>
    <t>Contract Type</t>
  </si>
  <si>
    <t>Contract Type:</t>
  </si>
  <si>
    <t>Probation Date:</t>
  </si>
  <si>
    <t>Main Menu&gt;&gt;Benefits&gt;&gt;Enroll Benefits&gt;&gt;Savings Plan</t>
  </si>
  <si>
    <t>Savings Plans</t>
  </si>
  <si>
    <t>Plan Type:</t>
  </si>
  <si>
    <t>Coverage Begin Date:</t>
  </si>
  <si>
    <t>Benefit Plan:</t>
  </si>
  <si>
    <t>Main Menu&gt;&gt;Time and Labor&gt;&gt;Enroll Time Reporters&gt;&gt;Create Time Reporter Data</t>
  </si>
  <si>
    <t>Time Reporter Data</t>
  </si>
  <si>
    <t>Time Reporter Type:</t>
  </si>
  <si>
    <t>Work Group:</t>
  </si>
  <si>
    <t>Task Group:</t>
  </si>
  <si>
    <t xml:space="preserve">
Main Menu&gt;&gt;Workforce Administration&gt;&gt;Personal Information&gt;&gt;Citizenship&gt;&gt;Identification Data</t>
  </si>
  <si>
    <t>Citizenship Status:</t>
  </si>
  <si>
    <t>Passport Information</t>
  </si>
  <si>
    <t>Passport Number:</t>
  </si>
  <si>
    <t>Issue Date:</t>
  </si>
  <si>
    <t>Expiration Date:</t>
  </si>
  <si>
    <t>Authority:</t>
  </si>
  <si>
    <t>Visa/Permit Data</t>
  </si>
  <si>
    <t>Issue date:</t>
  </si>
  <si>
    <t>Issuing authority:</t>
  </si>
  <si>
    <t>Issue place:</t>
  </si>
  <si>
    <t>Last Step:</t>
  </si>
  <si>
    <t>NOTE: UPLOAD SUPPORTING DOCUMENTS. REFER TO: G4_GLB-01</t>
  </si>
  <si>
    <t>DOB</t>
  </si>
  <si>
    <t>Birth State*</t>
  </si>
  <si>
    <t>AA22</t>
  </si>
  <si>
    <t>AA23</t>
  </si>
  <si>
    <t>Not applicable</t>
  </si>
  <si>
    <t>Male</t>
  </si>
  <si>
    <t>Female</t>
  </si>
  <si>
    <t>Single</t>
  </si>
  <si>
    <t>Divorced</t>
  </si>
  <si>
    <t>Married</t>
  </si>
  <si>
    <t>Widowed</t>
  </si>
  <si>
    <t>National Identifier:</t>
  </si>
  <si>
    <t>CNSS Number:</t>
  </si>
  <si>
    <t>CIMR Pension Number:</t>
  </si>
  <si>
    <t>Primary</t>
  </si>
  <si>
    <t>Temporary National ID:</t>
  </si>
  <si>
    <t>Active</t>
  </si>
  <si>
    <t>Click                                                   button.</t>
  </si>
  <si>
    <t>Click                              button.</t>
  </si>
  <si>
    <t>Click                                            button.</t>
  </si>
  <si>
    <t>Click                                  link</t>
  </si>
  <si>
    <t>Click                                button</t>
  </si>
  <si>
    <t>Click                                                                     button</t>
  </si>
  <si>
    <t>Click                                                                                button</t>
  </si>
  <si>
    <t>leave blank</t>
  </si>
  <si>
    <t>Trainee</t>
  </si>
  <si>
    <t>Full-Time</t>
  </si>
  <si>
    <t>FTE:</t>
  </si>
  <si>
    <t>1.000000</t>
  </si>
  <si>
    <t>40.00</t>
  </si>
  <si>
    <t>Nothing to populate here.</t>
  </si>
  <si>
    <t>MAM</t>
  </si>
  <si>
    <t>E</t>
  </si>
  <si>
    <t>H</t>
  </si>
  <si>
    <t>Exemption Hourly</t>
  </si>
  <si>
    <t>Hourly</t>
  </si>
  <si>
    <t>GL Pay Type:</t>
  </si>
  <si>
    <t>PG MA MTH</t>
  </si>
  <si>
    <t>EL MA REG</t>
  </si>
  <si>
    <t>EL MA TRN</t>
  </si>
  <si>
    <t>Step:</t>
  </si>
  <si>
    <t>MA40</t>
  </si>
  <si>
    <t>ACC</t>
  </si>
  <si>
    <t>Fin - Accounting</t>
  </si>
  <si>
    <t>HR - Administration</t>
  </si>
  <si>
    <t>ADV</t>
  </si>
  <si>
    <t>AUD</t>
  </si>
  <si>
    <t>CBN</t>
  </si>
  <si>
    <t>HR – Compensation and benefits</t>
  </si>
  <si>
    <t>GMF</t>
  </si>
  <si>
    <t>General Management &amp; Functions</t>
  </si>
  <si>
    <t>GSV</t>
  </si>
  <si>
    <t>GMF – General Services</t>
  </si>
  <si>
    <t>HAW</t>
  </si>
  <si>
    <t>GMF – Health at Work</t>
  </si>
  <si>
    <t>HBP</t>
  </si>
  <si>
    <t>HR - HRBP</t>
  </si>
  <si>
    <t>ITC</t>
  </si>
  <si>
    <t>IT Consulting</t>
  </si>
  <si>
    <t>LEG</t>
  </si>
  <si>
    <t>GMF - Legal</t>
  </si>
  <si>
    <t>MGC</t>
  </si>
  <si>
    <t>Finance – Management Controler</t>
  </si>
  <si>
    <t>MKC</t>
  </si>
  <si>
    <t>Marketing and Communication</t>
  </si>
  <si>
    <t>PAY</t>
  </si>
  <si>
    <t>Finance - Pay</t>
  </si>
  <si>
    <t>PJD</t>
  </si>
  <si>
    <t>PUR</t>
  </si>
  <si>
    <t>Purchase</t>
  </si>
  <si>
    <t>QUA</t>
  </si>
  <si>
    <t>GMF - Quality</t>
  </si>
  <si>
    <t>REC</t>
  </si>
  <si>
    <t>HR - Recruitment</t>
  </si>
  <si>
    <t>SAM</t>
  </si>
  <si>
    <t>SAN</t>
  </si>
  <si>
    <t>Without Career Path</t>
  </si>
  <si>
    <t>SOR</t>
  </si>
  <si>
    <t>HR – Social Relations</t>
  </si>
  <si>
    <t>SVD</t>
  </si>
  <si>
    <t>TDV</t>
  </si>
  <si>
    <t>HR - Talent&amp;Development</t>
  </si>
  <si>
    <t>TEC</t>
  </si>
  <si>
    <t>TRN</t>
  </si>
  <si>
    <t>HR – Training</t>
  </si>
  <si>
    <t>MAD</t>
  </si>
  <si>
    <t>A</t>
  </si>
  <si>
    <t>Annual</t>
  </si>
  <si>
    <t>MAANNL</t>
  </si>
  <si>
    <t>MAMEAL</t>
  </si>
  <si>
    <t>MATRP</t>
  </si>
  <si>
    <t xml:space="preserve">  </t>
  </si>
  <si>
    <t>Currency</t>
  </si>
  <si>
    <t>Adjusted Service Date:</t>
  </si>
  <si>
    <t xml:space="preserve">MAR </t>
  </si>
  <si>
    <t>388A</t>
  </si>
  <si>
    <t>A373</t>
  </si>
  <si>
    <t>AAE</t>
  </si>
  <si>
    <t>ACN</t>
  </si>
  <si>
    <t>AEX</t>
  </si>
  <si>
    <t>AGI</t>
  </si>
  <si>
    <t>AAV</t>
  </si>
  <si>
    <t>C008</t>
  </si>
  <si>
    <t>C048</t>
  </si>
  <si>
    <t>C051</t>
  </si>
  <si>
    <t>C059</t>
  </si>
  <si>
    <t>C069</t>
  </si>
  <si>
    <t>C071</t>
  </si>
  <si>
    <t>C081</t>
  </si>
  <si>
    <t>C087</t>
  </si>
  <si>
    <t>C090</t>
  </si>
  <si>
    <t>C096</t>
  </si>
  <si>
    <t>C099</t>
  </si>
  <si>
    <t>C100</t>
  </si>
  <si>
    <t>C103</t>
  </si>
  <si>
    <t>C108</t>
  </si>
  <si>
    <t>C114</t>
  </si>
  <si>
    <t>C130</t>
  </si>
  <si>
    <t>C131</t>
  </si>
  <si>
    <t>C132</t>
  </si>
  <si>
    <t>C133</t>
  </si>
  <si>
    <t>C134</t>
  </si>
  <si>
    <t>C136</t>
  </si>
  <si>
    <t>C137</t>
  </si>
  <si>
    <t>C141</t>
  </si>
  <si>
    <t>C144</t>
  </si>
  <si>
    <t>C145</t>
  </si>
  <si>
    <t>C148</t>
  </si>
  <si>
    <t>C149</t>
  </si>
  <si>
    <t>C150</t>
  </si>
  <si>
    <t>C157</t>
  </si>
  <si>
    <t>C160</t>
  </si>
  <si>
    <t>C163</t>
  </si>
  <si>
    <t>C165</t>
  </si>
  <si>
    <t>C175</t>
  </si>
  <si>
    <t>C176</t>
  </si>
  <si>
    <t>C177</t>
  </si>
  <si>
    <t>C178</t>
  </si>
  <si>
    <t>C182</t>
  </si>
  <si>
    <t>C183</t>
  </si>
  <si>
    <t>C184</t>
  </si>
  <si>
    <t>C185</t>
  </si>
  <si>
    <t>C192</t>
  </si>
  <si>
    <t>C199</t>
  </si>
  <si>
    <t>C206</t>
  </si>
  <si>
    <t>C252</t>
  </si>
  <si>
    <t>C254</t>
  </si>
  <si>
    <t>C260</t>
  </si>
  <si>
    <t>C274</t>
  </si>
  <si>
    <t>C275</t>
  </si>
  <si>
    <t>C286</t>
  </si>
  <si>
    <t>C296</t>
  </si>
  <si>
    <t>C297</t>
  </si>
  <si>
    <t>C310</t>
  </si>
  <si>
    <t>C321</t>
  </si>
  <si>
    <t>C322</t>
  </si>
  <si>
    <t>C341</t>
  </si>
  <si>
    <t>C342</t>
  </si>
  <si>
    <t>C372</t>
  </si>
  <si>
    <t>C376</t>
  </si>
  <si>
    <t>C380</t>
  </si>
  <si>
    <t>C382</t>
  </si>
  <si>
    <t>C400</t>
  </si>
  <si>
    <t>C407</t>
  </si>
  <si>
    <t>C409</t>
  </si>
  <si>
    <t>C411</t>
  </si>
  <si>
    <t>C424</t>
  </si>
  <si>
    <t>C427</t>
  </si>
  <si>
    <t>C436</t>
  </si>
  <si>
    <t>C442</t>
  </si>
  <si>
    <t>C443</t>
  </si>
  <si>
    <t>C444</t>
  </si>
  <si>
    <t>C445</t>
  </si>
  <si>
    <t>C446</t>
  </si>
  <si>
    <t>C447</t>
  </si>
  <si>
    <t>C448</t>
  </si>
  <si>
    <t>C449</t>
  </si>
  <si>
    <t>C450</t>
  </si>
  <si>
    <t>C451</t>
  </si>
  <si>
    <t>C453</t>
  </si>
  <si>
    <t>C454</t>
  </si>
  <si>
    <t>C455</t>
  </si>
  <si>
    <t>C457</t>
  </si>
  <si>
    <t>C458</t>
  </si>
  <si>
    <t>C459</t>
  </si>
  <si>
    <t>C460</t>
  </si>
  <si>
    <t>C461</t>
  </si>
  <si>
    <t>C462</t>
  </si>
  <si>
    <t>C463</t>
  </si>
  <si>
    <t>C464</t>
  </si>
  <si>
    <t>C465</t>
  </si>
  <si>
    <t>C466</t>
  </si>
  <si>
    <t>C467</t>
  </si>
  <si>
    <t>C468</t>
  </si>
  <si>
    <t>C469</t>
  </si>
  <si>
    <t>C470</t>
  </si>
  <si>
    <t>C471</t>
  </si>
  <si>
    <t>C472</t>
  </si>
  <si>
    <t>C473</t>
  </si>
  <si>
    <t>C477</t>
  </si>
  <si>
    <t>C478</t>
  </si>
  <si>
    <t>C479</t>
  </si>
  <si>
    <t>C484</t>
  </si>
  <si>
    <t>C485</t>
  </si>
  <si>
    <t>C486</t>
  </si>
  <si>
    <t>C487</t>
  </si>
  <si>
    <t>C489</t>
  </si>
  <si>
    <t>C490</t>
  </si>
  <si>
    <t>C498</t>
  </si>
  <si>
    <t>C502</t>
  </si>
  <si>
    <t>C504</t>
  </si>
  <si>
    <t>C510</t>
  </si>
  <si>
    <t>C511</t>
  </si>
  <si>
    <t>C512</t>
  </si>
  <si>
    <t>C513</t>
  </si>
  <si>
    <t>C514</t>
  </si>
  <si>
    <t>C516</t>
  </si>
  <si>
    <t>C517</t>
  </si>
  <si>
    <t>C518</t>
  </si>
  <si>
    <t>C520</t>
  </si>
  <si>
    <t>C521</t>
  </si>
  <si>
    <t>C874</t>
  </si>
  <si>
    <t>C875</t>
  </si>
  <si>
    <t>C876</t>
  </si>
  <si>
    <t>C878</t>
  </si>
  <si>
    <t>C879</t>
  </si>
  <si>
    <t>C881</t>
  </si>
  <si>
    <t>C882</t>
  </si>
  <si>
    <t>C883</t>
  </si>
  <si>
    <t>C884</t>
  </si>
  <si>
    <t>C885</t>
  </si>
  <si>
    <t>C886</t>
  </si>
  <si>
    <t>C889</t>
  </si>
  <si>
    <t>C890</t>
  </si>
  <si>
    <t>C891</t>
  </si>
  <si>
    <t>C892</t>
  </si>
  <si>
    <t>C893</t>
  </si>
  <si>
    <t>C894</t>
  </si>
  <si>
    <t>C895</t>
  </si>
  <si>
    <t>C896</t>
  </si>
  <si>
    <t>C897</t>
  </si>
  <si>
    <t>C898</t>
  </si>
  <si>
    <t>C899</t>
  </si>
  <si>
    <t>C901</t>
  </si>
  <si>
    <t>C902</t>
  </si>
  <si>
    <t>C903</t>
  </si>
  <si>
    <t>C904</t>
  </si>
  <si>
    <t>C905</t>
  </si>
  <si>
    <t>C906</t>
  </si>
  <si>
    <t>C908</t>
  </si>
  <si>
    <t>C909</t>
  </si>
  <si>
    <t>D387</t>
  </si>
  <si>
    <t>E019</t>
  </si>
  <si>
    <t>E051</t>
  </si>
  <si>
    <t>E058</t>
  </si>
  <si>
    <t>E094</t>
  </si>
  <si>
    <t>E096</t>
  </si>
  <si>
    <t>E100</t>
  </si>
  <si>
    <t>E167</t>
  </si>
  <si>
    <t>E175</t>
  </si>
  <si>
    <t>E271</t>
  </si>
  <si>
    <t>E290</t>
  </si>
  <si>
    <t>E310</t>
  </si>
  <si>
    <t>E442</t>
  </si>
  <si>
    <t>E443</t>
  </si>
  <si>
    <t>E445</t>
  </si>
  <si>
    <t>E449</t>
  </si>
  <si>
    <t>E450</t>
  </si>
  <si>
    <t>C456</t>
  </si>
  <si>
    <t>CDD</t>
  </si>
  <si>
    <t>CDI</t>
  </si>
  <si>
    <t>STA</t>
  </si>
  <si>
    <t>AN1</t>
  </si>
  <si>
    <t>AN2</t>
  </si>
  <si>
    <t>AN3</t>
  </si>
  <si>
    <t>4N</t>
  </si>
  <si>
    <t>Not Applicable</t>
  </si>
  <si>
    <t>Elapsed Time Reporter</t>
  </si>
  <si>
    <t>MOROCCO</t>
  </si>
  <si>
    <t>MOROCCO2</t>
  </si>
  <si>
    <t xml:space="preserve">Citizen </t>
  </si>
  <si>
    <t>Applied For</t>
  </si>
  <si>
    <t>PROVIDE COMPANY CAR</t>
  </si>
  <si>
    <t>Coverage Election:</t>
  </si>
  <si>
    <t xml:space="preserve">
Main Menu&gt;&gt;Workforce Administration&gt;&gt;Personal Information&gt;&gt;Personal Relationships&gt;&gt;Emergency Contact</t>
  </si>
  <si>
    <t>Emergency Contact</t>
  </si>
  <si>
    <t>Contact Name:</t>
  </si>
  <si>
    <t>Relationship to Employee:</t>
  </si>
  <si>
    <t xml:space="preserve">Phone: </t>
  </si>
  <si>
    <t>0</t>
  </si>
  <si>
    <t>Adresse complement 1 (suite)</t>
  </si>
  <si>
    <t>Adresse Complement 2 (suite)</t>
  </si>
  <si>
    <t>Adresse</t>
  </si>
  <si>
    <t>Address</t>
  </si>
  <si>
    <t xml:space="preserve">Address Line 3* </t>
  </si>
  <si>
    <t>Agence</t>
  </si>
  <si>
    <t>Ami</t>
  </si>
  <si>
    <t>Arrìere-grand-parent</t>
  </si>
  <si>
    <t>Arrìere-petit-enfant</t>
  </si>
  <si>
    <t>Autre enfant</t>
  </si>
  <si>
    <t>Autre parent</t>
  </si>
  <si>
    <t>Beau-parent</t>
  </si>
  <si>
    <t>Beaux-parents</t>
  </si>
  <si>
    <t>Belle-fam.</t>
  </si>
  <si>
    <t>Colocataire</t>
  </si>
  <si>
    <t>Confidentiel</t>
  </si>
  <si>
    <t>Conj. même sexe (É-U)</t>
  </si>
  <si>
    <t>Connjoint</t>
  </si>
  <si>
    <t>Conseiller principal r.h</t>
  </si>
  <si>
    <t>Employé</t>
  </si>
  <si>
    <t>Enf. conj.</t>
  </si>
  <si>
    <t>Enfant</t>
  </si>
  <si>
    <t>Enfant adulte</t>
  </si>
  <si>
    <t>Enfant fam. acc.</t>
  </si>
  <si>
    <t>Enfant partenaire dom.</t>
  </si>
  <si>
    <t>Enfant reconnu</t>
  </si>
  <si>
    <t>Ex-conjoint</t>
  </si>
  <si>
    <t>Ex-partenaire domestique</t>
  </si>
  <si>
    <t>Fr./soeur</t>
  </si>
  <si>
    <t>Grand-parent</t>
  </si>
  <si>
    <t>Other contact</t>
  </si>
  <si>
    <t>Partenaire domestique</t>
  </si>
  <si>
    <t>Petit-enfant</t>
  </si>
  <si>
    <t>Succession</t>
  </si>
  <si>
    <t>Tutelle</t>
  </si>
  <si>
    <t>Voisin</t>
  </si>
  <si>
    <t>Vous</t>
  </si>
  <si>
    <t>ITEM CODE</t>
  </si>
  <si>
    <t>GUIDE D'UTILISATION FR</t>
  </si>
  <si>
    <t>USER GUIDE EN</t>
  </si>
  <si>
    <t>Personne responsable du recrutement. Saisissez le prénom et le nom.</t>
  </si>
  <si>
    <t>Person responsible for recruitment. Indicate first name and last name.</t>
  </si>
  <si>
    <r>
      <t>Personne responsable de l'intégration et manager d'un em</t>
    </r>
    <r>
      <rPr>
        <sz val="10"/>
        <rFont val="Calibri"/>
        <family val="2"/>
        <scheme val="minor"/>
      </rPr>
      <t xml:space="preserve">ployé. </t>
    </r>
    <r>
      <rPr>
        <sz val="10"/>
        <color rgb="FFFF0000"/>
        <rFont val="Calibri"/>
        <family val="2"/>
        <scheme val="minor"/>
      </rPr>
      <t xml:space="preserve">Saisissez le prénom suivi du nom </t>
    </r>
    <r>
      <rPr>
        <u/>
        <sz val="10"/>
        <color rgb="FFFF0000"/>
        <rFont val="Calibri"/>
        <family val="2"/>
        <scheme val="minor"/>
      </rPr>
      <t>(Tel qu'écrit sur LPS)</t>
    </r>
  </si>
  <si>
    <r>
      <t>Person who has the responsibility to onboard and mana</t>
    </r>
    <r>
      <rPr>
        <sz val="10"/>
        <rFont val="Calibri"/>
        <family val="2"/>
        <scheme val="minor"/>
      </rPr>
      <t xml:space="preserve">ge an employee. </t>
    </r>
    <r>
      <rPr>
        <sz val="10"/>
        <color rgb="FFFF0000"/>
        <rFont val="Calibri"/>
        <family val="2"/>
        <scheme val="minor"/>
      </rPr>
      <t xml:space="preserve">Indicate First name then last name </t>
    </r>
    <r>
      <rPr>
        <u/>
        <sz val="10"/>
        <color rgb="FFFF0000"/>
        <rFont val="Calibri"/>
        <family val="2"/>
        <scheme val="minor"/>
      </rPr>
      <t>(Refer to LPS)</t>
    </r>
  </si>
  <si>
    <t>Choisissez dans la liste déroulante</t>
  </si>
  <si>
    <t xml:space="preserve">Choose on the drop-down list </t>
  </si>
  <si>
    <t>Nom de la personne habilitée à valider l'embauche</t>
  </si>
  <si>
    <t>Person's name who has hability to approve the recruitment</t>
  </si>
  <si>
    <t xml:space="preserve">Date à laquelle l'embauche a été approuvé </t>
  </si>
  <si>
    <t>Date when the recruitment was approved</t>
  </si>
  <si>
    <t>Date à laquelle le contrat sera envoyé au candidat</t>
  </si>
  <si>
    <t>Date when the employment contract will be sent to the candidate</t>
  </si>
  <si>
    <t>Indiquez le deuxième prénom, si c'est c'est un prénom composé</t>
  </si>
  <si>
    <t xml:space="preserve">Indicate the middle name </t>
  </si>
  <si>
    <t>Indiquez si existant le nom d'usage à travers lequel la personne est reconnu</t>
  </si>
  <si>
    <t>Indicate, if existing, the used name through which the person is recognized</t>
  </si>
  <si>
    <t>Indiquez le numéro de CIN (Carte d'identité nationale)</t>
  </si>
  <si>
    <t>Indicate the CIN number (National Identity Card)</t>
  </si>
  <si>
    <t>Indiquez le numéro CIMR (Caisse interprofessionelle marocaine de retraite) - uniquement pour CDI</t>
  </si>
  <si>
    <t xml:space="preserve">Indicate the CIMR number (Moroccan Retirement Interprofessional Fund) - only for permanent </t>
  </si>
  <si>
    <r>
      <t xml:space="preserve">Indiquez le numéro de la CNSS </t>
    </r>
    <r>
      <rPr>
        <u/>
        <sz val="10"/>
        <rFont val="Calibri"/>
        <family val="2"/>
        <scheme val="minor"/>
      </rPr>
      <t xml:space="preserve">si déjà prêt </t>
    </r>
    <r>
      <rPr>
        <sz val="10"/>
        <rFont val="Calibri"/>
        <family val="2"/>
        <scheme val="minor"/>
      </rPr>
      <t>(Caisse nationale de sécurité sociale)</t>
    </r>
  </si>
  <si>
    <t>Indicate the CNSS number if available (National Social Security Fund)</t>
  </si>
  <si>
    <t>Indiquez le numéro de la carte de séjour si la recrue est un étranger résidant au maroc</t>
  </si>
  <si>
    <t>Indicate the residence permit number if the member is a foreign employee (other nationality than morrocan)</t>
  </si>
  <si>
    <r>
      <t>Indiquez le statut citoyenneté (liste déroulante ==&gt;</t>
    </r>
    <r>
      <rPr>
        <u/>
        <sz val="10"/>
        <color theme="1"/>
        <rFont val="Calibri"/>
        <family val="2"/>
        <scheme val="minor"/>
      </rPr>
      <t xml:space="preserve"> Natif </t>
    </r>
    <r>
      <rPr>
        <sz val="10"/>
        <color theme="1"/>
        <rFont val="Calibri"/>
        <family val="2"/>
        <scheme val="minor"/>
      </rPr>
      <t xml:space="preserve">: si meme pays de naissance  ; </t>
    </r>
    <r>
      <rPr>
        <u/>
        <sz val="10"/>
        <color theme="1"/>
        <rFont val="Calibri"/>
        <family val="2"/>
        <scheme val="minor"/>
      </rPr>
      <t>Acquise :</t>
    </r>
    <r>
      <rPr>
        <sz val="10"/>
        <color theme="1"/>
        <rFont val="Calibri"/>
        <family val="2"/>
        <scheme val="minor"/>
      </rPr>
      <t xml:space="preserve"> si demande de nationalité ; </t>
    </r>
    <r>
      <rPr>
        <u/>
        <sz val="10"/>
        <color theme="1"/>
        <rFont val="Calibri"/>
        <family val="2"/>
        <scheme val="minor"/>
      </rPr>
      <t>non précise</t>
    </r>
    <r>
      <rPr>
        <sz val="10"/>
        <color theme="1"/>
        <rFont val="Calibri"/>
        <family val="2"/>
        <scheme val="minor"/>
      </rPr>
      <t xml:space="preserve">) </t>
    </r>
  </si>
  <si>
    <t>Indicate the citizenship status (choose from the drop down-list)</t>
  </si>
  <si>
    <t>Indiquez le type de visa (liste déroulante )</t>
  </si>
  <si>
    <t>Indicate the type of visa (drop down list)</t>
  </si>
  <si>
    <t>Indiquez le statut de la demande du visa (demandé, accordé,renouvellement , renouvelé) selon l'état d'avancement</t>
  </si>
  <si>
    <t xml:space="preserve">indicate the delivery status of the visa request </t>
  </si>
  <si>
    <t>indiquez votre adresse domicile (ce champ accepte 32 caractères , completer sur le champ suivant)</t>
  </si>
  <si>
    <t>indicate your home address (this field accepts 32 characters, if not sufficient ,complete in the next field)</t>
  </si>
  <si>
    <t>Indiquez si nécessaire la suite votre adresse ( complément 1)</t>
  </si>
  <si>
    <t>Indicate if necessary the complement of your address (complement 1)</t>
  </si>
  <si>
    <t>Indiquez si nécessaire la suite votre adresse (complément 2)</t>
  </si>
  <si>
    <t>Indicate if necessary the complement of your address (complement 2)</t>
  </si>
  <si>
    <t>Saisissez le n° de téléphone comme suivant : + code international (y)zzzzzzzzzzzzz</t>
  </si>
  <si>
    <t>Indicate the phone number in this format : + international code (y)zzzzzzzzzzzzz</t>
  </si>
  <si>
    <t>Indiquez l'adresse mail personelle</t>
  </si>
  <si>
    <t>indicate the personal email adress</t>
  </si>
  <si>
    <t>Indiquez le nom et prénom du contact à appeler en cas d'urgence</t>
  </si>
  <si>
    <t>Indicate the full name of the contact to be called in case of emergency</t>
  </si>
  <si>
    <t>Indiquez le lien personnel avec le contact d'urgence (liste déroulante)</t>
  </si>
  <si>
    <t>Indicate the personal link with the emergency contact (drop down list)</t>
  </si>
  <si>
    <t>Indiquez le n° de téléphone comme suivant : + code international (y)zzzzzzzzzzzzz</t>
  </si>
  <si>
    <t xml:space="preserve">Si ancien membre CGI. Indiquez l'ancien matricule affecté à la personne </t>
  </si>
  <si>
    <t>If former member of CGI. Indicate the former staff number assigned to the person</t>
  </si>
  <si>
    <t xml:space="preserve">Si prolongation du contrat, indiquez la nouvelle date de fin </t>
  </si>
  <si>
    <t>If contract extension, indicate new end date</t>
  </si>
  <si>
    <t>Indiquez le montant brut de l'indemnité de stage allouée</t>
  </si>
  <si>
    <t>Indicate the gross amount of the agreed-upon training allowance</t>
  </si>
  <si>
    <t xml:space="preserve">Indiquez le montant net mensuel équivalent au brut de l'indemnité de stage </t>
  </si>
  <si>
    <t>Indicate the net monthly amount equivalent to the gross of the training allowance</t>
  </si>
  <si>
    <t>indiquez le tuteur du stage au sein de l'entreprise, peut etre la meme personne que le manager de la personne</t>
  </si>
  <si>
    <t>Indicate the tutor of the internship within the company (may be the same person as the manager of the person)</t>
  </si>
  <si>
    <t xml:space="preserve">Indiquer la nouvelle date a laquelle le pronlongement prend effet </t>
  </si>
  <si>
    <t>Indicate the new date on which the extension takes effect</t>
  </si>
  <si>
    <t xml:space="preserve">indiquez la nouvelle date de fin suite au prolongement effectué </t>
  </si>
  <si>
    <t>Indicate the new end date following the extension</t>
  </si>
  <si>
    <t>Indiquez le matricule du membre, si changement ou modification au niveau du CDF initial</t>
  </si>
  <si>
    <t>Indicate the member's number, if there is a change or modification to the initial CDF</t>
  </si>
  <si>
    <r>
      <t xml:space="preserve">Inserer le département RH se référer au fichier </t>
    </r>
    <r>
      <rPr>
        <sz val="10"/>
        <color rgb="FFFF0000"/>
        <rFont val="Calibri"/>
        <family val="2"/>
        <scheme val="minor"/>
      </rPr>
      <t xml:space="preserve">( Fichier de référence - Département RH) </t>
    </r>
  </si>
  <si>
    <r>
      <t xml:space="preserve">Indicate HR Departement, Refer to file </t>
    </r>
    <r>
      <rPr>
        <sz val="10"/>
        <color rgb="FFFF0000"/>
        <rFont val="Calibri"/>
        <family val="2"/>
        <scheme val="minor"/>
      </rPr>
      <t xml:space="preserve">( Reference File - HR departements) </t>
    </r>
  </si>
  <si>
    <r>
      <t xml:space="preserve">Inserer le code département RH se référer au fichier </t>
    </r>
    <r>
      <rPr>
        <sz val="10"/>
        <color rgb="FFFF0000"/>
        <rFont val="Calibri"/>
        <family val="2"/>
        <scheme val="minor"/>
      </rPr>
      <t xml:space="preserve">( Fichier de référence - Département RH) </t>
    </r>
  </si>
  <si>
    <r>
      <t xml:space="preserve">Indicate HR Departement code, Refer to file </t>
    </r>
    <r>
      <rPr>
        <sz val="10"/>
        <color rgb="FFFF0000"/>
        <rFont val="Calibri"/>
        <family val="2"/>
        <scheme val="minor"/>
      </rPr>
      <t xml:space="preserve">( Reference File - HR departements) </t>
    </r>
  </si>
  <si>
    <t xml:space="preserve">indiquez si c'est une converstion (transformation) :                                                                                                                                                                              - To update with no gap / continuous employement ( garder le dossier active, non terminé)                                                                                                                                   - To rehire with gap / new contract ( fermer le dossier et créer une nouveau)                                                         </t>
  </si>
  <si>
    <t xml:space="preserve">If (rehire/reconverstion), indicate whether if :                                                                                                                                                                                     -   To update with no gap / Continuous employement (keep active record for the member, not to be terminated )                                                                                    -   To rehire with gap / New contract ( terminate the record, create a new one)                                        </t>
  </si>
  <si>
    <t>indiquez la date de début du contrat quelque soit le type (CDI, CDD, ANAPEC, Stage)</t>
  </si>
  <si>
    <t>Indicate the start date of the contract whatever the type (CDI, CDD, ANAPEC, Stage)</t>
  </si>
  <si>
    <t>Ne pas remplir ce champ si stage (renseigner plus haut au niveau de L'ITEM : 59)</t>
  </si>
  <si>
    <t>Do not fill in this field if internship (fill in above ITEM: 57)</t>
  </si>
  <si>
    <t>Ne pas remplir ce champ si stage (renseigner plus haut au niveau de L'ITEM : 62)</t>
  </si>
  <si>
    <t>Do not fill in this field if internship (fill in above ITEM: 59)</t>
  </si>
  <si>
    <t xml:space="preserve">Utulisez uniquement pour les contrats de type CDI en indiquant le taux applicable </t>
  </si>
  <si>
    <t>Use only for CDI contracts by indicating the applicable rate</t>
  </si>
  <si>
    <t xml:space="preserve">Utilisez si le membre est concerné par une prime de représentation </t>
  </si>
  <si>
    <t>Use if the member is concerned by a representation allowance</t>
  </si>
  <si>
    <t>Utilisez si le membre bénéficie d'une voiture de service (Liste déroulante)</t>
  </si>
  <si>
    <t>Use if the member has a service car (drop-down list)</t>
  </si>
  <si>
    <t>Champ réservé aux membres étrangers</t>
  </si>
  <si>
    <t>Field reserved for foreign members</t>
  </si>
  <si>
    <t xml:space="preserve">Champ réservé aux contrats CDD &amp; Anapec </t>
  </si>
  <si>
    <t>Field reserved for CDD &amp; Anapec contracts</t>
  </si>
  <si>
    <t xml:space="preserve">Champ réservé aux contrats de stage </t>
  </si>
  <si>
    <t>Field reserved for internship contracts</t>
  </si>
  <si>
    <t>G*</t>
  </si>
  <si>
    <t>Champs à remplir impérativement pour réalisation des contrats (CDI - CDD - STAGE)*</t>
  </si>
  <si>
    <t>Fields to be fulfilled imperatively for realization of the contracts (CDI - CDD - STAGE)*</t>
  </si>
  <si>
    <r>
      <rPr>
        <sz val="12"/>
        <color rgb="FFFF0000"/>
        <rFont val="Calibri"/>
        <family val="2"/>
        <scheme val="minor"/>
      </rPr>
      <t>T</t>
    </r>
    <r>
      <rPr>
        <sz val="10"/>
        <color rgb="FFFF0000"/>
        <rFont val="Calibri"/>
        <family val="2"/>
        <scheme val="minor"/>
      </rPr>
      <t xml:space="preserve"> </t>
    </r>
    <r>
      <rPr>
        <sz val="8"/>
        <color rgb="FFFF0000"/>
        <rFont val="Calibri"/>
        <family val="2"/>
        <scheme val="minor"/>
      </rPr>
      <t xml:space="preserve">(Texte rouge) </t>
    </r>
  </si>
  <si>
    <t xml:space="preserve">Consignes d'utilisation </t>
  </si>
  <si>
    <t>Instructions for use</t>
  </si>
  <si>
    <t>ITEM FR</t>
  </si>
  <si>
    <t>ITEM EN</t>
  </si>
  <si>
    <t>CONTRACTS</t>
  </si>
  <si>
    <t xml:space="preserve">For All types of contracts </t>
  </si>
  <si>
    <t>Last name*</t>
  </si>
  <si>
    <t xml:space="preserve">Adresse </t>
  </si>
  <si>
    <t xml:space="preserve">Adress </t>
  </si>
  <si>
    <t>Adresse (Complément 1)</t>
  </si>
  <si>
    <t>Adress (Complement 1)</t>
  </si>
  <si>
    <t>For All types of contracts (if filled)</t>
  </si>
  <si>
    <t xml:space="preserve">Adresse (Complément 2) </t>
  </si>
  <si>
    <t>Adress (Complement 2)</t>
  </si>
  <si>
    <t>For All types of contracts ( if filled)</t>
  </si>
  <si>
    <t xml:space="preserve">For internship contract </t>
  </si>
  <si>
    <t>For internship contract / if extended</t>
  </si>
  <si>
    <t>For permanent contracts &amp; Fixed terme contracts (CDD)</t>
  </si>
  <si>
    <t>For All types of contracts Except trainee contracts</t>
  </si>
  <si>
    <t>For permanent contracts</t>
  </si>
  <si>
    <t>Conjoint</t>
  </si>
  <si>
    <t>RH Admin</t>
  </si>
  <si>
    <t>You</t>
  </si>
  <si>
    <t>Gross Monthly Amount of Training Allowance*</t>
  </si>
  <si>
    <t>Responsable Comptabilité &amp; Conformité</t>
  </si>
  <si>
    <t>Delivery Manager</t>
  </si>
  <si>
    <t>Ingénieur d'Etudes et Développement</t>
  </si>
  <si>
    <t>Chargé de la Gestion Administrative</t>
  </si>
  <si>
    <t>Responsable Gestion administration RH</t>
  </si>
  <si>
    <t>Manager Moyens Généraux</t>
  </si>
  <si>
    <t>Ingénieur Analyste Confirmé</t>
  </si>
  <si>
    <t>Ingénieur d'Etudes et Développement Confirmé</t>
  </si>
  <si>
    <t>Responsable Paie</t>
  </si>
  <si>
    <t>Superviseur Confirmé</t>
  </si>
  <si>
    <t>Analyste Support Confirmé</t>
  </si>
  <si>
    <t>Agent de support Confirmé</t>
  </si>
  <si>
    <t>Service Delivery Manager</t>
  </si>
  <si>
    <t xml:space="preserve">Superviseur </t>
  </si>
  <si>
    <t>Manager formation</t>
  </si>
  <si>
    <t>Chargé de communication</t>
  </si>
  <si>
    <t>de Responsable Comptabilité &amp; Conformité</t>
  </si>
  <si>
    <t>de Delivery Manager</t>
  </si>
  <si>
    <t>de Chargé de la Gestion Administrative</t>
  </si>
  <si>
    <t>de Responsable Gestion administration RH</t>
  </si>
  <si>
    <t>de Manager Moyens Généraux</t>
  </si>
  <si>
    <t>de Responsable Paie</t>
  </si>
  <si>
    <t>de Superviseur Confirmé</t>
  </si>
  <si>
    <t>de Service Delivery Manager</t>
  </si>
  <si>
    <t>de Manager formation</t>
  </si>
  <si>
    <t>de Chargé de communication</t>
  </si>
  <si>
    <t>Expert Junior</t>
  </si>
  <si>
    <t>Responsable Recrutement</t>
  </si>
  <si>
    <t>Responsable Sécurité Système d'information</t>
  </si>
  <si>
    <t>Agent de support</t>
  </si>
  <si>
    <t>Chargé de projet</t>
  </si>
  <si>
    <t>d' Analyste Support Confirmé</t>
  </si>
  <si>
    <t>Company Seniority date</t>
  </si>
  <si>
    <t>LPS00345421</t>
  </si>
  <si>
    <t>LPS00354489</t>
  </si>
  <si>
    <t>LPS00340981</t>
  </si>
  <si>
    <t>LPS00342313</t>
  </si>
  <si>
    <t>LPS00350679</t>
  </si>
  <si>
    <t>LPS00166260</t>
  </si>
  <si>
    <t>LPS00335503</t>
  </si>
  <si>
    <t>LPS00347639</t>
  </si>
  <si>
    <t>LPS00320326</t>
  </si>
  <si>
    <t>LPS00185218</t>
  </si>
  <si>
    <t>LPS00276161</t>
  </si>
  <si>
    <t>LPS00335330</t>
  </si>
  <si>
    <t>LPS00290602</t>
  </si>
  <si>
    <t>LPS00198452</t>
  </si>
  <si>
    <t>LPS00251260</t>
  </si>
  <si>
    <t>LPS00251162</t>
  </si>
  <si>
    <t>LPS00191123</t>
  </si>
  <si>
    <t>LPS00336190</t>
  </si>
  <si>
    <t>LPS00350371</t>
  </si>
  <si>
    <t>LPS00345214</t>
  </si>
  <si>
    <t>LPS00255056</t>
  </si>
  <si>
    <t>LPS00168229</t>
  </si>
  <si>
    <t>LPS00353789</t>
  </si>
  <si>
    <t>LPS00353792</t>
  </si>
  <si>
    <t>LPS00195519</t>
  </si>
  <si>
    <t>LPS00345820</t>
  </si>
  <si>
    <t>LPS00344546</t>
  </si>
  <si>
    <t>LPS00161838</t>
  </si>
  <si>
    <t>LPS00258955</t>
  </si>
  <si>
    <t>LPS00352905</t>
  </si>
  <si>
    <t>LPS00173608</t>
  </si>
  <si>
    <t>LPS00253208</t>
  </si>
  <si>
    <t>LPS00272503</t>
  </si>
  <si>
    <t>LPS00302101</t>
  </si>
  <si>
    <t>LPS00319171</t>
  </si>
  <si>
    <t>LPS00319500</t>
  </si>
  <si>
    <t>LPS00329671</t>
  </si>
  <si>
    <t>LPS00329685</t>
  </si>
  <si>
    <t>LPS00330366</t>
  </si>
  <si>
    <t>LPS00330913</t>
  </si>
  <si>
    <t>LPS00337622</t>
  </si>
  <si>
    <t>LPS00338152</t>
  </si>
  <si>
    <t>LPS00342753</t>
  </si>
  <si>
    <t>LPS00342756</t>
  </si>
  <si>
    <t>LPS00342957</t>
  </si>
  <si>
    <t>LPS00343524</t>
  </si>
  <si>
    <t>LPS00346263</t>
  </si>
  <si>
    <t>LPS00346865</t>
  </si>
  <si>
    <t>LPS00347256</t>
  </si>
  <si>
    <t>LPS00352927</t>
  </si>
  <si>
    <t>LPS00353302</t>
  </si>
  <si>
    <t>LPS00353483</t>
  </si>
  <si>
    <t>LPS00353759</t>
  </si>
  <si>
    <t>LPS00353848</t>
  </si>
  <si>
    <t>LPS00353870</t>
  </si>
  <si>
    <t>LPS00353891</t>
  </si>
  <si>
    <t>LPS00354818</t>
  </si>
  <si>
    <t>LPS00197254</t>
  </si>
  <si>
    <t>LPS00267176</t>
  </si>
  <si>
    <t>LPS00273776</t>
  </si>
  <si>
    <t>LPS00281326</t>
  </si>
  <si>
    <t>LPS00331430</t>
  </si>
  <si>
    <t>LPS00342974</t>
  </si>
  <si>
    <t>LPS00345775</t>
  </si>
  <si>
    <t>LPS00345841</t>
  </si>
  <si>
    <t>LPS00349907</t>
  </si>
  <si>
    <t>LPS00350199</t>
  </si>
  <si>
    <t>LPS00350320</t>
  </si>
  <si>
    <t>LPS00354962</t>
  </si>
  <si>
    <t>LPS00143272</t>
  </si>
  <si>
    <t>LPS00145550</t>
  </si>
  <si>
    <t>LPS00160938</t>
  </si>
  <si>
    <t>LPS00188484</t>
  </si>
  <si>
    <t>LPS00193810</t>
  </si>
  <si>
    <t>LPS00252716</t>
  </si>
  <si>
    <t>LPS00255830</t>
  </si>
  <si>
    <t>LPS00267505</t>
  </si>
  <si>
    <t>LPS00276160</t>
  </si>
  <si>
    <t>LPS00346005</t>
  </si>
  <si>
    <t>LPS00346019</t>
  </si>
  <si>
    <t>LPS00346307</t>
  </si>
  <si>
    <t>LPS00347337</t>
  </si>
  <si>
    <t>LPS00347541</t>
  </si>
  <si>
    <t>LPS00349491</t>
  </si>
  <si>
    <t>LPS00352909</t>
  </si>
  <si>
    <t>LPS00353029</t>
  </si>
  <si>
    <t>LPS00353036</t>
  </si>
  <si>
    <t>LPS00353074</t>
  </si>
  <si>
    <t>LPS00188487</t>
  </si>
  <si>
    <t>LPS00195560</t>
  </si>
  <si>
    <t>LPS00196386</t>
  </si>
  <si>
    <t>LPS00196977</t>
  </si>
  <si>
    <t>LPS00198771</t>
  </si>
  <si>
    <t>LPS00252258</t>
  </si>
  <si>
    <t>LPS00301760</t>
  </si>
  <si>
    <t>LPS00311179</t>
  </si>
  <si>
    <t>LPS00322741</t>
  </si>
  <si>
    <t>LPS00336683</t>
  </si>
  <si>
    <t>LPS00345480</t>
  </si>
  <si>
    <t>LPS00348694</t>
  </si>
  <si>
    <t>LPS00348840</t>
  </si>
  <si>
    <t>LPS00352784</t>
  </si>
  <si>
    <t>LPS00353347</t>
  </si>
  <si>
    <t>LPS00353679</t>
  </si>
  <si>
    <t>LPS00176599</t>
  </si>
  <si>
    <t>LPS00185723</t>
  </si>
  <si>
    <t>LPS00195562</t>
  </si>
  <si>
    <t>LPS00195802</t>
  </si>
  <si>
    <t>LPS00195804</t>
  </si>
  <si>
    <t>LPS00287953</t>
  </si>
  <si>
    <t>LPS00300204</t>
  </si>
  <si>
    <t>LPS00353526</t>
  </si>
  <si>
    <t>LPS00353530</t>
  </si>
  <si>
    <t>LPS00353531</t>
  </si>
  <si>
    <t>LPS00353554</t>
  </si>
  <si>
    <t>LPS00353601</t>
  </si>
  <si>
    <t>LPS00336914</t>
  </si>
  <si>
    <t>079746</t>
  </si>
  <si>
    <t>LPS00167015</t>
  </si>
  <si>
    <t>LPS00195949</t>
  </si>
  <si>
    <t>LPS00198099</t>
  </si>
  <si>
    <t>LPS00268893</t>
  </si>
  <si>
    <t>LPS00302016</t>
  </si>
  <si>
    <t>LPS00302066</t>
  </si>
  <si>
    <t>LPS00332235</t>
  </si>
  <si>
    <t>LPS00336561</t>
  </si>
  <si>
    <t>LPS00342650</t>
  </si>
  <si>
    <t>LPS00345916</t>
  </si>
  <si>
    <t>LPS00346391</t>
  </si>
  <si>
    <t>LPS00348013</t>
  </si>
  <si>
    <t>LPS00348056</t>
  </si>
  <si>
    <t>LPS00352364</t>
  </si>
  <si>
    <t>LPS00352497</t>
  </si>
  <si>
    <t>LPS00352816</t>
  </si>
  <si>
    <t>LPS00352926</t>
  </si>
  <si>
    <t>LPS00353003</t>
  </si>
  <si>
    <t>LPS00353281</t>
  </si>
  <si>
    <t>LPS00353283</t>
  </si>
  <si>
    <t>LPS00353295</t>
  </si>
  <si>
    <t>LPS00353298</t>
  </si>
  <si>
    <t>LPS00353350</t>
  </si>
  <si>
    <t>LPS00353355</t>
  </si>
  <si>
    <t>LPS00353362</t>
  </si>
  <si>
    <t>LPS00353397</t>
  </si>
  <si>
    <t>LPS00353398</t>
  </si>
  <si>
    <t>LPS00353401</t>
  </si>
  <si>
    <t>LPS00353677</t>
  </si>
  <si>
    <t>LPS00353819</t>
  </si>
  <si>
    <t>LPS00354086</t>
  </si>
  <si>
    <t>LPS00354123</t>
  </si>
  <si>
    <t>LPS00354670</t>
  </si>
  <si>
    <t>LPS00350878</t>
  </si>
  <si>
    <t>LPS00354311</t>
  </si>
  <si>
    <t>LPS00354570</t>
  </si>
  <si>
    <t>LPS00182530</t>
  </si>
  <si>
    <t>LPS00193723</t>
  </si>
  <si>
    <t>LPS00252151</t>
  </si>
  <si>
    <t>LPS00253115</t>
  </si>
  <si>
    <t>LPS00257734</t>
  </si>
  <si>
    <t>LPS00266670</t>
  </si>
  <si>
    <t>LPS00309688</t>
  </si>
  <si>
    <t>LPS00323640</t>
  </si>
  <si>
    <t>LPS00337047</t>
  </si>
  <si>
    <t>LPS00343116</t>
  </si>
  <si>
    <t>LPS00343240</t>
  </si>
  <si>
    <t>LPS00345429</t>
  </si>
  <si>
    <t>LPS00345748</t>
  </si>
  <si>
    <t>LPS00346062</t>
  </si>
  <si>
    <t>LPS00352535</t>
  </si>
  <si>
    <t>LPS00353293</t>
  </si>
  <si>
    <t>LPS00353300</t>
  </si>
  <si>
    <t>LPS00353301</t>
  </si>
  <si>
    <t>LPS00353342</t>
  </si>
  <si>
    <t>LPS00353399</t>
  </si>
  <si>
    <t>LPS00353529</t>
  </si>
  <si>
    <t>LPS00353537</t>
  </si>
  <si>
    <t>LPS00353602</t>
  </si>
  <si>
    <t>LPS00353630</t>
  </si>
  <si>
    <t>LPS00353648</t>
  </si>
  <si>
    <t>LPS00353826</t>
  </si>
  <si>
    <t>LPS00353947</t>
  </si>
  <si>
    <t>LPS00175092</t>
  </si>
  <si>
    <t>LPS00192634</t>
  </si>
  <si>
    <t>LPS00193716</t>
  </si>
  <si>
    <t>LPS00306277</t>
  </si>
  <si>
    <t>LPS00331336</t>
  </si>
  <si>
    <t>LPS00334074</t>
  </si>
  <si>
    <t>LPS00336699</t>
  </si>
  <si>
    <t>LPS00342777</t>
  </si>
  <si>
    <t>LPS00345781</t>
  </si>
  <si>
    <t>LPS00347522</t>
  </si>
  <si>
    <t>LPS00347575</t>
  </si>
  <si>
    <t>LPS00350237</t>
  </si>
  <si>
    <t>LPS00352857</t>
  </si>
  <si>
    <t>LPS00352868</t>
  </si>
  <si>
    <t>LPS00353083</t>
  </si>
  <si>
    <t>LPS00353085</t>
  </si>
  <si>
    <t>LPS00353475</t>
  </si>
  <si>
    <t>LPS00353592</t>
  </si>
  <si>
    <t>LPS00353593</t>
  </si>
  <si>
    <t>LPS00353664</t>
  </si>
  <si>
    <t>LPS00165014</t>
  </si>
  <si>
    <t>LPS00193172</t>
  </si>
  <si>
    <t>LPS00200037</t>
  </si>
  <si>
    <t>LPS00257641</t>
  </si>
  <si>
    <t>LPS00258003</t>
  </si>
  <si>
    <t>LPS00258613</t>
  </si>
  <si>
    <t>LPS00258956</t>
  </si>
  <si>
    <t>LPS00265252</t>
  </si>
  <si>
    <t>LPS00268140</t>
  </si>
  <si>
    <t>LPS00311129</t>
  </si>
  <si>
    <t>LPS00321640</t>
  </si>
  <si>
    <t>LPS00329596</t>
  </si>
  <si>
    <t>LPS00330199</t>
  </si>
  <si>
    <t>LPS00336252</t>
  </si>
  <si>
    <t>LPS00336885</t>
  </si>
  <si>
    <t>LPS00336948</t>
  </si>
  <si>
    <t>LPS00337016</t>
  </si>
  <si>
    <t>LPS00337720</t>
  </si>
  <si>
    <t>LPS00338075</t>
  </si>
  <si>
    <t>LPS00342220</t>
  </si>
  <si>
    <t>LPS00343996</t>
  </si>
  <si>
    <t>LPS00344672</t>
  </si>
  <si>
    <t>LPS00346281</t>
  </si>
  <si>
    <t>LPS00346433</t>
  </si>
  <si>
    <t>LPS00346449</t>
  </si>
  <si>
    <t>LPS00346656</t>
  </si>
  <si>
    <t>LPS00346702</t>
  </si>
  <si>
    <t>LPS00353795</t>
  </si>
  <si>
    <t>LPS00160939</t>
  </si>
  <si>
    <t>LPS00265400</t>
  </si>
  <si>
    <t>LPS00265404</t>
  </si>
  <si>
    <t>LPS00301763</t>
  </si>
  <si>
    <t>LPS00301787</t>
  </si>
  <si>
    <t>LPS00311048</t>
  </si>
  <si>
    <t>LPS00311089</t>
  </si>
  <si>
    <t>LPS00311113</t>
  </si>
  <si>
    <t>LPS00311344</t>
  </si>
  <si>
    <t>LPS00315440</t>
  </si>
  <si>
    <t>LPS00329756</t>
  </si>
  <si>
    <t>LPS00331297</t>
  </si>
  <si>
    <t>LPS00334104</t>
  </si>
  <si>
    <t>LPS00334251</t>
  </si>
  <si>
    <t>LPS00338625</t>
  </si>
  <si>
    <t>LPS00342939</t>
  </si>
  <si>
    <t>LPS00343846</t>
  </si>
  <si>
    <t>LPS00345551</t>
  </si>
  <si>
    <t>LPS00346056</t>
  </si>
  <si>
    <t>LPS00346406</t>
  </si>
  <si>
    <t>LPS00346461</t>
  </si>
  <si>
    <t>LPS00348425</t>
  </si>
  <si>
    <t>LPS00349005</t>
  </si>
  <si>
    <t>LPS00349114</t>
  </si>
  <si>
    <t>LPS00351058</t>
  </si>
  <si>
    <t>LPS00353662</t>
  </si>
  <si>
    <t>LPS00255783</t>
  </si>
  <si>
    <t>LPS00256831</t>
  </si>
  <si>
    <t>LPS00258612</t>
  </si>
  <si>
    <t>LPS00258615</t>
  </si>
  <si>
    <t>LPS00264576</t>
  </si>
  <si>
    <t>LPS00274324</t>
  </si>
  <si>
    <t>LPS00280786</t>
  </si>
  <si>
    <t>LPS00310912</t>
  </si>
  <si>
    <t>LPS00311289</t>
  </si>
  <si>
    <t>LPS00311384</t>
  </si>
  <si>
    <t>LPS00315864</t>
  </si>
  <si>
    <t>LPS00322603</t>
  </si>
  <si>
    <t>LPS00329657</t>
  </si>
  <si>
    <t>LPS00334730</t>
  </si>
  <si>
    <t>LPS00335205</t>
  </si>
  <si>
    <t>LPS00344304</t>
  </si>
  <si>
    <t>LPS00344671</t>
  </si>
  <si>
    <t>LPS00345226</t>
  </si>
  <si>
    <t>LPS00346610</t>
  </si>
  <si>
    <t>LPS00346620</t>
  </si>
  <si>
    <t>LPS00346873</t>
  </si>
  <si>
    <t>LPS00347729</t>
  </si>
  <si>
    <t>LPS00347737</t>
  </si>
  <si>
    <t>LPS00352821</t>
  </si>
  <si>
    <t>LPS00352882</t>
  </si>
  <si>
    <t>LPS00353106</t>
  </si>
  <si>
    <t>LPS00353117</t>
  </si>
  <si>
    <t>LPS00353294</t>
  </si>
  <si>
    <t>LPS00192815</t>
  </si>
  <si>
    <t>LPS00195947</t>
  </si>
  <si>
    <t>LPS00252813</t>
  </si>
  <si>
    <t>LPS00268892</t>
  </si>
  <si>
    <t>LPS00311118</t>
  </si>
  <si>
    <t>LPS00321826</t>
  </si>
  <si>
    <t>LPS00322425</t>
  </si>
  <si>
    <t>LPS00327060</t>
  </si>
  <si>
    <t>LPS00327975</t>
  </si>
  <si>
    <t>LPS00336856</t>
  </si>
  <si>
    <t>LPS00336981</t>
  </si>
  <si>
    <t>LPS00342894</t>
  </si>
  <si>
    <t>LPS00345117</t>
  </si>
  <si>
    <t>LPS00345733</t>
  </si>
  <si>
    <t>LPS00345751</t>
  </si>
  <si>
    <t>LPS00346268</t>
  </si>
  <si>
    <t>LPS00346655</t>
  </si>
  <si>
    <t>LPS00350154</t>
  </si>
  <si>
    <t>LPS00353454</t>
  </si>
  <si>
    <t>LPS00353027</t>
  </si>
  <si>
    <t>LPS00344123</t>
  </si>
  <si>
    <t>LPS00349780</t>
  </si>
  <si>
    <t>LPS00266063</t>
  </si>
  <si>
    <t>LPS00274323</t>
  </si>
  <si>
    <t>LPS00324230</t>
  </si>
  <si>
    <t>LPS00333770</t>
  </si>
  <si>
    <t>LPS00333994</t>
  </si>
  <si>
    <t>LPS00334799</t>
  </si>
  <si>
    <t>LPS00334915</t>
  </si>
  <si>
    <t>LPS00334925</t>
  </si>
  <si>
    <t>LPS00335274</t>
  </si>
  <si>
    <t>LPS00338601</t>
  </si>
  <si>
    <t>LPS00338627</t>
  </si>
  <si>
    <t>LPS00338636</t>
  </si>
  <si>
    <t>LPS00338692</t>
  </si>
  <si>
    <t>LPS00342182</t>
  </si>
  <si>
    <t>LPS00344747</t>
  </si>
  <si>
    <t>LPS00345478</t>
  </si>
  <si>
    <t>LPS00345527</t>
  </si>
  <si>
    <t>LPS00345549</t>
  </si>
  <si>
    <t>LPS00346466</t>
  </si>
  <si>
    <t>LPS00182488</t>
  </si>
  <si>
    <t>LPS00314374</t>
  </si>
  <si>
    <t>LPS00315343</t>
  </si>
  <si>
    <t>LPS00339843</t>
  </si>
  <si>
    <t>LPS00345787</t>
  </si>
  <si>
    <t>LPS00346282</t>
  </si>
  <si>
    <t>LPS00347513</t>
  </si>
  <si>
    <t>LPS00349877</t>
  </si>
  <si>
    <t>LPS00351106</t>
  </si>
  <si>
    <t>LPS00352356</t>
  </si>
  <si>
    <t>LPS00353345</t>
  </si>
  <si>
    <t>LPS00353572</t>
  </si>
  <si>
    <t>LPS00353788</t>
  </si>
  <si>
    <t>LPS00354450</t>
  </si>
  <si>
    <t>LPS00330563</t>
  </si>
  <si>
    <t>LPS00319450</t>
  </si>
  <si>
    <t>LPS00345960</t>
  </si>
  <si>
    <t>LPS00193368</t>
  </si>
  <si>
    <t>LPS00160863</t>
  </si>
  <si>
    <t>LPS00196128</t>
  </si>
  <si>
    <t>LPS00253769</t>
  </si>
  <si>
    <t>LPS00285429</t>
  </si>
  <si>
    <t>LPS00287971</t>
  </si>
  <si>
    <t>LPS00311362</t>
  </si>
  <si>
    <t>LPS00317468</t>
  </si>
  <si>
    <t>LPS00318066</t>
  </si>
  <si>
    <t>LPS00318318</t>
  </si>
  <si>
    <t>LPS00319413</t>
  </si>
  <si>
    <t>LPS00343319</t>
  </si>
  <si>
    <t>LPS00345763</t>
  </si>
  <si>
    <t>LPS00350191</t>
  </si>
  <si>
    <t>LPS00350382</t>
  </si>
  <si>
    <t>LPS00350419</t>
  </si>
  <si>
    <t>LPS00351078</t>
  </si>
  <si>
    <t>LPS00352559</t>
  </si>
  <si>
    <t>LPS00352617</t>
  </si>
  <si>
    <t>LPS00353016</t>
  </si>
  <si>
    <t>LPS00353026</t>
  </si>
  <si>
    <t>LPS00353046</t>
  </si>
  <si>
    <t>LPS00353050</t>
  </si>
  <si>
    <t>LPS00353214</t>
  </si>
  <si>
    <t>LPS00353428</t>
  </si>
  <si>
    <t>LPS00353527</t>
  </si>
  <si>
    <t>LPS00353831</t>
  </si>
  <si>
    <t>LPS00354605</t>
  </si>
  <si>
    <t>LPS00354761</t>
  </si>
  <si>
    <t>LPS00355011</t>
  </si>
  <si>
    <t>LPS00185717</t>
  </si>
  <si>
    <t>LPS00190006</t>
  </si>
  <si>
    <t>LPS00196728</t>
  </si>
  <si>
    <t>LPS00254817</t>
  </si>
  <si>
    <t>LPS00261421</t>
  </si>
  <si>
    <t>LPS00287681</t>
  </si>
  <si>
    <t>LPS00287687</t>
  </si>
  <si>
    <t>LPS00323308</t>
  </si>
  <si>
    <t>LPS00336676</t>
  </si>
  <si>
    <t>LPS00337207</t>
  </si>
  <si>
    <t>LPS00345517</t>
  </si>
  <si>
    <t>LPS00345562</t>
  </si>
  <si>
    <t>LPS00345647</t>
  </si>
  <si>
    <t>LPS00346199</t>
  </si>
  <si>
    <t>LPS00346736</t>
  </si>
  <si>
    <t>LPS00350706</t>
  </si>
  <si>
    <t>LPS00352199</t>
  </si>
  <si>
    <t>LPS00354055</t>
  </si>
  <si>
    <t>LPS00160937</t>
  </si>
  <si>
    <t>LPS00162855</t>
  </si>
  <si>
    <t>LPS00181143</t>
  </si>
  <si>
    <t>LPS00190002</t>
  </si>
  <si>
    <t>LPS00192814</t>
  </si>
  <si>
    <t>LPS00195798</t>
  </si>
  <si>
    <t>LPS00195800</t>
  </si>
  <si>
    <t>LPS00251938</t>
  </si>
  <si>
    <t>LPS00255835</t>
  </si>
  <si>
    <t>LPS00319214</t>
  </si>
  <si>
    <t>LPS00346150</t>
  </si>
  <si>
    <t>LPS00346285</t>
  </si>
  <si>
    <t>LPS00346288</t>
  </si>
  <si>
    <t>LPS00346629</t>
  </si>
  <si>
    <t>LPS00346778</t>
  </si>
  <si>
    <t>LPS00261901</t>
  </si>
  <si>
    <t>LPS00346075</t>
  </si>
  <si>
    <t>LPS00348116</t>
  </si>
  <si>
    <t>LPS00145552</t>
  </si>
  <si>
    <t>LPS00345771</t>
  </si>
  <si>
    <t>LPS00343368</t>
  </si>
  <si>
    <t>LPS00350519</t>
  </si>
  <si>
    <t>LPS00353948</t>
  </si>
  <si>
    <t>LPS00354119</t>
  </si>
  <si>
    <t>LPS00168474</t>
  </si>
  <si>
    <t>LPS00354202</t>
  </si>
  <si>
    <t>LPS00143229</t>
  </si>
  <si>
    <t>LPS00195420</t>
  </si>
  <si>
    <t>LPS00145581</t>
  </si>
  <si>
    <t>LPS00143275</t>
  </si>
  <si>
    <t>LPS00254813</t>
  </si>
  <si>
    <t>LPS00286168</t>
  </si>
  <si>
    <t>LPS00143300</t>
  </si>
  <si>
    <t>LPS00143214</t>
  </si>
  <si>
    <t>LPS00167589</t>
  </si>
  <si>
    <t>LPS00352935</t>
  </si>
  <si>
    <t>LPS00352963</t>
  </si>
  <si>
    <t>LPS00163787</t>
  </si>
  <si>
    <t>LPS00170850</t>
  </si>
  <si>
    <t>LPS00183339</t>
  </si>
  <si>
    <t>LPS00192146</t>
  </si>
  <si>
    <t>LPS00192775</t>
  </si>
  <si>
    <t>LPS00252137</t>
  </si>
  <si>
    <t>LPS00252694</t>
  </si>
  <si>
    <t>LPS00329180</t>
  </si>
  <si>
    <t>LPS00336707</t>
  </si>
  <si>
    <t>LPS00336929</t>
  </si>
  <si>
    <t>LPS00345943</t>
  </si>
  <si>
    <t>LPS00352764</t>
  </si>
  <si>
    <t>LPS00352824</t>
  </si>
  <si>
    <t>LPS00352859</t>
  </si>
  <si>
    <t>LPS00353555</t>
  </si>
  <si>
    <t>LPS00354315</t>
  </si>
  <si>
    <t>LPS00143288</t>
  </si>
  <si>
    <t>LPS00162931</t>
  </si>
  <si>
    <t>LPS00170836</t>
  </si>
  <si>
    <t>LPS00170859</t>
  </si>
  <si>
    <t>LPS00254000</t>
  </si>
  <si>
    <t>LPS00272941</t>
  </si>
  <si>
    <t>LPS00287908</t>
  </si>
  <si>
    <t>LPS00302147</t>
  </si>
  <si>
    <t>LPS00302202</t>
  </si>
  <si>
    <t>LPS00337226</t>
  </si>
  <si>
    <t>LPS00338370</t>
  </si>
  <si>
    <t>LPS00345744</t>
  </si>
  <si>
    <t>LPS00345783</t>
  </si>
  <si>
    <t>LPS00348316</t>
  </si>
  <si>
    <t>LPS00350062</t>
  </si>
  <si>
    <t>LPS00350386</t>
  </si>
  <si>
    <t>LPS00351159</t>
  </si>
  <si>
    <t>LPS00351175</t>
  </si>
  <si>
    <t>LPS00351178</t>
  </si>
  <si>
    <t>LPS00352164</t>
  </si>
  <si>
    <t>LPS00352300</t>
  </si>
  <si>
    <t>LPS00352532</t>
  </si>
  <si>
    <t>LPS00352574</t>
  </si>
  <si>
    <t>LPS00352591</t>
  </si>
  <si>
    <t>LPS00353115</t>
  </si>
  <si>
    <t>LPS00353192</t>
  </si>
  <si>
    <t>LPS00353279</t>
  </si>
  <si>
    <t>LPS00353304</t>
  </si>
  <si>
    <t>LPS00353556</t>
  </si>
  <si>
    <t>LPS00353557</t>
  </si>
  <si>
    <t>LPS00353558</t>
  </si>
  <si>
    <t>LPS00353559</t>
  </si>
  <si>
    <t>LPS00353663</t>
  </si>
  <si>
    <t>LPS00353990</t>
  </si>
  <si>
    <t>LPS00354184</t>
  </si>
  <si>
    <t>LPS00354711</t>
  </si>
  <si>
    <t>LPS00354310</t>
  </si>
  <si>
    <t>LPS00354484</t>
  </si>
  <si>
    <t>LPS00347637</t>
  </si>
  <si>
    <t>LPS00347226</t>
  </si>
  <si>
    <t>LPS00347494</t>
  </si>
  <si>
    <t>LPS00163879</t>
  </si>
  <si>
    <t>LPS00195030</t>
  </si>
  <si>
    <t>LPS00263395</t>
  </si>
  <si>
    <t>LPS00336886</t>
  </si>
  <si>
    <t>LPS00346773</t>
  </si>
  <si>
    <t>LPS00349868</t>
  </si>
  <si>
    <t>LPS00349897</t>
  </si>
  <si>
    <t>LPS00350097</t>
  </si>
  <si>
    <t>LPS00350208</t>
  </si>
  <si>
    <t>LPS00350359</t>
  </si>
  <si>
    <t>LPS00350379</t>
  </si>
  <si>
    <t>LPS00352770</t>
  </si>
  <si>
    <t>LPS00354908</t>
  </si>
  <si>
    <t>LPS00354909</t>
  </si>
  <si>
    <t>LPS00354910</t>
  </si>
  <si>
    <t>LPS00182536</t>
  </si>
  <si>
    <t>LPS00145582</t>
  </si>
  <si>
    <t>LPS00159174</t>
  </si>
  <si>
    <t>LPS00256837</t>
  </si>
  <si>
    <t>LPS00285454</t>
  </si>
  <si>
    <t>LPS00321620</t>
  </si>
  <si>
    <t>LPS00335450</t>
  </si>
  <si>
    <t>LPS00345860</t>
  </si>
  <si>
    <t>LPS00351033</t>
  </si>
  <si>
    <t>LPS00351125</t>
  </si>
  <si>
    <t>LPS00351203</t>
  </si>
  <si>
    <t>LPS00352132</t>
  </si>
  <si>
    <t>LPS00352169</t>
  </si>
  <si>
    <t>LPS00352477</t>
  </si>
  <si>
    <t>LPS00352493</t>
  </si>
  <si>
    <t>LPS00352534</t>
  </si>
  <si>
    <t>LPS00352573</t>
  </si>
  <si>
    <t>LPS00352766</t>
  </si>
  <si>
    <t>LPS00352768</t>
  </si>
  <si>
    <t>LPS00353190</t>
  </si>
  <si>
    <t>LPS00353274</t>
  </si>
  <si>
    <t>LPS00168893</t>
  </si>
  <si>
    <t>LPS00170885</t>
  </si>
  <si>
    <t>LPS00250920</t>
  </si>
  <si>
    <t>LPS00287954</t>
  </si>
  <si>
    <t>LPS00310235</t>
  </si>
  <si>
    <t>LPS00334010</t>
  </si>
  <si>
    <t>LPS00345790</t>
  </si>
  <si>
    <t>LPS00346141</t>
  </si>
  <si>
    <t>LPS00348028</t>
  </si>
  <si>
    <t>LPS00349489</t>
  </si>
  <si>
    <t>LPS00350026</t>
  </si>
  <si>
    <t>LPS00350160</t>
  </si>
  <si>
    <t>LPS00350421</t>
  </si>
  <si>
    <t>LPS00350497</t>
  </si>
  <si>
    <t>LPS00350525</t>
  </si>
  <si>
    <t>LPS00350549</t>
  </si>
  <si>
    <t>LPS00351201</t>
  </si>
  <si>
    <t>LPS00351261</t>
  </si>
  <si>
    <t>LPS00352509</t>
  </si>
  <si>
    <t>LPS00353022</t>
  </si>
  <si>
    <t>LPS00353153</t>
  </si>
  <si>
    <t>LPS00353154</t>
  </si>
  <si>
    <t>LPS00353203</t>
  </si>
  <si>
    <t>LPS00353814</t>
  </si>
  <si>
    <t>LPS00354804</t>
  </si>
  <si>
    <t>LPS00354892</t>
  </si>
  <si>
    <t>LPS00354912</t>
  </si>
  <si>
    <t>LPS00354922</t>
  </si>
  <si>
    <t>LPS00354963</t>
  </si>
  <si>
    <t>LPS00346455</t>
  </si>
  <si>
    <t>LPS00345819</t>
  </si>
  <si>
    <t>LPS00145570</t>
  </si>
  <si>
    <t>LPS00263279</t>
  </si>
  <si>
    <t>LPS00321437</t>
  </si>
  <si>
    <t>LPS00307263</t>
  </si>
  <si>
    <t>LPS00350938</t>
  </si>
  <si>
    <t>LPS00301793</t>
  </si>
  <si>
    <t>LPS00161986</t>
  </si>
  <si>
    <t>LPS00165252</t>
  </si>
  <si>
    <t>LPS00198624</t>
  </si>
  <si>
    <t>LPS00252614</t>
  </si>
  <si>
    <t>LPS00322761</t>
  </si>
  <si>
    <t>LPS00332424</t>
  </si>
  <si>
    <t>LPS00332866</t>
  </si>
  <si>
    <t>LPS00333204</t>
  </si>
  <si>
    <t>LPS00345589</t>
  </si>
  <si>
    <t>LPS00345676</t>
  </si>
  <si>
    <t>LPS00345727</t>
  </si>
  <si>
    <t>LPS00346619</t>
  </si>
  <si>
    <t>LPS00348662</t>
  </si>
  <si>
    <t>LPS00350671</t>
  </si>
  <si>
    <t>LPS00351212</t>
  </si>
  <si>
    <t>LPS00352808</t>
  </si>
  <si>
    <t>LPS00352896</t>
  </si>
  <si>
    <t>LPS00353125</t>
  </si>
  <si>
    <t>LPS00353184</t>
  </si>
  <si>
    <t>LPS00353206</t>
  </si>
  <si>
    <t>LPS00353276</t>
  </si>
  <si>
    <t>LPS00353560</t>
  </si>
  <si>
    <t>LPS00353563</t>
  </si>
  <si>
    <t>LPS00353656</t>
  </si>
  <si>
    <t>LPS00353667</t>
  </si>
  <si>
    <t>LPS00353761</t>
  </si>
  <si>
    <t>LPS00353941</t>
  </si>
  <si>
    <t>LPS00354498</t>
  </si>
  <si>
    <t>LPS00354513</t>
  </si>
  <si>
    <t>LPS00252590</t>
  </si>
  <si>
    <t>LPS00159991</t>
  </si>
  <si>
    <t>079526</t>
  </si>
  <si>
    <t>LPS00184448</t>
  </si>
  <si>
    <t>LPS00199812</t>
  </si>
  <si>
    <t>LPS00322004</t>
  </si>
  <si>
    <t>LPS00323577</t>
  </si>
  <si>
    <t>LPS00325728</t>
  </si>
  <si>
    <t>LPS00327843</t>
  </si>
  <si>
    <t>LPS00331899</t>
  </si>
  <si>
    <t>LPS00332788</t>
  </si>
  <si>
    <t>LPS00345774</t>
  </si>
  <si>
    <t>LPS00345874</t>
  </si>
  <si>
    <t>LPS00345919</t>
  </si>
  <si>
    <t>LPS00346846</t>
  </si>
  <si>
    <t>LPS00346996</t>
  </si>
  <si>
    <t>LPS00289712</t>
  </si>
  <si>
    <t>LPS00333944</t>
  </si>
  <si>
    <t>LPS00334032</t>
  </si>
  <si>
    <t>LPS00334784</t>
  </si>
  <si>
    <t>LPS00343314</t>
  </si>
  <si>
    <t>LPS00349072</t>
  </si>
  <si>
    <t>LPS00349902</t>
  </si>
  <si>
    <t>LPS00350206</t>
  </si>
  <si>
    <t>LPS00352835</t>
  </si>
  <si>
    <t>LPS00352942</t>
  </si>
  <si>
    <t>LPS00352974</t>
  </si>
  <si>
    <t>LPS00353149</t>
  </si>
  <si>
    <t>LPS00353169</t>
  </si>
  <si>
    <t>LPS00353182</t>
  </si>
  <si>
    <t>LPS00353271</t>
  </si>
  <si>
    <t>LPS00354228</t>
  </si>
  <si>
    <t>LPS00354506</t>
  </si>
  <si>
    <t>LPS00337130</t>
  </si>
  <si>
    <t>LPS00346197</t>
  </si>
  <si>
    <t>LPS00354209</t>
  </si>
  <si>
    <t>LPS00195075</t>
  </si>
  <si>
    <t>LPS00196322</t>
  </si>
  <si>
    <t>LPS00333164</t>
  </si>
  <si>
    <t>LPS00349603</t>
  </si>
  <si>
    <t>LPS00352903</t>
  </si>
  <si>
    <t>LPS00352957</t>
  </si>
  <si>
    <t>LPS00353146</t>
  </si>
  <si>
    <t>LPS00353147</t>
  </si>
  <si>
    <t>LPS00353233</t>
  </si>
  <si>
    <t>LPS00353278</t>
  </si>
  <si>
    <t>LPS00353576</t>
  </si>
  <si>
    <t>LPS00353580</t>
  </si>
  <si>
    <t>LPS00353589</t>
  </si>
  <si>
    <t>LPS00354358</t>
  </si>
  <si>
    <t>LPS00355016</t>
  </si>
  <si>
    <t>LPS00352377</t>
  </si>
  <si>
    <t>LPS00287688</t>
  </si>
  <si>
    <t>LPS00333225</t>
  </si>
  <si>
    <t>LPS00336662</t>
  </si>
  <si>
    <t>LPS00353518</t>
  </si>
  <si>
    <t>LPS00353614</t>
  </si>
  <si>
    <t>LPS00147792</t>
  </si>
  <si>
    <t>LPS00347323</t>
  </si>
  <si>
    <t>LPS00344589</t>
  </si>
  <si>
    <t>LPS00353573</t>
  </si>
  <si>
    <t>LPS00143268</t>
  </si>
  <si>
    <t>LPS00145572</t>
  </si>
  <si>
    <t>LPS00145591</t>
  </si>
  <si>
    <t>LPS00173071</t>
  </si>
  <si>
    <t>LPS00257711</t>
  </si>
  <si>
    <t>LPS00267513</t>
  </si>
  <si>
    <t>LPS00317774</t>
  </si>
  <si>
    <t>LPS00329236</t>
  </si>
  <si>
    <t>LPS00340014</t>
  </si>
  <si>
    <t>LPS00343878</t>
  </si>
  <si>
    <t>LPS00343965</t>
  </si>
  <si>
    <t>LPS00344011</t>
  </si>
  <si>
    <t>LPS00344355</t>
  </si>
  <si>
    <t>LPS00344371</t>
  </si>
  <si>
    <t>LPS00345479</t>
  </si>
  <si>
    <t>LPS00346247</t>
  </si>
  <si>
    <t>LPS00346710</t>
  </si>
  <si>
    <t>LPS00348646</t>
  </si>
  <si>
    <t>LPS00348650</t>
  </si>
  <si>
    <t>LPS00352810</t>
  </si>
  <si>
    <t>LPS00353217</t>
  </si>
  <si>
    <t>LPS00353232</t>
  </si>
  <si>
    <t>LPS00353234</t>
  </si>
  <si>
    <t>LPS00353236</t>
  </si>
  <si>
    <t>LPS00353273</t>
  </si>
  <si>
    <t>LPS00353277</t>
  </si>
  <si>
    <t>LPS00353388</t>
  </si>
  <si>
    <t>LPS00353553</t>
  </si>
  <si>
    <t>LPS00353562</t>
  </si>
  <si>
    <t>LPS00353579</t>
  </si>
  <si>
    <t>LPS00353609</t>
  </si>
  <si>
    <t>LPS00353797</t>
  </si>
  <si>
    <t>LPS00354198</t>
  </si>
  <si>
    <t>LPS00354329</t>
  </si>
  <si>
    <t>237240</t>
  </si>
  <si>
    <t>LPS00194865</t>
  </si>
  <si>
    <t>LPS00333941</t>
  </si>
  <si>
    <t>LPS00350953</t>
  </si>
  <si>
    <t>LPS00352827</t>
  </si>
  <si>
    <t>LPS00353200</t>
  </si>
  <si>
    <t>LPS00353235</t>
  </si>
  <si>
    <t>LPS00354836</t>
  </si>
  <si>
    <t>LPS00354935</t>
  </si>
  <si>
    <t>LPS00355045</t>
  </si>
  <si>
    <t>LPS00197257</t>
  </si>
  <si>
    <t>LPS00143237</t>
  </si>
  <si>
    <t>LPS00184449</t>
  </si>
  <si>
    <t>LPS00336899</t>
  </si>
  <si>
    <t>LPS00345489</t>
  </si>
  <si>
    <t>LPS00352165</t>
  </si>
  <si>
    <t>LPS00353911</t>
  </si>
  <si>
    <t>LPS00145594</t>
  </si>
  <si>
    <t>LPS00251988</t>
  </si>
  <si>
    <t>LPS00344323</t>
  </si>
  <si>
    <t>LPS00345481</t>
  </si>
  <si>
    <t>LPS00345659</t>
  </si>
  <si>
    <t>LPS00346276</t>
  </si>
  <si>
    <t>LPS00348667</t>
  </si>
  <si>
    <t>LPS00351131</t>
  </si>
  <si>
    <t>LPS00352891</t>
  </si>
  <si>
    <t>LPS00162550</t>
  </si>
  <si>
    <t>LPS00183332</t>
  </si>
  <si>
    <t>LPS00193486</t>
  </si>
  <si>
    <t>LPS00284811</t>
  </si>
  <si>
    <t>LPS00343317</t>
  </si>
  <si>
    <t>LPS00345883</t>
  </si>
  <si>
    <t>LPS00350372</t>
  </si>
  <si>
    <t>LPS00350472</t>
  </si>
  <si>
    <t>LPS00350612</t>
  </si>
  <si>
    <t>LPS00353339</t>
  </si>
  <si>
    <t>LPS00353818</t>
  </si>
  <si>
    <t>LPS00354316</t>
  </si>
  <si>
    <t>LPS00354410</t>
  </si>
  <si>
    <t>LPS00354474</t>
  </si>
  <si>
    <t>LPS00354511</t>
  </si>
  <si>
    <t>LPS00269603</t>
  </si>
  <si>
    <t>LPS00196317</t>
  </si>
  <si>
    <t>LPS00318415</t>
  </si>
  <si>
    <t>LPS00347743</t>
  </si>
  <si>
    <t>LPS00349350</t>
  </si>
  <si>
    <t>LPS00354431</t>
  </si>
  <si>
    <t>LPS00262049</t>
  </si>
  <si>
    <t>LPS00354965</t>
  </si>
  <si>
    <t>LPS00354534</t>
  </si>
  <si>
    <t>LPS00188835</t>
  </si>
  <si>
    <t>LPS00349604</t>
  </si>
  <si>
    <t>LPS00355024</t>
  </si>
  <si>
    <t>LPS00355025</t>
  </si>
  <si>
    <t>LPS00355026</t>
  </si>
  <si>
    <t>LPS00283988</t>
  </si>
  <si>
    <t>LPS00310554</t>
  </si>
  <si>
    <t>LPS00344158</t>
  </si>
  <si>
    <t>LPS00345487</t>
  </si>
  <si>
    <t>LPS00345519</t>
  </si>
  <si>
    <t>LPS00345739</t>
  </si>
  <si>
    <t>LPS00345786</t>
  </si>
  <si>
    <t>LPS00345795</t>
  </si>
  <si>
    <t>LPS00345876</t>
  </si>
  <si>
    <t>LPS00345884</t>
  </si>
  <si>
    <t>LPS00348645</t>
  </si>
  <si>
    <t>LPS00349952</t>
  </si>
  <si>
    <t>LPS00350072</t>
  </si>
  <si>
    <t>LPS00350215</t>
  </si>
  <si>
    <t>LPS00352156</t>
  </si>
  <si>
    <t>LPS00352597</t>
  </si>
  <si>
    <t>LPS00352861</t>
  </si>
  <si>
    <t>LPS00352883</t>
  </si>
  <si>
    <t>LPS00352906</t>
  </si>
  <si>
    <t>LPS00353023</t>
  </si>
  <si>
    <t>LPS00354206</t>
  </si>
  <si>
    <t>LPS00354213</t>
  </si>
  <si>
    <t>LPS00354232</t>
  </si>
  <si>
    <t>LPS00354287</t>
  </si>
  <si>
    <t>LPS00354425</t>
  </si>
  <si>
    <t>LPS00354574</t>
  </si>
  <si>
    <t>LPS00354581</t>
  </si>
  <si>
    <t>LPS00354582</t>
  </si>
  <si>
    <t>LPS00354604</t>
  </si>
  <si>
    <t>LPS00354615</t>
  </si>
  <si>
    <t>LPS00354658</t>
  </si>
  <si>
    <t>LPS00354731</t>
  </si>
  <si>
    <t>LPS00197256</t>
  </si>
  <si>
    <t>072302</t>
  </si>
  <si>
    <t>LPS00310203</t>
  </si>
  <si>
    <t>LPS00334261</t>
  </si>
  <si>
    <t>LPS00338778</t>
  </si>
  <si>
    <t>LPS00345423</t>
  </si>
  <si>
    <t>LPS00345475</t>
  </si>
  <si>
    <t>LPS00345541</t>
  </si>
  <si>
    <t>LPS00345561</t>
  </si>
  <si>
    <t>LPS00345642</t>
  </si>
  <si>
    <t>LPS00345661</t>
  </si>
  <si>
    <t>LPS00345684</t>
  </si>
  <si>
    <t>LPS00346607</t>
  </si>
  <si>
    <t>LPS00346681</t>
  </si>
  <si>
    <t>LPS00347508</t>
  </si>
  <si>
    <t>LPS00347724</t>
  </si>
  <si>
    <t>LPS00347951</t>
  </si>
  <si>
    <t>LPS00348266</t>
  </si>
  <si>
    <t>LPS00349356</t>
  </si>
  <si>
    <t>LPS00349624</t>
  </si>
  <si>
    <t>LPS00349997</t>
  </si>
  <si>
    <t>LPS00352229</t>
  </si>
  <si>
    <t>LPS00352358</t>
  </si>
  <si>
    <t>LPS00352884</t>
  </si>
  <si>
    <t>LPS00352885</t>
  </si>
  <si>
    <t>LPS00352888</t>
  </si>
  <si>
    <t>LPS00352897</t>
  </si>
  <si>
    <t>LPS00352901</t>
  </si>
  <si>
    <t>LPS00352933</t>
  </si>
  <si>
    <t>LPS00352941</t>
  </si>
  <si>
    <t>LPS00352946</t>
  </si>
  <si>
    <t>LPS00352950</t>
  </si>
  <si>
    <t>LPS00352962</t>
  </si>
  <si>
    <t>LPS00353820</t>
  </si>
  <si>
    <t>LPS00353840</t>
  </si>
  <si>
    <t>LPS00354237</t>
  </si>
  <si>
    <t>LPS00354275</t>
  </si>
  <si>
    <t>LPS00354347</t>
  </si>
  <si>
    <t>LPS00354923</t>
  </si>
  <si>
    <t>LPS00332191</t>
  </si>
  <si>
    <t>LPS00344854</t>
  </si>
  <si>
    <t>LPS00345666</t>
  </si>
  <si>
    <t>LPS00346015</t>
  </si>
  <si>
    <t>LPS00346139</t>
  </si>
  <si>
    <t>LPS00346228</t>
  </si>
  <si>
    <t>LPS00346883</t>
  </si>
  <si>
    <t>LPS00347962</t>
  </si>
  <si>
    <t>LPS00348798</t>
  </si>
  <si>
    <t>LPS00348913</t>
  </si>
  <si>
    <t>LPS00350353</t>
  </si>
  <si>
    <t>LPS00350368</t>
  </si>
  <si>
    <t>LPS00350425</t>
  </si>
  <si>
    <t>LPS00350428</t>
  </si>
  <si>
    <t>LPS00350446</t>
  </si>
  <si>
    <t>LPS00350461</t>
  </si>
  <si>
    <t>LPS00350483</t>
  </si>
  <si>
    <t>LPS00350484</t>
  </si>
  <si>
    <t>LPS00350490</t>
  </si>
  <si>
    <t>LPS00350535</t>
  </si>
  <si>
    <t>LPS00350901</t>
  </si>
  <si>
    <t>LPS00352862</t>
  </si>
  <si>
    <t>LPS00352910</t>
  </si>
  <si>
    <t>LPS00352936</t>
  </si>
  <si>
    <t>LPS00353072</t>
  </si>
  <si>
    <t>LPS00354068</t>
  </si>
  <si>
    <t>LPS00354399</t>
  </si>
  <si>
    <t>LPS00354655</t>
  </si>
  <si>
    <t>LPS00337157</t>
  </si>
  <si>
    <t>LPS00345814</t>
  </si>
  <si>
    <t>LPS00354809</t>
  </si>
  <si>
    <t>LPS00343366</t>
  </si>
  <si>
    <t>LPS00255794</t>
  </si>
  <si>
    <t>LPS00350898</t>
  </si>
  <si>
    <t>LPS00263872</t>
  </si>
  <si>
    <t>LPS00332133</t>
  </si>
  <si>
    <t>LPS00344512</t>
  </si>
  <si>
    <t>LPS00347496</t>
  </si>
  <si>
    <t>LPS00349357</t>
  </si>
  <si>
    <t>LPS00170838</t>
  </si>
  <si>
    <t>LPS00335035</t>
  </si>
  <si>
    <t>LPS00337255</t>
  </si>
  <si>
    <t>LPS00342893</t>
  </si>
  <si>
    <t>LPS00344817</t>
  </si>
  <si>
    <t>LPS00350073</t>
  </si>
  <si>
    <t>LPS00268574</t>
  </si>
  <si>
    <t>LPS00271824</t>
  </si>
  <si>
    <t>LPS00198880</t>
  </si>
  <si>
    <t>LPS00195653</t>
  </si>
  <si>
    <t>LPS00352317</t>
  </si>
  <si>
    <t>LPS00250287</t>
  </si>
  <si>
    <t>LPS00255404</t>
  </si>
  <si>
    <t>LPS00256173</t>
  </si>
  <si>
    <t>LPS00259455</t>
  </si>
  <si>
    <t>LPS00261009</t>
  </si>
  <si>
    <t>LPS00261827</t>
  </si>
  <si>
    <t>LPS00261830</t>
  </si>
  <si>
    <t>LPS00286231</t>
  </si>
  <si>
    <t>LPS00291113</t>
  </si>
  <si>
    <t>LPS00334762</t>
  </si>
  <si>
    <t>LPS00337295</t>
  </si>
  <si>
    <t>LPS00343402</t>
  </si>
  <si>
    <t>LPS00344926</t>
  </si>
  <si>
    <t>LPS00348692</t>
  </si>
  <si>
    <t>LPS00349158</t>
  </si>
  <si>
    <t>LPS00352999</t>
  </si>
  <si>
    <t>LPS00170862</t>
  </si>
  <si>
    <t>LPS00195426</t>
  </si>
  <si>
    <t>LPS00195527</t>
  </si>
  <si>
    <t>LPS00252966</t>
  </si>
  <si>
    <t>LPS00254131</t>
  </si>
  <si>
    <t>LPS00255202</t>
  </si>
  <si>
    <t>LPS00284722</t>
  </si>
  <si>
    <t>LPS00308096</t>
  </si>
  <si>
    <t>LPS00316123</t>
  </si>
  <si>
    <t>LPS00318311</t>
  </si>
  <si>
    <t>LPS00319106</t>
  </si>
  <si>
    <t>LPS00320209</t>
  </si>
  <si>
    <t>LPS00322998</t>
  </si>
  <si>
    <t>LPS00340405</t>
  </si>
  <si>
    <t>LPS00340634</t>
  </si>
  <si>
    <t>LPS00344283</t>
  </si>
  <si>
    <t>LPS00345371</t>
  </si>
  <si>
    <t>LPS00352787</t>
  </si>
  <si>
    <t>LPS00353506</t>
  </si>
  <si>
    <t>LPS00353516</t>
  </si>
  <si>
    <t>LPS00195428</t>
  </si>
  <si>
    <t>LPS00251330</t>
  </si>
  <si>
    <t>LPS00266669</t>
  </si>
  <si>
    <t>LPS00311226</t>
  </si>
  <si>
    <t>LPS00313977</t>
  </si>
  <si>
    <t>LPS00317315</t>
  </si>
  <si>
    <t>LPS00320351</t>
  </si>
  <si>
    <t>LPS00321288</t>
  </si>
  <si>
    <t>LPS00322259</t>
  </si>
  <si>
    <t>LPS00334619</t>
  </si>
  <si>
    <t>LPS00340623</t>
  </si>
  <si>
    <t>LPS00343589</t>
  </si>
  <si>
    <t>LPS00346204</t>
  </si>
  <si>
    <t>LPS00346320</t>
  </si>
  <si>
    <t>LPS00349759</t>
  </si>
  <si>
    <t>LPS00354466</t>
  </si>
  <si>
    <t>LPS00354643</t>
  </si>
  <si>
    <t>LPS00304550</t>
  </si>
  <si>
    <t>LPS00354249</t>
  </si>
  <si>
    <t>LPS00255832</t>
  </si>
  <si>
    <t>LPS00346549</t>
  </si>
  <si>
    <t>LPS00193206</t>
  </si>
  <si>
    <t>LPS00349334</t>
  </si>
  <si>
    <t>LPS00335386</t>
  </si>
  <si>
    <t>LPS00343593</t>
  </si>
  <si>
    <t>LPS00349108</t>
  </si>
  <si>
    <t>LPS00350346</t>
  </si>
  <si>
    <t>LPS00353652</t>
  </si>
  <si>
    <t>LPS00349469</t>
  </si>
  <si>
    <t>LPS00352309</t>
  </si>
  <si>
    <t>LPS00352606</t>
  </si>
  <si>
    <t>LPS00286261</t>
  </si>
  <si>
    <t>LPS00340166</t>
  </si>
  <si>
    <t>LPS00353507</t>
  </si>
  <si>
    <t>LPS00354385</t>
  </si>
  <si>
    <t>Meryem ABBAR</t>
  </si>
  <si>
    <t>Taha Yassine MOUNTASSIR</t>
  </si>
  <si>
    <t>Mustapha AHERFOUNE</t>
  </si>
  <si>
    <t>Ben Ammi EL ARABI</t>
  </si>
  <si>
    <t>Karim Karim SOQRATI</t>
  </si>
  <si>
    <t>Hamza BOULHEND</t>
  </si>
  <si>
    <t>Younes EL MABROUKI</t>
  </si>
  <si>
    <t>Jihad SAIF EDDIN</t>
  </si>
  <si>
    <t>Sarah FAHIM</t>
  </si>
  <si>
    <t>Abdelellah HOUMMAS</t>
  </si>
  <si>
    <t>Mohammed EL ALAMI</t>
  </si>
  <si>
    <t>Zayneb EL AAMRAOUI</t>
  </si>
  <si>
    <t>Marieme EL BEKRI</t>
  </si>
  <si>
    <t>Fatima Ezzahra BENTALBA</t>
  </si>
  <si>
    <t>Fatima-Zahra KASSIMI</t>
  </si>
  <si>
    <t>Meryem Meryem EL BOUMAHDI</t>
  </si>
  <si>
    <t>Mohammed Yacine BENNANI</t>
  </si>
  <si>
    <t>Nadia LAZAAR</t>
  </si>
  <si>
    <t>Meryem ERRAJOUANY</t>
  </si>
  <si>
    <t>Youssef ELBIED</t>
  </si>
  <si>
    <t>Rida JBILOU EL JOUMRI</t>
  </si>
  <si>
    <t>Yassine KHALDI</t>
  </si>
  <si>
    <t>Abdelaziz GUEZROU</t>
  </si>
  <si>
    <t>Imane FATEMI</t>
  </si>
  <si>
    <t>Mohamed ZELMAD</t>
  </si>
  <si>
    <t>Nawal SRIR</t>
  </si>
  <si>
    <t>Abdelmajid CHERIFI</t>
  </si>
  <si>
    <t>Mouad ELADIB</t>
  </si>
  <si>
    <t>Hajar BOUHALI</t>
  </si>
  <si>
    <t>Imad EL YAMANI</t>
  </si>
  <si>
    <t>Meryem NIFER</t>
  </si>
  <si>
    <t>Amine BENNANI</t>
  </si>
  <si>
    <t>Rabigh ZBAIRI</t>
  </si>
  <si>
    <t>Ayoub DADI</t>
  </si>
  <si>
    <t>Hanae BENSEDDIK</t>
  </si>
  <si>
    <t>Dilal Tamalout BOULHIMEZ</t>
  </si>
  <si>
    <t>Benefits Service Date:</t>
  </si>
  <si>
    <t>E452</t>
  </si>
  <si>
    <t>E453</t>
  </si>
  <si>
    <t>E454</t>
  </si>
  <si>
    <t>E455</t>
  </si>
  <si>
    <t>E456</t>
  </si>
  <si>
    <t>E457</t>
  </si>
  <si>
    <t>C610</t>
  </si>
  <si>
    <t>C614</t>
  </si>
  <si>
    <t>E458</t>
  </si>
  <si>
    <t>E459</t>
  </si>
  <si>
    <t>E460</t>
  </si>
  <si>
    <t>E461</t>
  </si>
  <si>
    <t>E462</t>
  </si>
  <si>
    <t>E463</t>
  </si>
  <si>
    <t>E464</t>
  </si>
  <si>
    <t>E465</t>
  </si>
  <si>
    <t>E451</t>
  </si>
  <si>
    <t>E466</t>
  </si>
  <si>
    <t>E467</t>
  </si>
  <si>
    <t>Work Period:          W</t>
  </si>
  <si>
    <t>001 Trainee (Stagiaire) (DIR)</t>
  </si>
  <si>
    <t>406 Manager Corporate Services (MGM)</t>
  </si>
  <si>
    <t>407 Manager Corporate Services –Expert (MGM)</t>
  </si>
  <si>
    <t>416 Director Corporate Services (MGM)</t>
  </si>
  <si>
    <t>417 Director Corporate Services – Expert (MGM)</t>
  </si>
  <si>
    <t>506 Vice President Corporate Services (MGM)</t>
  </si>
  <si>
    <t>507 Vice President Corporate Services – Expert (MGM)</t>
  </si>
  <si>
    <t>641 Assistant (ADM)</t>
  </si>
  <si>
    <t>661 Consultant (ADM)</t>
  </si>
  <si>
    <t>681 Senior Consultant (ADM)</t>
  </si>
  <si>
    <t xml:space="preserve">Titre CGI </t>
  </si>
  <si>
    <t xml:space="preserve">GL PAY TYPE </t>
  </si>
  <si>
    <t>Vice President Corporate Services</t>
  </si>
  <si>
    <t>Vice President Corporate Services – Expert</t>
  </si>
  <si>
    <t>Vice President Business Engineering</t>
  </si>
  <si>
    <t>Director Corporate Services</t>
  </si>
  <si>
    <t>Director Corporate Services – Expert</t>
  </si>
  <si>
    <t>Manager Corporate Services</t>
  </si>
  <si>
    <t>Manager Corporate Services –Expert</t>
  </si>
  <si>
    <t>Senior Consultant</t>
  </si>
  <si>
    <t>Trainee (stagiaires)</t>
  </si>
  <si>
    <t>Recruitment</t>
  </si>
  <si>
    <t>data entry</t>
  </si>
  <si>
    <t>Montant brut de l’indemnité de stage (Annuel)*</t>
  </si>
  <si>
    <t>Gross Annual Amount of Training Allowance*</t>
  </si>
  <si>
    <t>BPO expert sourcing</t>
  </si>
  <si>
    <t>Expert Communication</t>
  </si>
  <si>
    <t>Contrôleur de gestion Projet</t>
  </si>
  <si>
    <t>Consultant RH</t>
  </si>
  <si>
    <t>Manager Mobilité</t>
  </si>
  <si>
    <t>Expert Mobilité</t>
  </si>
  <si>
    <t>Administrateur réseaux sytèmes</t>
  </si>
  <si>
    <t>Coordinateur de projet</t>
  </si>
  <si>
    <t>BPO Chef de projet</t>
  </si>
  <si>
    <t>Responsable recrutement</t>
  </si>
  <si>
    <t>Chargé de recrutement BPO</t>
  </si>
  <si>
    <t>Charg. de Recrut. &amp; Intégrat.</t>
  </si>
  <si>
    <t>Manager affectation</t>
  </si>
  <si>
    <t>Manager sécurité</t>
  </si>
  <si>
    <t>Expert communication sénior</t>
  </si>
  <si>
    <t>Ing. réseaux systèmes senior</t>
  </si>
  <si>
    <t>Chargé de recrutement senior</t>
  </si>
  <si>
    <t>Charg. Recrut. &amp; Intégrat. SR</t>
  </si>
  <si>
    <t>Service provision manager</t>
  </si>
  <si>
    <t>Team Leader-BPO</t>
  </si>
  <si>
    <t>Manager communica. &amp; formation</t>
  </si>
  <si>
    <t>Vice-Président Opérations</t>
  </si>
  <si>
    <t>Vice-Président secteur</t>
  </si>
  <si>
    <r>
      <t>Informations RH</t>
    </r>
    <r>
      <rPr>
        <b/>
        <sz val="11"/>
        <color rgb="FFFFC000"/>
        <rFont val="Arial"/>
        <family val="2"/>
      </rPr>
      <t xml:space="preserve"> </t>
    </r>
    <r>
      <rPr>
        <b/>
        <sz val="11"/>
        <color rgb="FFA1C4D0"/>
        <rFont val="Arial"/>
        <family val="2"/>
      </rPr>
      <t>( A remplir par le recruteur )</t>
    </r>
  </si>
  <si>
    <r>
      <t>HR information</t>
    </r>
    <r>
      <rPr>
        <b/>
        <sz val="11"/>
        <color rgb="FFFFC000"/>
        <rFont val="Arial"/>
        <family val="2"/>
      </rPr>
      <t xml:space="preserve"> </t>
    </r>
    <r>
      <rPr>
        <b/>
        <sz val="11"/>
        <color rgb="FFA1C4D0"/>
        <rFont val="Arial"/>
        <family val="2"/>
      </rPr>
      <t>(To be filled by recruitement)</t>
    </r>
  </si>
  <si>
    <r>
      <t xml:space="preserve">Informations relatives au candidat </t>
    </r>
    <r>
      <rPr>
        <b/>
        <u/>
        <sz val="11"/>
        <color rgb="FFA1C4D0"/>
        <rFont val="Arial"/>
        <family val="2"/>
      </rPr>
      <t>(A remplir par le candidat)</t>
    </r>
  </si>
  <si>
    <r>
      <t>Employee Information</t>
    </r>
    <r>
      <rPr>
        <b/>
        <sz val="11"/>
        <color rgb="FFFFC000"/>
        <rFont val="Arial"/>
        <family val="2"/>
      </rPr>
      <t xml:space="preserve"> </t>
    </r>
    <r>
      <rPr>
        <b/>
        <u/>
        <sz val="11"/>
        <color rgb="FFA1C4D0"/>
        <rFont val="Arial"/>
        <family val="2"/>
      </rPr>
      <t>(To be filled by candidate)</t>
    </r>
  </si>
  <si>
    <r>
      <t>Informations relatives au contact</t>
    </r>
    <r>
      <rPr>
        <b/>
        <sz val="11"/>
        <color rgb="FFFFC000"/>
        <rFont val="Arial"/>
        <family val="2"/>
      </rPr>
      <t xml:space="preserve"> </t>
    </r>
    <r>
      <rPr>
        <b/>
        <u/>
        <sz val="11"/>
        <color rgb="FFA1C4D0"/>
        <rFont val="Arial"/>
        <family val="2"/>
      </rPr>
      <t>(A remplir par le candidat)</t>
    </r>
  </si>
  <si>
    <r>
      <t>Contact Information</t>
    </r>
    <r>
      <rPr>
        <b/>
        <sz val="11"/>
        <color rgb="FFFFC000"/>
        <rFont val="Arial"/>
        <family val="2"/>
      </rPr>
      <t xml:space="preserve"> </t>
    </r>
    <r>
      <rPr>
        <b/>
        <u/>
        <sz val="11"/>
        <color rgb="FFA1C4D0"/>
        <rFont val="Arial"/>
        <family val="2"/>
      </rPr>
      <t>(To be filled by candidate)</t>
    </r>
  </si>
  <si>
    <r>
      <t xml:space="preserve">Emploi précédent </t>
    </r>
    <r>
      <rPr>
        <b/>
        <u/>
        <sz val="11"/>
        <color rgb="FFA1C4D0"/>
        <rFont val="Arial"/>
        <family val="2"/>
      </rPr>
      <t>(A remplir par le candidat)</t>
    </r>
  </si>
  <si>
    <r>
      <t xml:space="preserve">Previous employment </t>
    </r>
    <r>
      <rPr>
        <b/>
        <u/>
        <sz val="11"/>
        <color rgb="FFA1C4D0"/>
        <rFont val="Arial"/>
        <family val="2"/>
      </rPr>
      <t>(To be filled by candidate)</t>
    </r>
  </si>
  <si>
    <r>
      <t>Type d'emploi (si temporaire)</t>
    </r>
    <r>
      <rPr>
        <b/>
        <u/>
        <sz val="11"/>
        <color rgb="FFFFC000"/>
        <rFont val="Arial"/>
        <family val="2"/>
      </rPr>
      <t xml:space="preserve"> </t>
    </r>
    <r>
      <rPr>
        <b/>
        <u/>
        <sz val="11"/>
        <color rgb="FFA1C4D0"/>
        <rFont val="Arial"/>
        <family val="2"/>
      </rPr>
      <t>( A remplir par les RH )</t>
    </r>
  </si>
  <si>
    <r>
      <t xml:space="preserve">Employment Type (If not Permanent) </t>
    </r>
    <r>
      <rPr>
        <b/>
        <u/>
        <sz val="11"/>
        <color rgb="FFA1C4D0"/>
        <rFont val="Arial"/>
        <family val="2"/>
      </rPr>
      <t>(To be filled by HR)</t>
    </r>
  </si>
  <si>
    <r>
      <t xml:space="preserve">Informations relatives au contrat  </t>
    </r>
    <r>
      <rPr>
        <b/>
        <u/>
        <sz val="11"/>
        <color rgb="FFA1C4D0"/>
        <rFont val="Arial"/>
        <family val="2"/>
      </rPr>
      <t>( A remplir par les RH )</t>
    </r>
  </si>
  <si>
    <r>
      <t xml:space="preserve">Contract information </t>
    </r>
    <r>
      <rPr>
        <b/>
        <u/>
        <sz val="11"/>
        <color rgb="FFA1C4D0"/>
        <rFont val="Arial"/>
        <family val="2"/>
      </rPr>
      <t>(To be filled by HR)</t>
    </r>
  </si>
  <si>
    <t xml:space="preserve">141 Service Operator </t>
  </si>
  <si>
    <t xml:space="preserve">142 Senior Service Operator </t>
  </si>
  <si>
    <t xml:space="preserve">201 Consultant </t>
  </si>
  <si>
    <t>202 Senior Consultant</t>
  </si>
  <si>
    <t>410 Director-Consulting (DIR)</t>
  </si>
  <si>
    <t xml:space="preserve">411 Director-Consulting Expert (DIR) </t>
  </si>
  <si>
    <t>421 Directeur Consulting Services</t>
  </si>
  <si>
    <t>701 Directeur internal consulting</t>
  </si>
  <si>
    <t>502 Vice President-Consulting (SDM) (DIR)</t>
  </si>
  <si>
    <t>504 Vice President-Consulting Sector  (MGM)</t>
  </si>
  <si>
    <t xml:space="preserve">512 Senior Vice President </t>
  </si>
  <si>
    <t xml:space="preserve">511 Vice President Consulting Service </t>
  </si>
  <si>
    <t xml:space="preserve">508 Vice President SVCS - Sector </t>
  </si>
  <si>
    <t xml:space="preserve">501 Vice President Consulting Expert </t>
  </si>
  <si>
    <t>d'Agent de support Confirmé</t>
  </si>
  <si>
    <t>d'Administrateur réseaux sytèmes</t>
  </si>
  <si>
    <t>de BPO Chef de projet</t>
  </si>
  <si>
    <t>de BPO expert sourcing</t>
  </si>
  <si>
    <t>de Charg. de Recrut. &amp; Intégrat.</t>
  </si>
  <si>
    <t>de Charg. Recrut. &amp; Intégrat. SR</t>
  </si>
  <si>
    <t>de Chargé de recrutement BPO</t>
  </si>
  <si>
    <t>de Chargé de recrutement senior</t>
  </si>
  <si>
    <t>de de Missions RH Junior</t>
  </si>
  <si>
    <t>de Consultant RH</t>
  </si>
  <si>
    <t>de Contrôleur de gestion Projet</t>
  </si>
  <si>
    <t>de Coordinateur de projet</t>
  </si>
  <si>
    <t>d'Expert Communication</t>
  </si>
  <si>
    <t>d'Expert communication sénior</t>
  </si>
  <si>
    <t>d'Expert Mobilité</t>
  </si>
  <si>
    <t>d'Ing. réseaux systèmes senior</t>
  </si>
  <si>
    <t>d'Ingénieur Analyste Confirmé</t>
  </si>
  <si>
    <t>d'Ingénieur d'Etudes et Développement</t>
  </si>
  <si>
    <t>d'Ingénieur d'Etudes et Développement Confirmé</t>
  </si>
  <si>
    <t>de Manager affectation</t>
  </si>
  <si>
    <t>de Manager communica. &amp; formation</t>
  </si>
  <si>
    <t>de Manager Mobilité</t>
  </si>
  <si>
    <t>de Manager sécurité</t>
  </si>
  <si>
    <t>de Responsable recrutement</t>
  </si>
  <si>
    <t>de Service provision manager</t>
  </si>
  <si>
    <t>Superviseur</t>
  </si>
  <si>
    <t>de Superviseur</t>
  </si>
  <si>
    <t>de Team Leader-BPO</t>
  </si>
  <si>
    <t>de Vice-Président Opérations</t>
  </si>
  <si>
    <t>de Vice-Président secteur</t>
  </si>
  <si>
    <t>Busn Title</t>
  </si>
  <si>
    <t>C607</t>
  </si>
  <si>
    <t>C609</t>
  </si>
  <si>
    <t>C601</t>
  </si>
  <si>
    <t>C612</t>
  </si>
  <si>
    <t>C618</t>
  </si>
  <si>
    <t>C611</t>
  </si>
  <si>
    <t>C617</t>
  </si>
  <si>
    <t>C604</t>
  </si>
  <si>
    <t>C603</t>
  </si>
  <si>
    <t>C608</t>
  </si>
  <si>
    <t>C602</t>
  </si>
  <si>
    <t>C615</t>
  </si>
  <si>
    <t>C606</t>
  </si>
  <si>
    <t>C616</t>
  </si>
  <si>
    <t>C613</t>
  </si>
  <si>
    <t>C621</t>
  </si>
  <si>
    <t>C605</t>
  </si>
  <si>
    <t>C256</t>
  </si>
  <si>
    <t>C259</t>
  </si>
  <si>
    <t>C912</t>
  </si>
  <si>
    <t>C300</t>
  </si>
  <si>
    <t>C285</t>
  </si>
  <si>
    <t>C261</t>
  </si>
  <si>
    <t>C619</t>
  </si>
  <si>
    <t>E322</t>
  </si>
  <si>
    <t>E441</t>
  </si>
  <si>
    <t>E440</t>
  </si>
  <si>
    <t>C620</t>
  </si>
  <si>
    <t>E448</t>
  </si>
  <si>
    <t>C329</t>
  </si>
  <si>
    <t>E329</t>
  </si>
  <si>
    <t>C910</t>
  </si>
  <si>
    <t>C622</t>
  </si>
  <si>
    <t>C623</t>
  </si>
  <si>
    <t>001 trainee (ADM)</t>
  </si>
  <si>
    <t>001 TRAINEE</t>
  </si>
  <si>
    <t>002 SUB-CONTRACTOR</t>
  </si>
  <si>
    <t>006 TRAINEE</t>
  </si>
  <si>
    <t>141 SERVICE OPERATOR</t>
  </si>
  <si>
    <t>142 SENIOR SERVICE OPERATOR</t>
  </si>
  <si>
    <t>201 CONSULTANT</t>
  </si>
  <si>
    <t>202 SENIOR CONSULTANT</t>
  </si>
  <si>
    <t>210 TRAINEE</t>
  </si>
  <si>
    <t>251 BUSINESS CONSULTANT</t>
  </si>
  <si>
    <t>252 SENIOR BUSINESS CONSULTANT</t>
  </si>
  <si>
    <t>401 MANAGER CONSULTING DELIVERY</t>
  </si>
  <si>
    <t>402 MANAGER CONSULTING EXPERT</t>
  </si>
  <si>
    <t>403 MANAGER</t>
  </si>
  <si>
    <t>404 Manager</t>
  </si>
  <si>
    <t>406 MANAGER CORPORATE SERVICES</t>
  </si>
  <si>
    <t>407 MANAGER CORPORATE SVCS EXPERT</t>
  </si>
  <si>
    <t>410 DIRECTOR CONSULTING DELIVERY</t>
  </si>
  <si>
    <t>411 DIRECTOR CONSULTING EXPERT</t>
  </si>
  <si>
    <t>416 DIRECTOR CORPORATE SERVICES</t>
  </si>
  <si>
    <t>417 DIRECTOR CORPORATE SVCS EXPERT</t>
  </si>
  <si>
    <t>421 DIRECTOR CONSULTING SERVICES</t>
  </si>
  <si>
    <t>501 VP CONSULTING EXPERT</t>
  </si>
  <si>
    <t>502 VP CONSULTING DELIVERY</t>
  </si>
  <si>
    <t>503 VP CONSULTING DELIVERY</t>
  </si>
  <si>
    <t>504 VP CONSULTING - SECTOR</t>
  </si>
  <si>
    <t>506 VP CORPORATE SERVICES</t>
  </si>
  <si>
    <t>507 VP CORPORATE SERVICES EXPERT</t>
  </si>
  <si>
    <t>508 VP CONSULTING SVCS - SECTOR</t>
  </si>
  <si>
    <t>511 VP CONSULTING SERVICES</t>
  </si>
  <si>
    <t>512 SENIOR VICE-PRESIDENT</t>
  </si>
  <si>
    <t>516 SVP CORPORATE SERVICES</t>
  </si>
  <si>
    <t>521 EXECUTIVE VICE-PRESIDENT</t>
  </si>
  <si>
    <t>555 PRESIDENT</t>
  </si>
  <si>
    <t>575 EXTERNAL DIRECTOR</t>
  </si>
  <si>
    <t>641 ASSISTANT</t>
  </si>
  <si>
    <t>661 CONSULTANT</t>
  </si>
  <si>
    <t>681 SENIOR CONSULTANT</t>
  </si>
  <si>
    <t>700 MANAGER CONSULTING INTERNAL</t>
  </si>
  <si>
    <t>701 DIRECTOR CONSULTING INTERNAL</t>
  </si>
  <si>
    <t>801 ADMINISTRATIVE VICE-PRESIDENT</t>
  </si>
  <si>
    <t>841 VP BUSINESS ENGINEERING</t>
  </si>
  <si>
    <t>905 SUPERVISOR</t>
  </si>
  <si>
    <t>Menu</t>
  </si>
  <si>
    <t>400131</t>
  </si>
  <si>
    <t>400511</t>
  </si>
  <si>
    <t>400583</t>
  </si>
  <si>
    <t>400594</t>
  </si>
  <si>
    <t>400694</t>
  </si>
  <si>
    <t>237242</t>
  </si>
  <si>
    <t>237700</t>
  </si>
  <si>
    <t>400143</t>
  </si>
  <si>
    <t>400618</t>
  </si>
  <si>
    <t>237134</t>
  </si>
  <si>
    <t>240574</t>
  </si>
  <si>
    <t>241738</t>
  </si>
  <si>
    <t>242045</t>
  </si>
  <si>
    <t>400122</t>
  </si>
  <si>
    <t>400141</t>
  </si>
  <si>
    <t>242178</t>
  </si>
  <si>
    <t>400595</t>
  </si>
  <si>
    <t>400605</t>
  </si>
  <si>
    <t>241878</t>
  </si>
  <si>
    <t>243512</t>
  </si>
  <si>
    <t>243179</t>
  </si>
  <si>
    <t>400133</t>
  </si>
  <si>
    <t>400137</t>
  </si>
  <si>
    <t>400140</t>
  </si>
  <si>
    <t>400173</t>
  </si>
  <si>
    <t>241852</t>
  </si>
  <si>
    <t>400100</t>
  </si>
  <si>
    <t>400103</t>
  </si>
  <si>
    <t>400135</t>
  </si>
  <si>
    <t>400697</t>
  </si>
  <si>
    <t>400711</t>
  </si>
  <si>
    <t>243043</t>
  </si>
  <si>
    <t>400051</t>
  </si>
  <si>
    <t>400128</t>
  </si>
  <si>
    <t>400552</t>
  </si>
  <si>
    <t>400716</t>
  </si>
  <si>
    <t>400134</t>
  </si>
  <si>
    <t>400611</t>
  </si>
  <si>
    <t>239590</t>
  </si>
  <si>
    <t>242313</t>
  </si>
  <si>
    <t>243504</t>
  </si>
  <si>
    <t>400671</t>
  </si>
  <si>
    <t>400578</t>
  </si>
  <si>
    <t>237363</t>
  </si>
  <si>
    <t>239153</t>
  </si>
  <si>
    <t>241797</t>
  </si>
  <si>
    <t>241807</t>
  </si>
  <si>
    <t>242048</t>
  </si>
  <si>
    <t>242354</t>
  </si>
  <si>
    <t>243035</t>
  </si>
  <si>
    <t>243374</t>
  </si>
  <si>
    <t>243448</t>
  </si>
  <si>
    <t>243497</t>
  </si>
  <si>
    <t>400009</t>
  </si>
  <si>
    <t>400509</t>
  </si>
  <si>
    <t>240567</t>
  </si>
  <si>
    <t>241177</t>
  </si>
  <si>
    <t>241870</t>
  </si>
  <si>
    <t>242051</t>
  </si>
  <si>
    <t>242056</t>
  </si>
  <si>
    <t>242151</t>
  </si>
  <si>
    <t>242176</t>
  </si>
  <si>
    <t>242216</t>
  </si>
  <si>
    <t>242074</t>
  </si>
  <si>
    <t>237366</t>
  </si>
  <si>
    <t>239595</t>
  </si>
  <si>
    <t>240511</t>
  </si>
  <si>
    <t>400043</t>
  </si>
  <si>
    <t>238415</t>
  </si>
  <si>
    <t>242914</t>
  </si>
  <si>
    <t>243039</t>
  </si>
  <si>
    <t>400095</t>
  </si>
  <si>
    <t>400117</t>
  </si>
  <si>
    <t>400138</t>
  </si>
  <si>
    <t>400139</t>
  </si>
  <si>
    <t>400565</t>
  </si>
  <si>
    <t>400577</t>
  </si>
  <si>
    <t>242868</t>
  </si>
  <si>
    <t>243044</t>
  </si>
  <si>
    <t>243431</t>
  </si>
  <si>
    <t>400023</t>
  </si>
  <si>
    <t>239972</t>
  </si>
  <si>
    <t>242930</t>
  </si>
  <si>
    <t>243060</t>
  </si>
  <si>
    <t>243535</t>
  </si>
  <si>
    <t>400260</t>
  </si>
  <si>
    <t>243049</t>
  </si>
  <si>
    <t>243056</t>
  </si>
  <si>
    <t>240377</t>
  </si>
  <si>
    <t>242865</t>
  </si>
  <si>
    <t>400055</t>
  </si>
  <si>
    <t>240393</t>
  </si>
  <si>
    <t>242938</t>
  </si>
  <si>
    <t>242946</t>
  </si>
  <si>
    <t>239585</t>
  </si>
  <si>
    <t>242936</t>
  </si>
  <si>
    <t>243006</t>
  </si>
  <si>
    <t>400094</t>
  </si>
  <si>
    <t>400110</t>
  </si>
  <si>
    <t>237350</t>
  </si>
  <si>
    <t>400591</t>
  </si>
  <si>
    <t>237101</t>
  </si>
  <si>
    <t>239471</t>
  </si>
  <si>
    <t>240568</t>
  </si>
  <si>
    <t>240601</t>
  </si>
  <si>
    <t>241179</t>
  </si>
  <si>
    <t>242356</t>
  </si>
  <si>
    <t>242827</t>
  </si>
  <si>
    <t>243057</t>
  </si>
  <si>
    <t>400015</t>
  </si>
  <si>
    <t>400027</t>
  </si>
  <si>
    <t>400123</t>
  </si>
  <si>
    <t>400596</t>
  </si>
  <si>
    <t>238480</t>
  </si>
  <si>
    <t>243529</t>
  </si>
  <si>
    <t>243530</t>
  </si>
  <si>
    <t>400022</t>
  </si>
  <si>
    <t>400085</t>
  </si>
  <si>
    <t>400093</t>
  </si>
  <si>
    <t>400590</t>
  </si>
  <si>
    <t>400039</t>
  </si>
  <si>
    <t>400780</t>
  </si>
  <si>
    <t>241216</t>
  </si>
  <si>
    <t>242913</t>
  </si>
  <si>
    <t>400024</t>
  </si>
  <si>
    <t>400054</t>
  </si>
  <si>
    <t>400129</t>
  </si>
  <si>
    <t>400400</t>
  </si>
  <si>
    <t>400709</t>
  </si>
  <si>
    <t>238424</t>
  </si>
  <si>
    <t>239754</t>
  </si>
  <si>
    <t>243038</t>
  </si>
  <si>
    <t>237353</t>
  </si>
  <si>
    <t>239457</t>
  </si>
  <si>
    <t>241895</t>
  </si>
  <si>
    <t>241899</t>
  </si>
  <si>
    <t>241902</t>
  </si>
  <si>
    <t>241969</t>
  </si>
  <si>
    <t>242039</t>
  </si>
  <si>
    <t>242040</t>
  </si>
  <si>
    <t>242060</t>
  </si>
  <si>
    <t>242163</t>
  </si>
  <si>
    <t>242166</t>
  </si>
  <si>
    <t>242180</t>
  </si>
  <si>
    <t>242181</t>
  </si>
  <si>
    <t>242236</t>
  </si>
  <si>
    <t>242249</t>
  </si>
  <si>
    <t>242253</t>
  </si>
  <si>
    <t>242259</t>
  </si>
  <si>
    <t>242360</t>
  </si>
  <si>
    <t>242944</t>
  </si>
  <si>
    <t>243015</t>
  </si>
  <si>
    <t>LPS00346993</t>
  </si>
  <si>
    <t>242043</t>
  </si>
  <si>
    <t>242528</t>
  </si>
  <si>
    <t>240680</t>
  </si>
  <si>
    <t>238306</t>
  </si>
  <si>
    <t>237349</t>
  </si>
  <si>
    <t>239533</t>
  </si>
  <si>
    <t>239652</t>
  </si>
  <si>
    <t>239958</t>
  </si>
  <si>
    <t>241856</t>
  </si>
  <si>
    <t>241860</t>
  </si>
  <si>
    <t>241861</t>
  </si>
  <si>
    <t>241903</t>
  </si>
  <si>
    <t>241905</t>
  </si>
  <si>
    <t>241909</t>
  </si>
  <si>
    <t>241958</t>
  </si>
  <si>
    <t>241970</t>
  </si>
  <si>
    <t>242022</t>
  </si>
  <si>
    <t>242029</t>
  </si>
  <si>
    <t>242146</t>
  </si>
  <si>
    <t>242173</t>
  </si>
  <si>
    <t>242359</t>
  </si>
  <si>
    <t>243007</t>
  </si>
  <si>
    <t>243053</t>
  </si>
  <si>
    <t>400399</t>
  </si>
  <si>
    <t>400574</t>
  </si>
  <si>
    <t>400575</t>
  </si>
  <si>
    <t>240569</t>
  </si>
  <si>
    <t>237591</t>
  </si>
  <si>
    <t>240575</t>
  </si>
  <si>
    <t>242044</t>
  </si>
  <si>
    <t>242079</t>
  </si>
  <si>
    <t>242292</t>
  </si>
  <si>
    <t>242303</t>
  </si>
  <si>
    <t>243089</t>
  </si>
  <si>
    <t>243503</t>
  </si>
  <si>
    <t>243533</t>
  </si>
  <si>
    <t>LPS00350409</t>
  </si>
  <si>
    <t>400636</t>
  </si>
  <si>
    <t>LPS00354153</t>
  </si>
  <si>
    <t>240548</t>
  </si>
  <si>
    <t>240546</t>
  </si>
  <si>
    <t>241271</t>
  </si>
  <si>
    <t>240615</t>
  </si>
  <si>
    <t>241655</t>
  </si>
  <si>
    <t>AIT TALEB Youssef</t>
  </si>
  <si>
    <t>Omran Aya</t>
  </si>
  <si>
    <t>Ballaji Imane</t>
  </si>
  <si>
    <t>Balboul Mohamed Adnane</t>
  </si>
  <si>
    <t>EL Caidi Mohamed</t>
  </si>
  <si>
    <t>Legsabi Latifa</t>
  </si>
  <si>
    <t>El Karkari Zakaria</t>
  </si>
  <si>
    <t>SOLH Khalid</t>
  </si>
  <si>
    <t>Atmitim Rabii</t>
  </si>
  <si>
    <t>Meftah Rachida</t>
  </si>
  <si>
    <t>Rachedi Idriss</t>
  </si>
  <si>
    <t>Channaj Khadija</t>
  </si>
  <si>
    <t>Senhaji Rhazi Omar</t>
  </si>
  <si>
    <t>Zakaria Mahmoud</t>
  </si>
  <si>
    <t>Khalil Bahia</t>
  </si>
  <si>
    <t>Mahboub Abderrahim</t>
  </si>
  <si>
    <t>EL FILALI Mouhanad</t>
  </si>
  <si>
    <t>MSAHEL Nabil</t>
  </si>
  <si>
    <t>Staifa Youssef</t>
  </si>
  <si>
    <t>Aboumalek Ahmed</t>
  </si>
  <si>
    <t>NATIJ El Mehdi</t>
  </si>
  <si>
    <t>SALDANI Youssef</t>
  </si>
  <si>
    <t>EL KHAOUDI Mahdi El Khalil</t>
  </si>
  <si>
    <t>Klila Marouane</t>
  </si>
  <si>
    <t>Naciri Salma</t>
  </si>
  <si>
    <t>KAHLAOUI Zohair</t>
  </si>
  <si>
    <t>KAOUKASY Sabrine</t>
  </si>
  <si>
    <t>El Alama Mohammed</t>
  </si>
  <si>
    <t>MIRI Sawsane</t>
  </si>
  <si>
    <t>Brahim Nabil</t>
  </si>
  <si>
    <t>Haimoud Said</t>
  </si>
  <si>
    <t>Abouelfadel Sara</t>
  </si>
  <si>
    <t>Khali Islam</t>
  </si>
  <si>
    <t>Benhadou Safia</t>
  </si>
  <si>
    <t>AIT OUREHBI Naoual</t>
  </si>
  <si>
    <t>BOURJA Anis</t>
  </si>
  <si>
    <t>Eddibaoui Nour Eddine</t>
  </si>
  <si>
    <t>REZZOUGUI Salim</t>
  </si>
  <si>
    <t>Jane Najlae</t>
  </si>
  <si>
    <t>Rbaibi Boutayna</t>
  </si>
  <si>
    <t>Tiresse Sanae</t>
  </si>
  <si>
    <t>Elhamine Hajar</t>
  </si>
  <si>
    <t>Bichri Hamza</t>
  </si>
  <si>
    <t>Moujahid Imane</t>
  </si>
  <si>
    <t>Ouatiq Abderrahman</t>
  </si>
  <si>
    <t>El Majd Hajar</t>
  </si>
  <si>
    <t>Benzohra Hicham</t>
  </si>
  <si>
    <t>JAOUAD Zakaria</t>
  </si>
  <si>
    <t>EL HAIMER Youssef</t>
  </si>
  <si>
    <t>Kouddoussi Mohamed Amine</t>
  </si>
  <si>
    <t>Moudrika Mehdi</t>
  </si>
  <si>
    <t>EL YANDOUZI Samia</t>
  </si>
  <si>
    <t>AFTIS Imane</t>
  </si>
  <si>
    <t>JYETOUKOUM Hamza</t>
  </si>
  <si>
    <t>HABBOUBA Soufiane</t>
  </si>
  <si>
    <t>Darif Walid</t>
  </si>
  <si>
    <t>Radi Brahim</t>
  </si>
  <si>
    <t>Raihani Youssef</t>
  </si>
  <si>
    <t>Zahraoui Oumaima</t>
  </si>
  <si>
    <t>CHELHI Yassir</t>
  </si>
  <si>
    <t>Mounafia Dalal</t>
  </si>
  <si>
    <t>Atmani Kaoutar</t>
  </si>
  <si>
    <t>Mountassir Taha Yassine</t>
  </si>
  <si>
    <t>Bouna Saad</t>
  </si>
  <si>
    <t>MILHA Younes</t>
  </si>
  <si>
    <t>Chemaa Ayoub</t>
  </si>
  <si>
    <t>HAMANE Ishaq</t>
  </si>
  <si>
    <t>El Arabi Ben Ammi</t>
  </si>
  <si>
    <t>BENCHAGRA Hasnae</t>
  </si>
  <si>
    <t>AMAR Bilal</t>
  </si>
  <si>
    <t>ELACHHAB HAJAR</t>
  </si>
  <si>
    <t>Sanhaji Boutaina</t>
  </si>
  <si>
    <t>Hachimi Nabil</t>
  </si>
  <si>
    <t>Benkirane Sofia</t>
  </si>
  <si>
    <t>Fettah Younes</t>
  </si>
  <si>
    <t>Fennane Hassan</t>
  </si>
  <si>
    <t>Bouamri Rajaa</t>
  </si>
  <si>
    <t>Rizq Laila</t>
  </si>
  <si>
    <t>EL Hasnaoui Aziza</t>
  </si>
  <si>
    <t>Salas Youssef</t>
  </si>
  <si>
    <t>EL HABIB Khouloud</t>
  </si>
  <si>
    <t>Ouzouli Es-Saleh</t>
  </si>
  <si>
    <t>BIMGHAR Elhousayne</t>
  </si>
  <si>
    <t>LAZRAK Youssef</t>
  </si>
  <si>
    <t>HMIMOU Imane</t>
  </si>
  <si>
    <t>JARJAR Mohamed</t>
  </si>
  <si>
    <t>KATIH Manar</t>
  </si>
  <si>
    <t>Boutaleb Nisrine</t>
  </si>
  <si>
    <t>Bouna Hassan</t>
  </si>
  <si>
    <t>Moutawakkil Mehdi</t>
  </si>
  <si>
    <t>Belajili Laila</t>
  </si>
  <si>
    <t>Ayad Safae</t>
  </si>
  <si>
    <t>Bentaifour Saida</t>
  </si>
  <si>
    <t>El Marhouni Mohamed</t>
  </si>
  <si>
    <t>Belkharraz Alkhalil</t>
  </si>
  <si>
    <t>Benouanass Hasnae</t>
  </si>
  <si>
    <t>DOURGMANI KHALID</t>
  </si>
  <si>
    <t>FATINI Hiba</t>
  </si>
  <si>
    <t>BENJELLOUN Hamza</t>
  </si>
  <si>
    <t>FAIQ Hasnaa</t>
  </si>
  <si>
    <t>LAHLALI Hana</t>
  </si>
  <si>
    <t>SETTI Hatim</t>
  </si>
  <si>
    <t>El Bekkaoui Othmane</t>
  </si>
  <si>
    <t>HATHOUTI Mariem</t>
  </si>
  <si>
    <t>FIDOUDI Salma</t>
  </si>
  <si>
    <t>ROUANE Marouane</t>
  </si>
  <si>
    <t>EL MRINI ILIAS</t>
  </si>
  <si>
    <t>El Bechraoui Nawal</t>
  </si>
  <si>
    <t>Laghdaif Aziz</t>
  </si>
  <si>
    <t>MHALLY Lekbir</t>
  </si>
  <si>
    <t>Zouhairi Youssef</t>
  </si>
  <si>
    <t>MESSAOUDI Bader-Eddine</t>
  </si>
  <si>
    <t>Limani Misbah</t>
  </si>
  <si>
    <t>IDIHIA Amine</t>
  </si>
  <si>
    <t>Biga Irfane</t>
  </si>
  <si>
    <t>MOUSTADRAF Mohamed Reda</t>
  </si>
  <si>
    <t>HAFDI Ayoub</t>
  </si>
  <si>
    <t>L'harime Fatima</t>
  </si>
  <si>
    <t>AZIZI Yasser</t>
  </si>
  <si>
    <t>Alaoui Ismaili Ahmed</t>
  </si>
  <si>
    <t>Mastour Ayman</t>
  </si>
  <si>
    <t>RAHHALI Zineb</t>
  </si>
  <si>
    <t>Ennadir Mohamed</t>
  </si>
  <si>
    <t>GOUCHENE Malika</t>
  </si>
  <si>
    <t>AMGHAR Mohamed Amine</t>
  </si>
  <si>
    <t>Ezzihi Abderrahim</t>
  </si>
  <si>
    <t>Tizrit Amal</t>
  </si>
  <si>
    <t>EL MANSOURI Siham</t>
  </si>
  <si>
    <t>Boufarouj Manal</t>
  </si>
  <si>
    <t>Elamarti Abdelfattah</t>
  </si>
  <si>
    <t>FILALI Salma</t>
  </si>
  <si>
    <t>CHEKROUD Mohammed</t>
  </si>
  <si>
    <t>Zakani Maria</t>
  </si>
  <si>
    <t>IDELAAMEUR Hamza</t>
  </si>
  <si>
    <t>TALBI Mouhcine</t>
  </si>
  <si>
    <t>SBITI Mouad</t>
  </si>
  <si>
    <t>ZENNADI Aicha</t>
  </si>
  <si>
    <t>BELMOUJAHID Imad</t>
  </si>
  <si>
    <t>AKRIB Chaimaa</t>
  </si>
  <si>
    <t>EL BOUSSERGHINI OUSSAMA</t>
  </si>
  <si>
    <t>MALOUL Oussama</t>
  </si>
  <si>
    <t>DIF ELIDRISSI Brahim</t>
  </si>
  <si>
    <t>GUERDOUL Issam</t>
  </si>
  <si>
    <t>Boudabza Hatim</t>
  </si>
  <si>
    <t>TOUFIK Souad</t>
  </si>
  <si>
    <t>El hila Mohammed Said</t>
  </si>
  <si>
    <t>Benboubker Sophia</t>
  </si>
  <si>
    <t>MAAD Karim</t>
  </si>
  <si>
    <t>TIKAT Maroua</t>
  </si>
  <si>
    <t>SOUHAIL ABDELADIM</t>
  </si>
  <si>
    <t>El Omari Hajar</t>
  </si>
  <si>
    <t>MOURJANE Hamza</t>
  </si>
  <si>
    <t>ESSOUBHY Imane</t>
  </si>
  <si>
    <t>Laasri Rachid</t>
  </si>
  <si>
    <t>Badari Ahmed</t>
  </si>
  <si>
    <t>Jahfel Meriem</t>
  </si>
  <si>
    <t>El belghyty Mohammed</t>
  </si>
  <si>
    <t>Mouttalib Amine</t>
  </si>
  <si>
    <t>Hamma Youssra</t>
  </si>
  <si>
    <t>Bouibrine Kawtar</t>
  </si>
  <si>
    <t>Meftah Loubna</t>
  </si>
  <si>
    <t>El Arif Younes</t>
  </si>
  <si>
    <t>Bechar Amine</t>
  </si>
  <si>
    <t>El hidani Abderrafii</t>
  </si>
  <si>
    <t>KOSSOURI Said</t>
  </si>
  <si>
    <t>ISSER Fatima Ezzahra</t>
  </si>
  <si>
    <t>CHAKIR Soumiya</t>
  </si>
  <si>
    <t>MOUNIR Mohammed</t>
  </si>
  <si>
    <t>FANNICHI Nouhaila</t>
  </si>
  <si>
    <t>EL AZHAR Anas</t>
  </si>
  <si>
    <t>ZAGHLY Amine</t>
  </si>
  <si>
    <t>DINOUNE Sara</t>
  </si>
  <si>
    <t>Bouchrhel Hind</t>
  </si>
  <si>
    <t>HAMID Omar</t>
  </si>
  <si>
    <t>OULAD BOUYAHYA IDRISSI Meryem</t>
  </si>
  <si>
    <t>BOUHADOU Laila</t>
  </si>
  <si>
    <t>Silami Rochdi</t>
  </si>
  <si>
    <t>ERRAIS Rania</t>
  </si>
  <si>
    <t>Moutanabih Yassine</t>
  </si>
  <si>
    <t>Sbaa Yassine</t>
  </si>
  <si>
    <t>EL RHOSN MOHAMMED</t>
  </si>
  <si>
    <t>Ech chabi Adil</t>
  </si>
  <si>
    <t>Mouanis Loubna</t>
  </si>
  <si>
    <t>Benabdillah Lemdeghri Hanae</t>
  </si>
  <si>
    <t>Achour Lamiae</t>
  </si>
  <si>
    <t>EL KANDSI Bouchra</t>
  </si>
  <si>
    <t>NANDRIANINA Hobinirina Jérémie</t>
  </si>
  <si>
    <t>Nadiri Fatima</t>
  </si>
  <si>
    <t>Mouzoun Fouad</t>
  </si>
  <si>
    <t>El Asri Ikram</t>
  </si>
  <si>
    <t>BADRI Youness</t>
  </si>
  <si>
    <t>BAHBA Nawal</t>
  </si>
  <si>
    <t>GAMRANI Ayyoub</t>
  </si>
  <si>
    <t>KAGHAT Mehdi</t>
  </si>
  <si>
    <t>OUJEBBAD Zakaria</t>
  </si>
  <si>
    <t>RIAD Tarik</t>
  </si>
  <si>
    <t>BOUSGA Tariq</t>
  </si>
  <si>
    <t>BOUTESAINE Mohamed</t>
  </si>
  <si>
    <t>SOUNFOUS OMAR</t>
  </si>
  <si>
    <t>HALAL Zineb</t>
  </si>
  <si>
    <t>Salhi Naima</t>
  </si>
  <si>
    <t>Farissi Akram</t>
  </si>
  <si>
    <t>HADIR Rajaa</t>
  </si>
  <si>
    <t>EL YALAOUI Ayoub</t>
  </si>
  <si>
    <t>Lamgarbi Mourad</t>
  </si>
  <si>
    <t>ASAMLAL Meriama</t>
  </si>
  <si>
    <t>Nafisse Nawal</t>
  </si>
  <si>
    <t>Chahid Mariam</t>
  </si>
  <si>
    <t>Aaid Charaf</t>
  </si>
  <si>
    <t>Farouq Anass</t>
  </si>
  <si>
    <t>Ghazi Jerniti Abdelouahab</t>
  </si>
  <si>
    <t>Moutakabil Ghizlane</t>
  </si>
  <si>
    <t>Nabih El Mehdi</t>
  </si>
  <si>
    <t>GUASSMI Soukaina</t>
  </si>
  <si>
    <t>EZZAIR Yassine</t>
  </si>
  <si>
    <t>OUBEL Soukaina</t>
  </si>
  <si>
    <t>Jalal Salma</t>
  </si>
  <si>
    <t>BOULIF Soufiane</t>
  </si>
  <si>
    <t>MOUCHARRAF Soumia</t>
  </si>
  <si>
    <t>Habrrman Khalil</t>
  </si>
  <si>
    <t>BELLEBBARDI Hala</t>
  </si>
  <si>
    <t>GHARIM Hind</t>
  </si>
  <si>
    <t>Aziz Ahmed</t>
  </si>
  <si>
    <t>Ahmadi Fatima</t>
  </si>
  <si>
    <t>Laklalech Taha</t>
  </si>
  <si>
    <t>AIT SFER Khalid</t>
  </si>
  <si>
    <t>BENELKHAILIA Abdelhamid</t>
  </si>
  <si>
    <t>Benayoub Merouane Mohamed</t>
  </si>
  <si>
    <t>OUARDI Imane</t>
  </si>
  <si>
    <t>OUMISQUINE Hind</t>
  </si>
  <si>
    <t>El Khoussi Amal</t>
  </si>
  <si>
    <t>Sayad Mostafa Reda</t>
  </si>
  <si>
    <t>HABRRMAN Chaymaa</t>
  </si>
  <si>
    <t>Machmoum Imadeddine</t>
  </si>
  <si>
    <t>Wahbi Mohammed Amine</t>
  </si>
  <si>
    <t>BENADDI Wissam</t>
  </si>
  <si>
    <t>EL AINAOUI Maria</t>
  </si>
  <si>
    <t>Hanounou Fatima Zahra</t>
  </si>
  <si>
    <t>BOUKSSIM Hajar</t>
  </si>
  <si>
    <t>Ederouich Malika</t>
  </si>
  <si>
    <t>HABRRMAN Soumia</t>
  </si>
  <si>
    <t>ERRADI Saad</t>
  </si>
  <si>
    <t>Ouizzane Zineb</t>
  </si>
  <si>
    <t>Belasri Meriem</t>
  </si>
  <si>
    <t>EL HOUARI Younes</t>
  </si>
  <si>
    <t>Saadi Badr</t>
  </si>
  <si>
    <t>TAYACH Nada</t>
  </si>
  <si>
    <t>STITOU Amine</t>
  </si>
  <si>
    <t>Khalil Zineb</t>
  </si>
  <si>
    <t>EL YABOUDI Yassine</t>
  </si>
  <si>
    <t>Sebti Abdellah</t>
  </si>
  <si>
    <t>Faiz Rachid</t>
  </si>
  <si>
    <t>Daif AHMED RIDA</t>
  </si>
  <si>
    <t>MOURADI Hicham</t>
  </si>
  <si>
    <t>HABYB ELLAH Khadija</t>
  </si>
  <si>
    <t>Benabdillah Abderrazak</t>
  </si>
  <si>
    <t>Souida Safaa</t>
  </si>
  <si>
    <t>JANATI Hind</t>
  </si>
  <si>
    <t>JAMAIL Oumaima</t>
  </si>
  <si>
    <t>Belmaoui Oumaima</t>
  </si>
  <si>
    <t>Masbah Ahlam</t>
  </si>
  <si>
    <t>BOUZEKRI Nouhaila</t>
  </si>
  <si>
    <t>BOUTAICHA Saad</t>
  </si>
  <si>
    <t>LALAMI Zakaria Mohamed</t>
  </si>
  <si>
    <t>Aouadi Yassine</t>
  </si>
  <si>
    <t>NABIL Ismail</t>
  </si>
  <si>
    <t>ALAOUI Moulay Tahar</t>
  </si>
  <si>
    <t>Lachheb Oussama</t>
  </si>
  <si>
    <t>BRIJ Yassine</t>
  </si>
  <si>
    <t>Zahir Assya</t>
  </si>
  <si>
    <t>Wassate Walid</t>
  </si>
  <si>
    <t>Lafrizi Fatima Ezzahra</t>
  </si>
  <si>
    <t>NAJIMI Saloua</t>
  </si>
  <si>
    <t>Balladi Younes</t>
  </si>
  <si>
    <t>Khalloq Abdelali</t>
  </si>
  <si>
    <t>ATOUT Samah</t>
  </si>
  <si>
    <t>LAKHDAR Mouna</t>
  </si>
  <si>
    <t>Guennich Ikram</t>
  </si>
  <si>
    <t>Eddourhri Khadija</t>
  </si>
  <si>
    <t>Belkadi Najim</t>
  </si>
  <si>
    <t>EL GUENAOUI Hamid</t>
  </si>
  <si>
    <t>Elhouari Hanae</t>
  </si>
  <si>
    <t>Ansar Sofia</t>
  </si>
  <si>
    <t>MALIK Rajae</t>
  </si>
  <si>
    <t>AIT SAID Hajar</t>
  </si>
  <si>
    <t>AMRIOUI Anouar</t>
  </si>
  <si>
    <t>EL GHALBZOURI Meriem</t>
  </si>
  <si>
    <t>AATAATTI Mehdi</t>
  </si>
  <si>
    <t>Bouanane Hassani Hicham</t>
  </si>
  <si>
    <t>Larrouy Fatima Ezzahra</t>
  </si>
  <si>
    <t>El Rhanni Iliass</t>
  </si>
  <si>
    <t>BOUAOUD Mohsine</t>
  </si>
  <si>
    <t>Tabit Elmehdi</t>
  </si>
  <si>
    <t>El Maezi Meriem</t>
  </si>
  <si>
    <t>Ayad Farah</t>
  </si>
  <si>
    <t>KAK Kamal</t>
  </si>
  <si>
    <t>FILALI BOUAMI Majdouline</t>
  </si>
  <si>
    <t>MAHBOUB Manal</t>
  </si>
  <si>
    <t>Houmiya Jihane</t>
  </si>
  <si>
    <t>Souabni Bassam</t>
  </si>
  <si>
    <t>Elbaz Hajar</t>
  </si>
  <si>
    <t>Aderrab Hajar</t>
  </si>
  <si>
    <t>Zahraoui Ayoub</t>
  </si>
  <si>
    <t>Saba Abderrahmane</t>
  </si>
  <si>
    <t>ZAHFIR Anass</t>
  </si>
  <si>
    <t>Benmoussa Abdeltif</t>
  </si>
  <si>
    <t>AGZOUL Salma</t>
  </si>
  <si>
    <t>ZARHALI Youness</t>
  </si>
  <si>
    <t>HARDA Anas</t>
  </si>
  <si>
    <t>ZARHLOUL Marwane</t>
  </si>
  <si>
    <t>Nabih Abdelilah</t>
  </si>
  <si>
    <t>Moujahid Majda</t>
  </si>
  <si>
    <t>Ismaili Alaoui Zina</t>
  </si>
  <si>
    <t>El Mrabah Abdelillah</t>
  </si>
  <si>
    <t>Raggad Sara</t>
  </si>
  <si>
    <t>Benhalima Noureddine</t>
  </si>
  <si>
    <t>JAMALI Hanane</t>
  </si>
  <si>
    <t>Kouzaibar Soufiane</t>
  </si>
  <si>
    <t>EL BANI Naoufal</t>
  </si>
  <si>
    <t>Mennani Ikrame</t>
  </si>
  <si>
    <t>MOUHACINE Issam</t>
  </si>
  <si>
    <t>HADDADI Mohamed</t>
  </si>
  <si>
    <t>ATOUBI MOHAMED AMAL</t>
  </si>
  <si>
    <t>IBNOU ZAHIR Zakaria</t>
  </si>
  <si>
    <t>Maghfour Abdellah</t>
  </si>
  <si>
    <t>Ennajah Youssef</t>
  </si>
  <si>
    <t>EL KIHEL Nabil</t>
  </si>
  <si>
    <t>ELJILALI Abdelghani</t>
  </si>
  <si>
    <t>RHOUT Ikrame</t>
  </si>
  <si>
    <t>BAMBA HOULOUWOLO PIERRE</t>
  </si>
  <si>
    <t>MOUSTAHFID Sara</t>
  </si>
  <si>
    <t>EL KHALYLY Manal</t>
  </si>
  <si>
    <t>SOUAIDI Noura</t>
  </si>
  <si>
    <t>DINIA Mohamed Salim</t>
  </si>
  <si>
    <t>MAAROUF Karima</t>
  </si>
  <si>
    <t>DIALLO Maïmouna</t>
  </si>
  <si>
    <t>RETAILI Amal</t>
  </si>
  <si>
    <t>JAMALI Meryem</t>
  </si>
  <si>
    <t>Blgrim Abdelhamid</t>
  </si>
  <si>
    <t>Ainouz Ahmed</t>
  </si>
  <si>
    <t>Ait-Ettouch Mohamed-el mehdi</t>
  </si>
  <si>
    <t>MESKAOUI Zineb</t>
  </si>
  <si>
    <t>Hakim Soumia</t>
  </si>
  <si>
    <t>Tahiri Idrissi Ismail</t>
  </si>
  <si>
    <t>Bettache Nabila</t>
  </si>
  <si>
    <t>Khalis Najib</t>
  </si>
  <si>
    <t>Kadiri Aimad</t>
  </si>
  <si>
    <t>Belechguer Hayat</t>
  </si>
  <si>
    <t>CHAMA Houssam Eddine</t>
  </si>
  <si>
    <t>Bennasser Zakaria</t>
  </si>
  <si>
    <t>EL HAFID Soumya</t>
  </si>
  <si>
    <t>BRAHMI Radouane</t>
  </si>
  <si>
    <t>SOQRATI KARIM Karim</t>
  </si>
  <si>
    <t>CHADID ANSARI Anass</t>
  </si>
  <si>
    <t>EL HAMMAZE Aicha</t>
  </si>
  <si>
    <t>KARAM Lamyaâ</t>
  </si>
  <si>
    <t>HOUSNI Aymen</t>
  </si>
  <si>
    <t>ZOUHAL Salma</t>
  </si>
  <si>
    <t>OUTTAJ Hamza</t>
  </si>
  <si>
    <t>BEN KHADDA Amine</t>
  </si>
  <si>
    <t>BOUHAIGOUN Amine</t>
  </si>
  <si>
    <t>BEKBACHI Chaimaa</t>
  </si>
  <si>
    <t>LAHRIZI Mohamed Taha</t>
  </si>
  <si>
    <t>SEBBAR MADIHA</t>
  </si>
  <si>
    <t>Kettani Hamza</t>
  </si>
  <si>
    <t>BOULHEND Hamza</t>
  </si>
  <si>
    <t>EL FILALI Imane Hajar</t>
  </si>
  <si>
    <t>CHLIEH Asmae</t>
  </si>
  <si>
    <t>AKDIM Naima</t>
  </si>
  <si>
    <t>Larhzili Salima</t>
  </si>
  <si>
    <t>Chanya Mohamed</t>
  </si>
  <si>
    <t>Bougattaya Radouane</t>
  </si>
  <si>
    <t>ABBASSI Abdellatif</t>
  </si>
  <si>
    <t>Chennouk Hamid</t>
  </si>
  <si>
    <t>AMARIR Assia</t>
  </si>
  <si>
    <t>EL KHADDARI Hind</t>
  </si>
  <si>
    <t>Talbi Zineb</t>
  </si>
  <si>
    <t>AHLYEL Amal</t>
  </si>
  <si>
    <t>Meftah Ghita</t>
  </si>
  <si>
    <t>CHEKAUD Abdelilah</t>
  </si>
  <si>
    <t>HAFIDI Zakaria</t>
  </si>
  <si>
    <t>BOUZIANE Rababe</t>
  </si>
  <si>
    <t>FOUDALI Mohamed</t>
  </si>
  <si>
    <t>ATANAN Saadia</t>
  </si>
  <si>
    <t>Issimor Zineb</t>
  </si>
  <si>
    <t>Faghanni Mohamed</t>
  </si>
  <si>
    <t>BOUAZIZ Fatima Ez-zahra</t>
  </si>
  <si>
    <t>SAFARI Safae</t>
  </si>
  <si>
    <t>HAMMADI Sara</t>
  </si>
  <si>
    <t>FETHELKHAIR Ikram</t>
  </si>
  <si>
    <t>HOUMID BENNANI Soukaina</t>
  </si>
  <si>
    <t>Hanzaz El mahdi</t>
  </si>
  <si>
    <t>Mortaki EL MOSTAFA</t>
  </si>
  <si>
    <t>El bacha Benaissa</t>
  </si>
  <si>
    <t>Azouz Omar</t>
  </si>
  <si>
    <t>Benzakour Aziz</t>
  </si>
  <si>
    <t>El yousfi Abd</t>
  </si>
  <si>
    <t>El Ghadfi Mohamed</t>
  </si>
  <si>
    <t>Bassam Ali</t>
  </si>
  <si>
    <t>Mehssani Issam</t>
  </si>
  <si>
    <t>Eddarkaoui El Idrissi Jamal</t>
  </si>
  <si>
    <t>Achemli Zakaria</t>
  </si>
  <si>
    <t>Ben Hadda Inass</t>
  </si>
  <si>
    <t>SERMANI Hind</t>
  </si>
  <si>
    <t>Ben ayoub Soufiane</t>
  </si>
  <si>
    <t>Hassane Taha</t>
  </si>
  <si>
    <t>Abaghali Sana</t>
  </si>
  <si>
    <t>Hatim Hasna</t>
  </si>
  <si>
    <t>Merbouh Mohammed</t>
  </si>
  <si>
    <t>BAHDAOUI Jade-el-khir</t>
  </si>
  <si>
    <t>Benkerroum Sanae</t>
  </si>
  <si>
    <t>Khlass Ridha</t>
  </si>
  <si>
    <t>Zeggwagh Younes Ali</t>
  </si>
  <si>
    <t>EL MAZOUNI Karim</t>
  </si>
  <si>
    <t>FOURSA Loubna</t>
  </si>
  <si>
    <t>HOUARI Driss</t>
  </si>
  <si>
    <t>El Ayoubi Mohamed Adil</t>
  </si>
  <si>
    <t>TREMBLAY Mathieu</t>
  </si>
  <si>
    <t>HAMMANI Mohammed</t>
  </si>
  <si>
    <t>BOUJAOUB ISMAIL</t>
  </si>
  <si>
    <t>Lrhorfi Abdelmounaim</t>
  </si>
  <si>
    <t>Bentahar Sarah</t>
  </si>
  <si>
    <t>Laalou Amine</t>
  </si>
  <si>
    <t>MESBAHI Sara</t>
  </si>
  <si>
    <t>Saghrouchni Mohammed</t>
  </si>
  <si>
    <t>AMAOUN Omar</t>
  </si>
  <si>
    <t>Hajji Youness</t>
  </si>
  <si>
    <t>El Ammari Meryem</t>
  </si>
  <si>
    <t>Bakri Mohamed Reda</t>
  </si>
  <si>
    <t>Boumahdi Houssam</t>
  </si>
  <si>
    <t>Boukoutaya Mohammed</t>
  </si>
  <si>
    <t>Harras Linda</t>
  </si>
  <si>
    <t>Ouazzani Houda</t>
  </si>
  <si>
    <t>EL GHORFI Nawal</t>
  </si>
  <si>
    <t>HARIM Zoubida</t>
  </si>
  <si>
    <t>Bennani Yacine</t>
  </si>
  <si>
    <t>BENKASSEM Mohamed Iliass</t>
  </si>
  <si>
    <t>BAKKALI YEDRI Hamza</t>
  </si>
  <si>
    <t>CHTITA Fayza</t>
  </si>
  <si>
    <t>Talbaoui Hanane</t>
  </si>
  <si>
    <t>Srir Hicham</t>
  </si>
  <si>
    <t>Jouid Idriss</t>
  </si>
  <si>
    <t>Takhzant Samira</t>
  </si>
  <si>
    <t>Aarab Souhail</t>
  </si>
  <si>
    <t>Sahtouti Hamid</t>
  </si>
  <si>
    <t>Oubel Hanane</t>
  </si>
  <si>
    <t>Khairellah Imad</t>
  </si>
  <si>
    <t>Ouakrouch Mohamed</t>
  </si>
  <si>
    <t>Hafidi Youssef</t>
  </si>
  <si>
    <t>Azeroual Fatima</t>
  </si>
  <si>
    <t>Zouagui Zineb</t>
  </si>
  <si>
    <t>MILLOU MEHDI-ILYASS</t>
  </si>
  <si>
    <t>Karkouri Maryam</t>
  </si>
  <si>
    <t>ATOUAHRI Achraf</t>
  </si>
  <si>
    <t>ELHIRECH Mohamed</t>
  </si>
  <si>
    <t>Fourkane Hasnae</t>
  </si>
  <si>
    <t>TAHIRI Mohamed</t>
  </si>
  <si>
    <t>HOUMDI Adam</t>
  </si>
  <si>
    <t>LYAZIDI Mohammed</t>
  </si>
  <si>
    <t>Rhazi Mohammed Taha</t>
  </si>
  <si>
    <t>ERRAKI Marouane</t>
  </si>
  <si>
    <t>OUZEROUAL Yacine</t>
  </si>
  <si>
    <t>Allali Sakina</t>
  </si>
  <si>
    <t>KHABBAZI Zineb</t>
  </si>
  <si>
    <t>REDA Oumaima</t>
  </si>
  <si>
    <t>BENFATTOUM Ilyas</t>
  </si>
  <si>
    <t>SALMI Yassine</t>
  </si>
  <si>
    <t>MANSSOURI ILYES</t>
  </si>
  <si>
    <t>LOUBARIS Zakaria</t>
  </si>
  <si>
    <t>OUANAOU Anas</t>
  </si>
  <si>
    <t>ABIDI Mohamed</t>
  </si>
  <si>
    <t>SAID Elias</t>
  </si>
  <si>
    <t>Lamrani Badr</t>
  </si>
  <si>
    <t>El Hilali Hind</t>
  </si>
  <si>
    <t>El hayl Hajiba</t>
  </si>
  <si>
    <t>Bourhaleb Mohammed</t>
  </si>
  <si>
    <t>El hilali Houda</t>
  </si>
  <si>
    <t>El ghoumari lamiae</t>
  </si>
  <si>
    <t>Taib Khalid</t>
  </si>
  <si>
    <t>Wasfi Ottman</t>
  </si>
  <si>
    <t>Bouroumiya Hasnae</t>
  </si>
  <si>
    <t>ACHKARI BEGDOURI Mohammed</t>
  </si>
  <si>
    <t>Alla Aymane</t>
  </si>
  <si>
    <t>Gartani Imane</t>
  </si>
  <si>
    <t>Ahsissen Intissar</t>
  </si>
  <si>
    <t>El Alami Hicham</t>
  </si>
  <si>
    <t>Douazi Nouhaila</t>
  </si>
  <si>
    <t>BENLAFQIH Youssef</t>
  </si>
  <si>
    <t>LAKHDAR Zineb</t>
  </si>
  <si>
    <t>OUBIDANE Souad</t>
  </si>
  <si>
    <t>RACHIDI Ouiame</t>
  </si>
  <si>
    <t>MOUFADDAL Maryem</t>
  </si>
  <si>
    <t>TIMJERDINE SARRA</t>
  </si>
  <si>
    <t>EL FATIHI Faiçal</t>
  </si>
  <si>
    <t>EL ISMAILI Douaa</t>
  </si>
  <si>
    <t>TAFRENT Khalil</t>
  </si>
  <si>
    <t>ABORICHE Meryem</t>
  </si>
  <si>
    <t>SAHTOUTI CHAIMAA</t>
  </si>
  <si>
    <t>SOUIBA Hind</t>
  </si>
  <si>
    <t>BOUASSABA Yahya</t>
  </si>
  <si>
    <t>Benyahia Zineb</t>
  </si>
  <si>
    <t>Benyoussef Soukaina</t>
  </si>
  <si>
    <t>QBIBI Lahcen</t>
  </si>
  <si>
    <t>KABIT Marouan</t>
  </si>
  <si>
    <t>ASSAHLI Salama</t>
  </si>
  <si>
    <t>Bourissai Salma</t>
  </si>
  <si>
    <t>Amar Meryem</t>
  </si>
  <si>
    <t>AMNAS Asmae</t>
  </si>
  <si>
    <t>LOQMANE Wijdane</t>
  </si>
  <si>
    <t>LAABAR Redwane</t>
  </si>
  <si>
    <t>ATTAR Marouane</t>
  </si>
  <si>
    <t>El mounadi El mahdi</t>
  </si>
  <si>
    <t>ELBAREHOUMI Khaoula</t>
  </si>
  <si>
    <t>TABCHI Mohamed El Mehdi</t>
  </si>
  <si>
    <t>Hadrach Loubna</t>
  </si>
  <si>
    <t>Mimouh Asmaa</t>
  </si>
  <si>
    <t>BELAKHDAR Assmaa</t>
  </si>
  <si>
    <t>NAMRANI Kaoutar</t>
  </si>
  <si>
    <t>Hafid Ilyass</t>
  </si>
  <si>
    <t>NECBA Hanae</t>
  </si>
  <si>
    <t>ELGHAMRASNI Fatima Ez-Zahra</t>
  </si>
  <si>
    <t>HOUMMAS Abdelellah</t>
  </si>
  <si>
    <t>HARRACH Youssef</t>
  </si>
  <si>
    <t>MAHTAT Youssef</t>
  </si>
  <si>
    <t>Arib Amal</t>
  </si>
  <si>
    <t>Harchaoui Nisrine</t>
  </si>
  <si>
    <t>Cherifi Abdelmajid</t>
  </si>
  <si>
    <t>DAFALI Youness</t>
  </si>
  <si>
    <t>EL ARBAOUI Fatima Ez Zahra</t>
  </si>
  <si>
    <t>Elhafidi Asaad</t>
  </si>
  <si>
    <t>NABIH Fadwa</t>
  </si>
  <si>
    <t>ANANE ayoub</t>
  </si>
  <si>
    <t>El Oudghiri El Idrissi El Oualid</t>
  </si>
  <si>
    <t>MESRAR Khadija</t>
  </si>
  <si>
    <t>ABID Amina</t>
  </si>
  <si>
    <t>LEFRAOUI Hamza</t>
  </si>
  <si>
    <t>Kadiri Mohamed</t>
  </si>
  <si>
    <t>AMMAR Ahmed</t>
  </si>
  <si>
    <t>Bouaz Rachid</t>
  </si>
  <si>
    <t>Tatbi Fouad</t>
  </si>
  <si>
    <t>Oudada Zakaria</t>
  </si>
  <si>
    <t>Guezrou Abdelaziz</t>
  </si>
  <si>
    <t>ZELMAD Mohamed</t>
  </si>
  <si>
    <t>EL GHALBZOURI Hind</t>
  </si>
  <si>
    <t>TARHRI Maryem</t>
  </si>
  <si>
    <t>CHERKANI Kaoutar</t>
  </si>
  <si>
    <t>Aarab Mehdi</t>
  </si>
  <si>
    <t>EL ATRASSI Ayoub</t>
  </si>
  <si>
    <t>LAHJOUJI Abdeslam</t>
  </si>
  <si>
    <t>BOUNOUALA Zineb</t>
  </si>
  <si>
    <t>KHACHIA Najat</t>
  </si>
  <si>
    <t>JOUILILI ABDERRAHMANE</t>
  </si>
  <si>
    <t>Belghazi Jalal</t>
  </si>
  <si>
    <t>Bouchafra Hassan</t>
  </si>
  <si>
    <t>Bakraoui Mohammed Amine</t>
  </si>
  <si>
    <t>EL ORF Leila</t>
  </si>
  <si>
    <t>Alaoui Moulay Rachid</t>
  </si>
  <si>
    <t>Naher Yasmina</t>
  </si>
  <si>
    <t>Bounjoum Alaaeddine</t>
  </si>
  <si>
    <t>HAJJOUBI ABDELHAKIM</t>
  </si>
  <si>
    <t>BOUTAHAR Adnane</t>
  </si>
  <si>
    <t>MITATA NEFARI Yassine</t>
  </si>
  <si>
    <t>DIOURI Mahmoud</t>
  </si>
  <si>
    <t>BIHIMEDEN Lahsen</t>
  </si>
  <si>
    <t>SAIF EDDIN Jihad</t>
  </si>
  <si>
    <t>EL BEKRI Marieme</t>
  </si>
  <si>
    <t>FATEMI Imane</t>
  </si>
  <si>
    <t>KASSIMI Fatima-Zahra</t>
  </si>
  <si>
    <t>CHLIH Anass</t>
  </si>
  <si>
    <t>EL MANNANI Yassin</t>
  </si>
  <si>
    <t>BENHIDA Hamza</t>
  </si>
  <si>
    <t>El Boumahdi Meryem meryem</t>
  </si>
  <si>
    <t>Semmar Jihad</t>
  </si>
  <si>
    <t>Znaidi Chaimae</t>
  </si>
  <si>
    <t>El Ouachchama Jamal</t>
  </si>
  <si>
    <t>Benyoussef Yassine</t>
  </si>
  <si>
    <t>HAFID El Mehdi</t>
  </si>
  <si>
    <t>Benkhadaj Youness</t>
  </si>
  <si>
    <t>Addirai Karim</t>
  </si>
  <si>
    <t>ELAZREQ Karim</t>
  </si>
  <si>
    <t>BOUAZIZ Hassane</t>
  </si>
  <si>
    <t>Errajouany Meryem</t>
  </si>
  <si>
    <t>BOUSSETTA Taha</t>
  </si>
  <si>
    <t>SBAI Oumnia</t>
  </si>
  <si>
    <t>EL FASSI Imad</t>
  </si>
  <si>
    <t>CHAIBY Meryem</t>
  </si>
  <si>
    <t>LAALOU Yassire</t>
  </si>
  <si>
    <t>SABRI Zineb</t>
  </si>
  <si>
    <t>EL ALAOUI Aymane</t>
  </si>
  <si>
    <t>ALOUZ Sara</t>
  </si>
  <si>
    <t>ZERIOUHI Oussama</t>
  </si>
  <si>
    <t>ALCRDATE Khalil</t>
  </si>
  <si>
    <t>El Meskine Rachid</t>
  </si>
  <si>
    <t>ISMAILI Brahim</t>
  </si>
  <si>
    <t>SALMI Assia</t>
  </si>
  <si>
    <t>BERRI Yassine</t>
  </si>
  <si>
    <t>BOUJAOUB Anouar</t>
  </si>
  <si>
    <t>Riouch Sidi Mohamed Anass</t>
  </si>
  <si>
    <t>FAHIM Sarah</t>
  </si>
  <si>
    <t>NEJJAR Imane</t>
  </si>
  <si>
    <t>EL HARRECH Asmaâ</t>
  </si>
  <si>
    <t>Aouchichi Soukaïna</t>
  </si>
  <si>
    <t>REZZOUQI Ilyass</t>
  </si>
  <si>
    <t>Laghouati Fatima Zohra</t>
  </si>
  <si>
    <t>Atki Youness</t>
  </si>
  <si>
    <t>Boukil Kawtar</t>
  </si>
  <si>
    <t>TOULBI Zineb</t>
  </si>
  <si>
    <t>ElKoudry Hicham</t>
  </si>
  <si>
    <t>Hadri Fatima Zahra</t>
  </si>
  <si>
    <t>Nouma Marouan</t>
  </si>
  <si>
    <t>CHEDDIR Abderrahman</t>
  </si>
  <si>
    <t>AATABOU Hajar</t>
  </si>
  <si>
    <t>MBASSO Ilyass</t>
  </si>
  <si>
    <t>EL ASRI Salima</t>
  </si>
  <si>
    <t>BOUASSILA Mariyam</t>
  </si>
  <si>
    <t>DINIA Youness</t>
  </si>
  <si>
    <t>RACHIDI-ALAOUI Ilham</t>
  </si>
  <si>
    <t>AKESBI Mohammed Youssef</t>
  </si>
  <si>
    <t>ZAGDOUNI Salma</t>
  </si>
  <si>
    <t>CHABBI Mustapha</t>
  </si>
  <si>
    <t>El atmani Amine</t>
  </si>
  <si>
    <t>ABI Hamza</t>
  </si>
  <si>
    <t>EL MOUDNIB Mohamed Yassine</t>
  </si>
  <si>
    <t>AMRI Meryem</t>
  </si>
  <si>
    <t>BEN SALAH Mohamed Majd</t>
  </si>
  <si>
    <t>JIRRI Farah</t>
  </si>
  <si>
    <t>ZOUBIR Omar</t>
  </si>
  <si>
    <t>EL HATTAB Assmae</t>
  </si>
  <si>
    <t>MOUMEN Mohammed-Amine</t>
  </si>
  <si>
    <t>BENAMARA Imane</t>
  </si>
  <si>
    <t>BEN SALAH Yazid</t>
  </si>
  <si>
    <t>Salmi Safia</t>
  </si>
  <si>
    <t>Benabdelkader Rachida</t>
  </si>
  <si>
    <t>Farissi Jaafar</t>
  </si>
  <si>
    <t>MOULINE Hicham</t>
  </si>
  <si>
    <t>BOUGRINE Mohammed</t>
  </si>
  <si>
    <t>El Kahlaoui Imane</t>
  </si>
  <si>
    <t>Berrada Hanae</t>
  </si>
  <si>
    <t>MAHDI Imane</t>
  </si>
  <si>
    <t>EL OTMANI Soufiane</t>
  </si>
  <si>
    <t>Regragui Chaymae</t>
  </si>
  <si>
    <t>HONYA Badr</t>
  </si>
  <si>
    <t>EL MESTI Ayoub</t>
  </si>
  <si>
    <t>Sebti Ahmed</t>
  </si>
  <si>
    <t>Lazrag Hilmi</t>
  </si>
  <si>
    <t>NOUAR Meryem</t>
  </si>
  <si>
    <t>Sadki Achraf</t>
  </si>
  <si>
    <t>Guemra Ikrame</t>
  </si>
  <si>
    <t>Tadili Salma</t>
  </si>
  <si>
    <t>ZNIBER Mohammed Lotfi</t>
  </si>
  <si>
    <t>Semlali Samia</t>
  </si>
  <si>
    <t>LAHOUIR Omar</t>
  </si>
  <si>
    <t>EL MOUTCHOU Amine</t>
  </si>
  <si>
    <t>BENNIS Mohamed Taha</t>
  </si>
  <si>
    <t>LEMSEBBEL Soufiane</t>
  </si>
  <si>
    <t>BENHADDA Youssra</t>
  </si>
  <si>
    <t>EZZAIRI Mohamed</t>
  </si>
  <si>
    <t>HAMMOUCH Hanae</t>
  </si>
  <si>
    <t>FAROUKHI Sahar</t>
  </si>
  <si>
    <t>EDDIOURI Chaimae</t>
  </si>
  <si>
    <t>BENMACHI Hamza</t>
  </si>
  <si>
    <t>LAALOU Abderrahmane</t>
  </si>
  <si>
    <t>DADSI El Mehdi</t>
  </si>
  <si>
    <t>Nemmaoui Idriss</t>
  </si>
  <si>
    <t>Karioh Nouamane</t>
  </si>
  <si>
    <t>El Harouche Mehdi</t>
  </si>
  <si>
    <t>Takafi Mohamed Khalil</t>
  </si>
  <si>
    <t>Sabrei Soukayna</t>
  </si>
  <si>
    <t>BENNIS Mohamed Mehdi</t>
  </si>
  <si>
    <t>MANII Mohcine</t>
  </si>
  <si>
    <t>NAIM Amine</t>
  </si>
  <si>
    <t>Elidrissi Ismail</t>
  </si>
  <si>
    <t>Aboulaila Yassine</t>
  </si>
  <si>
    <t>CHERTI Hajar</t>
  </si>
  <si>
    <t>Kalali Omar</t>
  </si>
  <si>
    <t>DOUDA Ahmed-Amine</t>
  </si>
  <si>
    <t>MEKKAOUI ALAOUI Sofwa</t>
  </si>
  <si>
    <t>EL ALAMI Mohammed</t>
  </si>
  <si>
    <t>EL AAMRAOUI Zayneb</t>
  </si>
  <si>
    <t>Boudouh Abdelmajid</t>
  </si>
  <si>
    <t>Souteh Younes</t>
  </si>
  <si>
    <t>Es-Saadani Hicham</t>
  </si>
  <si>
    <t>El Aomariyine Youssef</t>
  </si>
  <si>
    <t>FDILI Ibtissam</t>
  </si>
  <si>
    <t>KHALDI Yassine</t>
  </si>
  <si>
    <t>Hakkari Badr</t>
  </si>
  <si>
    <t>MOUTAI Ghassan</t>
  </si>
  <si>
    <t>Karoumi Imane</t>
  </si>
  <si>
    <t>BELHASSAN Mohamed Amine</t>
  </si>
  <si>
    <t>Douich Allal</t>
  </si>
  <si>
    <t>Elkaouni Abderrazzak</t>
  </si>
  <si>
    <t>ELAMRANI Iliass</t>
  </si>
  <si>
    <t>JOUI Said</t>
  </si>
  <si>
    <t>BOUSSATA Achraf</t>
  </si>
  <si>
    <t>FAHIM Charif</t>
  </si>
  <si>
    <t>Benhsaien Abdelali</t>
  </si>
  <si>
    <t>JEAIT Jalal</t>
  </si>
  <si>
    <t>BOUKILI  CHABI Jaouad</t>
  </si>
  <si>
    <t>DAOUDI Mounat</t>
  </si>
  <si>
    <t>Moutaqi Othmane</t>
  </si>
  <si>
    <t>EL ATRI Hajar</t>
  </si>
  <si>
    <t>OUSSALEM Youness</t>
  </si>
  <si>
    <t>ROUIJEL Hamza</t>
  </si>
  <si>
    <t>HAJJANI Mehdi</t>
  </si>
  <si>
    <t>Bennouna Fatima Ezzahra</t>
  </si>
  <si>
    <t>El Hajhouj Saloua</t>
  </si>
  <si>
    <t>AMANAR Abderrahim</t>
  </si>
  <si>
    <t>EL AMRAOUI Fatima zahra</t>
  </si>
  <si>
    <t>Britel Kaoutar</t>
  </si>
  <si>
    <t>BEN MESSAOUD El Houssain</t>
  </si>
  <si>
    <t>El Ghannami Fatima Ezzahara</t>
  </si>
  <si>
    <t>Lazaar Nadia</t>
  </si>
  <si>
    <t>BOUACHA Majda</t>
  </si>
  <si>
    <t>Hani Wafaa</t>
  </si>
  <si>
    <t>Bendriss Hajar</t>
  </si>
  <si>
    <t>EL AMRI Hadia</t>
  </si>
  <si>
    <t>HAMDANE Nour el yakine</t>
  </si>
  <si>
    <t>Khallaayoun Anas</t>
  </si>
  <si>
    <t>Elabassi Walid</t>
  </si>
  <si>
    <t>Drissi Lahssini Sara</t>
  </si>
  <si>
    <t>Saidi Soukaina</t>
  </si>
  <si>
    <t>CHAHIDI Maryam</t>
  </si>
  <si>
    <t>El Hazime Marouane</t>
  </si>
  <si>
    <t>EL HALFAOUI Mohamed</t>
  </si>
  <si>
    <t>Tchafar Otmane</t>
  </si>
  <si>
    <t>BENCHEKROUN LAKRIMI Idriss</t>
  </si>
  <si>
    <t>ELFATIHI Moad</t>
  </si>
  <si>
    <t>SAIDI Yassine</t>
  </si>
  <si>
    <t>KAJJA Mohammed</t>
  </si>
  <si>
    <t>EL BOUKILI Mohamed Amine</t>
  </si>
  <si>
    <t>OUWAHBI Adil</t>
  </si>
  <si>
    <t>LIMOURI Naoufal</t>
  </si>
  <si>
    <t>Al Khodari Ahmed Nabil</t>
  </si>
  <si>
    <t>JALIL Fatiha</t>
  </si>
  <si>
    <t>TALBAOUI Imane</t>
  </si>
  <si>
    <t>OULAID Bader</t>
  </si>
  <si>
    <t>RAISSI Fatima-Zahrae</t>
  </si>
  <si>
    <t>ZAKI Hajar</t>
  </si>
  <si>
    <t>El Baqal Mustapha</t>
  </si>
  <si>
    <t>CHERKAOUI Fatima-Ezzahra</t>
  </si>
  <si>
    <t>FARIANE Hajar</t>
  </si>
  <si>
    <t>BOUHAFA Faissal</t>
  </si>
  <si>
    <t>Driane Ihsane</t>
  </si>
  <si>
    <t>MOUTAIB Sarra</t>
  </si>
  <si>
    <t>GUEDIRA Yousra</t>
  </si>
  <si>
    <t>Oukhach Samira</t>
  </si>
  <si>
    <t>HADRI Soukaina</t>
  </si>
  <si>
    <t>RAJI Imane</t>
  </si>
  <si>
    <t>Msala Mohammed Amine</t>
  </si>
  <si>
    <t>Touali Mohsine</t>
  </si>
  <si>
    <t>Bodor Ismail</t>
  </si>
  <si>
    <t>ELADIB Mouad</t>
  </si>
  <si>
    <t>Belhadi Saad</t>
  </si>
  <si>
    <t>Lahkim Bennani Réda</t>
  </si>
  <si>
    <t>AL KABBAB Mohammed</t>
  </si>
  <si>
    <t>Zouhair Hajar</t>
  </si>
  <si>
    <t>NIFER Meryem</t>
  </si>
  <si>
    <t>LANBOURI Yassine</t>
  </si>
  <si>
    <t>BATIOUA Imad</t>
  </si>
  <si>
    <t>LAHLOU Sara</t>
  </si>
  <si>
    <t>BIJJOU Manal</t>
  </si>
  <si>
    <t>RHERMINI Acheq</t>
  </si>
  <si>
    <t>EL HADRI Sara</t>
  </si>
  <si>
    <t>Chaib Sara</t>
  </si>
  <si>
    <t>HJIRA Ghita</t>
  </si>
  <si>
    <t>OUARAB Houda</t>
  </si>
  <si>
    <t>ISMAILI ALAOUI Ahmed</t>
  </si>
  <si>
    <t>SABIR Hafssa</t>
  </si>
  <si>
    <t>GOUIZA Youness</t>
  </si>
  <si>
    <t>RHYA Wissal</t>
  </si>
  <si>
    <t>BENLAMKADEM Ouadie</t>
  </si>
  <si>
    <t>GHARRAFI Zohair</t>
  </si>
  <si>
    <t>BOUJNOUN Nour Eddine</t>
  </si>
  <si>
    <t>ABESSI Nouhayla</t>
  </si>
  <si>
    <t>ELMTOUNI Loubna</t>
  </si>
  <si>
    <t>EL MERYBETY Hanane</t>
  </si>
  <si>
    <t>LAKSIR Loubna</t>
  </si>
  <si>
    <t>Chnaf Badr</t>
  </si>
  <si>
    <t>Ouadi Ouiame</t>
  </si>
  <si>
    <t>TEUKAP Toukap Guillaume Jessy</t>
  </si>
  <si>
    <t>SISSAH Nadir</t>
  </si>
  <si>
    <t>BOUKRICHA Mohamed</t>
  </si>
  <si>
    <t>Farih Soukaina</t>
  </si>
  <si>
    <t>Dounas Fatima Zohra</t>
  </si>
  <si>
    <t>MAMOUNI Sara</t>
  </si>
  <si>
    <t>Diop Ahmadou Moustapha</t>
  </si>
  <si>
    <t>Khoui Safa</t>
  </si>
  <si>
    <t>Malali Faiçal</t>
  </si>
  <si>
    <t>BOURI Yahya</t>
  </si>
  <si>
    <t>Hamani Abdou Aboubacar</t>
  </si>
  <si>
    <t>TABARAK Youssef</t>
  </si>
  <si>
    <t>JKAOUA Touria</t>
  </si>
  <si>
    <t>Elanbri Imad</t>
  </si>
  <si>
    <t>SOFAINY Anass</t>
  </si>
  <si>
    <t>GAZANAYI MOUNIR</t>
  </si>
  <si>
    <t>EL BOUSSLAMTI Mohammed</t>
  </si>
  <si>
    <t>MESSOUSSI Lamiae</t>
  </si>
  <si>
    <t>RECHAM Ayoub</t>
  </si>
  <si>
    <t>ENNEBET Hamza</t>
  </si>
  <si>
    <t>LARABI Chihab Eddine</t>
  </si>
  <si>
    <t>EL AMRANI Khaoula</t>
  </si>
  <si>
    <t>SEGHIOUER Tarik</t>
  </si>
  <si>
    <t>Bouanani Oualid</t>
  </si>
  <si>
    <t>Houssaine Kdidar</t>
  </si>
  <si>
    <t>Assellaoui Said</t>
  </si>
  <si>
    <t>DAMRANI Jaouad</t>
  </si>
  <si>
    <t>GLIOUI Hamza</t>
  </si>
  <si>
    <t>HACHAMI Saad</t>
  </si>
  <si>
    <t>Azzouzi Tariq</t>
  </si>
  <si>
    <t>ZBAIRI Rabigh</t>
  </si>
  <si>
    <t>ELHAKIM Ikrame</t>
  </si>
  <si>
    <t>EL MORJANE Malak</t>
  </si>
  <si>
    <t>Benrida Mohamed</t>
  </si>
  <si>
    <t>RAJI Mohamed Nabil</t>
  </si>
  <si>
    <t>BOUSNANE Maryam</t>
  </si>
  <si>
    <t>BENNANI Amine</t>
  </si>
  <si>
    <t>Benoit Vincent</t>
  </si>
  <si>
    <t>IDRISSI KHAMLICHI Mouad</t>
  </si>
  <si>
    <t>ED DAHBY Aicha</t>
  </si>
  <si>
    <t>Younes Amir</t>
  </si>
  <si>
    <t>BOUZAIDI-CHEIKHI Anass</t>
  </si>
  <si>
    <t>BOUALLA Dounia</t>
  </si>
  <si>
    <t>LAAMECH Nouha</t>
  </si>
  <si>
    <t>MOKHTARI Lamyae</t>
  </si>
  <si>
    <t>MESBAHI-AOUAM Hamza</t>
  </si>
  <si>
    <t>HAMAMA Sara</t>
  </si>
  <si>
    <t>GHAMMAD Marouane</t>
  </si>
  <si>
    <t>SINABA Aissata</t>
  </si>
  <si>
    <t>MAKABA Daniel</t>
  </si>
  <si>
    <t>MEGZARI Chakir</t>
  </si>
  <si>
    <t>Aazizi Othmane</t>
  </si>
  <si>
    <t>BA-OTMAN Farah</t>
  </si>
  <si>
    <t>Admi Mohamed</t>
  </si>
  <si>
    <t>KORCHI Ayoub</t>
  </si>
  <si>
    <t>HAMIDA Sara</t>
  </si>
  <si>
    <t>BENJELLOUN Fatima-Zahra</t>
  </si>
  <si>
    <t>Elmellah Zeineb</t>
  </si>
  <si>
    <t>Benslimane Ghita</t>
  </si>
  <si>
    <t>Bennis Imad</t>
  </si>
  <si>
    <t>Ibrahimi Nourelhouda</t>
  </si>
  <si>
    <t>Hmamed Wafae</t>
  </si>
  <si>
    <t>Eddarraz Mouad</t>
  </si>
  <si>
    <t>Bennani Mehdi</t>
  </si>
  <si>
    <t>Elkharrat Issam</t>
  </si>
  <si>
    <t>Karkach Mohamed</t>
  </si>
  <si>
    <t>MOUHIM YOUNESS</t>
  </si>
  <si>
    <t>Lazaar Kawtar</t>
  </si>
  <si>
    <t>Figuigui Hamza</t>
  </si>
  <si>
    <t>Naoum Mohammed</t>
  </si>
  <si>
    <t>Belkhayat Zouggari Idriss</t>
  </si>
  <si>
    <t>LOUDIY Sara</t>
  </si>
  <si>
    <t>Amrani Mohammed</t>
  </si>
  <si>
    <t>Lamkadem Redouane</t>
  </si>
  <si>
    <t>TOUFFAHI Mohamed</t>
  </si>
  <si>
    <t>El Malki El Haouari</t>
  </si>
  <si>
    <t>Lotfi Mohamed</t>
  </si>
  <si>
    <t>AMAL Tarik</t>
  </si>
  <si>
    <t>EL FASSI Hafsa</t>
  </si>
  <si>
    <t>KHEMLICHI Firdaous</t>
  </si>
  <si>
    <t>TAJMOUATI Hind</t>
  </si>
  <si>
    <t>SOULAIMANI ALAOUI Fadwa</t>
  </si>
  <si>
    <t>EL OMARI Saleh</t>
  </si>
  <si>
    <t>BERRADA Lina</t>
  </si>
  <si>
    <t>KARYM Dounia</t>
  </si>
  <si>
    <t>BASRI Taha</t>
  </si>
  <si>
    <t>EL YOUSFI EL FILALI Houda</t>
  </si>
  <si>
    <t>BERRADA Latifa</t>
  </si>
  <si>
    <t>ADNANE Aicha</t>
  </si>
  <si>
    <t>OMARI Fatima</t>
  </si>
  <si>
    <t>IHAMJI Mustapha</t>
  </si>
  <si>
    <t>EL JADIDI ALAOUI Sadik</t>
  </si>
  <si>
    <t>EL MISSI Omaima</t>
  </si>
  <si>
    <t>Jawhar Mohamed</t>
  </si>
  <si>
    <t>BENSEDDIK Hanae</t>
  </si>
  <si>
    <t>BOUHALI Hajar</t>
  </si>
  <si>
    <t>EL YAMANI Imad</t>
  </si>
  <si>
    <t>HANINY Mohamed</t>
  </si>
  <si>
    <t>OUARDI Mohammed</t>
  </si>
  <si>
    <t>HMIDANI Hassan</t>
  </si>
  <si>
    <t>BIJJOU CHAYMAE</t>
  </si>
  <si>
    <t>ALAOUI CHRIFI Soumaya</t>
  </si>
  <si>
    <t>Tazi Ahmed</t>
  </si>
  <si>
    <t>LAKHAL Majda</t>
  </si>
  <si>
    <t>TABIBOU El Matinou Mze</t>
  </si>
  <si>
    <t>LAHMAMSI Khaoula</t>
  </si>
  <si>
    <t>SAADAOUI Salma</t>
  </si>
  <si>
    <t>Siffar Chaimae</t>
  </si>
  <si>
    <t>Niouri Mohammed</t>
  </si>
  <si>
    <t>Raillani Brahim</t>
  </si>
  <si>
    <t>Boujra Halima</t>
  </si>
  <si>
    <t>Abarou Salma</t>
  </si>
  <si>
    <t>El Bakkari Imad</t>
  </si>
  <si>
    <t>El Fallah Meryem</t>
  </si>
  <si>
    <t>Boudouik Mazin</t>
  </si>
  <si>
    <t>Charaf Zouhair</t>
  </si>
  <si>
    <t>KHATTABI FILALI Houda</t>
  </si>
  <si>
    <t>El Ouardi Khalid</t>
  </si>
  <si>
    <t>EL AMRANI Khadija</t>
  </si>
  <si>
    <t>EL HARRASS YASSINE</t>
  </si>
  <si>
    <t>BOUNAKHLA Badr-eddine</t>
  </si>
  <si>
    <t>FAYADHU Issa</t>
  </si>
  <si>
    <t>ZYDANE Sara</t>
  </si>
  <si>
    <t>Ameli Imane</t>
  </si>
  <si>
    <t>Zouhir Hicham</t>
  </si>
  <si>
    <t>FARRAT Karim</t>
  </si>
  <si>
    <t>ELKHANCHOUFI Mohamed Rida</t>
  </si>
  <si>
    <t>HMIDACHE Abdessamad</t>
  </si>
  <si>
    <t>HADACHI Sanae</t>
  </si>
  <si>
    <t>OUAHB ZAINAB</t>
  </si>
  <si>
    <t>DADI Ayoub</t>
  </si>
  <si>
    <t>BARBOUCH Mostafa</t>
  </si>
  <si>
    <t>Belqaid Hamza</t>
  </si>
  <si>
    <t>EL GHAZI Younes</t>
  </si>
  <si>
    <t>HANSABI Safaa</t>
  </si>
  <si>
    <t>El Ansari Abdelali</t>
  </si>
  <si>
    <t>EL KHAMLICHI Hatim</t>
  </si>
  <si>
    <t>SALIH Zineb</t>
  </si>
  <si>
    <t>Soussane Sofia</t>
  </si>
  <si>
    <t>ABOU EL OUYOUN Hajar</t>
  </si>
  <si>
    <t>Touami Mohamed Karim</t>
  </si>
  <si>
    <t>CHIHEB Hajar</t>
  </si>
  <si>
    <t>BOUAYOUN Khawla</t>
  </si>
  <si>
    <t>Zniber Lamia</t>
  </si>
  <si>
    <t>Brimi Chaimae</t>
  </si>
  <si>
    <t>OUARIT Abdelhadi</t>
  </si>
  <si>
    <t>Atraoui Fatima Zahra</t>
  </si>
  <si>
    <t>AGOUNINE Sara</t>
  </si>
  <si>
    <t>SAHNOUN Safa</t>
  </si>
  <si>
    <t>Berrada Kenza</t>
  </si>
  <si>
    <t>KHAYAT Jaber</t>
  </si>
  <si>
    <t>Douhaibi Zakaria</t>
  </si>
  <si>
    <t>Chaouch Bouchra</t>
  </si>
  <si>
    <t>Matrane Hasnaa</t>
  </si>
  <si>
    <t>SAFEH Nisrine</t>
  </si>
  <si>
    <t>Arjouzi Imane</t>
  </si>
  <si>
    <t>EL ALAMI FERRICHA Loubna</t>
  </si>
  <si>
    <t>Ouqezza Nadia</t>
  </si>
  <si>
    <t>Lazrak Fatine</t>
  </si>
  <si>
    <t>Zdeg Samiha</t>
  </si>
  <si>
    <t>Kouiss Saida</t>
  </si>
  <si>
    <t>Ouassou Mounia</t>
  </si>
  <si>
    <t>Louaman Laila</t>
  </si>
  <si>
    <t>Diyani Laila</t>
  </si>
  <si>
    <t>Merzak Amal</t>
  </si>
  <si>
    <t>Chaoui Loubna</t>
  </si>
  <si>
    <t>Belferhat Asmaa</t>
  </si>
  <si>
    <t>BELMEHDI Hicham</t>
  </si>
  <si>
    <t>AOUBID Assia</t>
  </si>
  <si>
    <t>Nafiss Zineb</t>
  </si>
  <si>
    <t>CHAIBOUB Abir</t>
  </si>
  <si>
    <t>BENI M'HAMMED SOUMAYA</t>
  </si>
  <si>
    <t>BOULILA Naoual</t>
  </si>
  <si>
    <t>Bendaou Meryem</t>
  </si>
  <si>
    <t>Koutaib Mounia</t>
  </si>
  <si>
    <t>Assadougui Abdesslam</t>
  </si>
  <si>
    <t>Dibe Safia</t>
  </si>
  <si>
    <t>Zorqany Mohamed</t>
  </si>
  <si>
    <t>Hamzane Abdelhak</t>
  </si>
  <si>
    <t>Awane Taoufik</t>
  </si>
  <si>
    <t>Talbi Hajar</t>
  </si>
  <si>
    <t>Boutekna Yassine</t>
  </si>
  <si>
    <t>Mharzi Hassan</t>
  </si>
  <si>
    <t>Ansali Zakaria</t>
  </si>
  <si>
    <t>MAKRAT Chaimaa</t>
  </si>
  <si>
    <t>Quarroussi Amine</t>
  </si>
  <si>
    <t>Nader Othman</t>
  </si>
  <si>
    <t>MOUFTAKIR Afaf</t>
  </si>
  <si>
    <t>QUARROUSSI Oussama</t>
  </si>
  <si>
    <t>RADOUANE Widad</t>
  </si>
  <si>
    <t>Faiq Sanaa</t>
  </si>
  <si>
    <t>Sahnouni Laila</t>
  </si>
  <si>
    <t>ZOUBIR Soukaina</t>
  </si>
  <si>
    <t>Oujdi Hamza</t>
  </si>
  <si>
    <t>Wassate Kholoud</t>
  </si>
  <si>
    <t>Naciri Othmane</t>
  </si>
  <si>
    <t>FARKCHI Imane</t>
  </si>
  <si>
    <t>Saih Ibtissam</t>
  </si>
  <si>
    <t>Gahiri Jalal</t>
  </si>
  <si>
    <t>ERRIANI Chaimaa</t>
  </si>
  <si>
    <t>Lbrini Omaima</t>
  </si>
  <si>
    <t>EL GOURTY Mohamed</t>
  </si>
  <si>
    <t>SEKNOUN Sara</t>
  </si>
  <si>
    <t>CHARY Amal</t>
  </si>
  <si>
    <t>HAMZAOUI OUALID</t>
  </si>
  <si>
    <t>Berrada Mohamed el ghali</t>
  </si>
  <si>
    <t>Nait Nadir Ahmed</t>
  </si>
  <si>
    <t>AMMOR KENZA</t>
  </si>
  <si>
    <t>Zarhloul Noureddine</t>
  </si>
  <si>
    <t>LEMSEFFER HOUSSAINI Salima</t>
  </si>
  <si>
    <t>Dadda Fatima Zahrae</t>
  </si>
  <si>
    <t>BENSAID Rita</t>
  </si>
  <si>
    <t>DINARY Ayoub</t>
  </si>
  <si>
    <t>Boussagui Aicha</t>
  </si>
  <si>
    <t>Hachimi Idrissi Safaa</t>
  </si>
  <si>
    <t>LERHZAOUNI Mehdi</t>
  </si>
  <si>
    <t>Oumali Safae</t>
  </si>
  <si>
    <t>Boulhimez Dilal Tamalout</t>
  </si>
  <si>
    <t>HARRAG Nazik</t>
  </si>
  <si>
    <t>Bchiri Mohamed</t>
  </si>
  <si>
    <t>EL HADDOUTI IMAN</t>
  </si>
  <si>
    <t>HAJAR Ourich</t>
  </si>
  <si>
    <t>Transfert international entrant*</t>
  </si>
  <si>
    <t>International Transfer*</t>
  </si>
  <si>
    <t>Staff number</t>
  </si>
  <si>
    <t>M8T8W8T8F8</t>
  </si>
  <si>
    <t>007 Trainee</t>
  </si>
  <si>
    <t>Correction or Update</t>
  </si>
  <si>
    <t xml:space="preserve">Correction </t>
  </si>
  <si>
    <t xml:space="preserve">Avenant </t>
  </si>
  <si>
    <t xml:space="preserve">Embauche </t>
  </si>
  <si>
    <t>Matricule (En cas de Correction/mise à jour/avenant/réembauche)</t>
  </si>
  <si>
    <t>Staff Number (Correction/Update/Rehire/amendment letter)*</t>
  </si>
  <si>
    <t xml:space="preserve">Mise à jour </t>
  </si>
  <si>
    <t>ID Candidat Njoyn*</t>
  </si>
  <si>
    <t>ID Candidate Njoyn*</t>
  </si>
  <si>
    <t>Famille de métier*</t>
  </si>
  <si>
    <t>Grade*</t>
  </si>
  <si>
    <t>Domaine d’expertise*</t>
  </si>
  <si>
    <t>Salary Admin Plan*</t>
  </si>
  <si>
    <t>Réalisation Projets &amp; Services</t>
  </si>
  <si>
    <t>RPS</t>
  </si>
  <si>
    <t>Conseil en Management</t>
  </si>
  <si>
    <t>CEM</t>
  </si>
  <si>
    <t>Conseil en Solution &amp; Digital</t>
  </si>
  <si>
    <t>CSD</t>
  </si>
  <si>
    <t>Conseil &amp; Expertise Technique</t>
  </si>
  <si>
    <t>CET</t>
  </si>
  <si>
    <t>Gestion Projets &amp; Services</t>
  </si>
  <si>
    <t>GPS</t>
  </si>
  <si>
    <t>Management Général</t>
  </si>
  <si>
    <t>MGE</t>
  </si>
  <si>
    <t>Sans famille</t>
  </si>
  <si>
    <t>SFA</t>
  </si>
  <si>
    <t>M4AA</t>
  </si>
  <si>
    <t>M4AE</t>
  </si>
  <si>
    <t>M4DD</t>
  </si>
  <si>
    <t>M4FM</t>
  </si>
  <si>
    <t>M4GP</t>
  </si>
  <si>
    <t>M4GS</t>
  </si>
  <si>
    <t>M4IR</t>
  </si>
  <si>
    <t>M4SD</t>
  </si>
  <si>
    <t>M4SO</t>
  </si>
  <si>
    <t>Morocco 40 Hours</t>
  </si>
  <si>
    <t>40H</t>
  </si>
  <si>
    <t>Solution</t>
  </si>
  <si>
    <t>Archi &amp; Expertises Tech</t>
  </si>
  <si>
    <t>Archi Applicative &amp; Dév</t>
  </si>
  <si>
    <t>Digital &amp; Data</t>
  </si>
  <si>
    <t>Fonctionnel &amp; Méthodologie</t>
  </si>
  <si>
    <t>Gestion de Projet</t>
  </si>
  <si>
    <t>Gestion des Services</t>
  </si>
  <si>
    <t>Infra, Réseau &amp; Sécurité</t>
  </si>
  <si>
    <t>Sans Domaine d'expertise</t>
  </si>
  <si>
    <t>Level (not applicable for trainee)</t>
  </si>
  <si>
    <t>Niveau (ne concerne pas les stagiaire)</t>
  </si>
  <si>
    <t>Agent(e) de Support Junior</t>
  </si>
  <si>
    <t>d'Agent(e) de Support Junior</t>
  </si>
  <si>
    <t>d'Agente de Support Junior</t>
  </si>
  <si>
    <r>
      <t>Agent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de Support</t>
    </r>
  </si>
  <si>
    <t>d'Agent de Support</t>
  </si>
  <si>
    <t>d'Agente de Support</t>
  </si>
  <si>
    <t>d'Agent(e) de Support</t>
  </si>
  <si>
    <r>
      <t>Chargé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de Projet</t>
    </r>
    <r>
      <rPr>
        <strike/>
        <sz val="11"/>
        <color rgb="FFFF0000"/>
        <rFont val="Calibri"/>
        <family val="2"/>
        <scheme val="minor"/>
      </rPr>
      <t>s</t>
    </r>
  </si>
  <si>
    <t>de Chargée de Projet</t>
  </si>
  <si>
    <t>de Chargé(e) de Projets</t>
  </si>
  <si>
    <t>Chargé(e) des Services Applicatifs</t>
  </si>
  <si>
    <t>de Chargé des Services Applicatifs</t>
  </si>
  <si>
    <t>de Chargée des Services Applicatifs</t>
  </si>
  <si>
    <t>de Chargé(e) des Services Applicatifs</t>
  </si>
  <si>
    <r>
      <t>Chef</t>
    </r>
    <r>
      <rPr>
        <sz val="11"/>
        <color rgb="FFFF0000"/>
        <rFont val="Calibri"/>
        <family val="2"/>
        <scheme val="minor"/>
      </rPr>
      <t>(fe)</t>
    </r>
    <r>
      <rPr>
        <sz val="11"/>
        <rFont val="Calibri"/>
        <family val="2"/>
        <scheme val="minor"/>
      </rPr>
      <t xml:space="preserve"> de Projet</t>
    </r>
    <r>
      <rPr>
        <strike/>
        <sz val="11"/>
        <color rgb="FFFF0000"/>
        <rFont val="Calibri"/>
        <family val="2"/>
        <scheme val="minor"/>
      </rPr>
      <t>s</t>
    </r>
  </si>
  <si>
    <t>de Cheffe de Projet</t>
  </si>
  <si>
    <t>de Chef(fe) de Projets</t>
  </si>
  <si>
    <t>Chef(fe) des Services Applicatifs</t>
  </si>
  <si>
    <t>de Chef des Services Applicatifs</t>
  </si>
  <si>
    <t>de Cheffe des Services Applicatifs</t>
  </si>
  <si>
    <t>de Chef(fe) des Services Applicatifs</t>
  </si>
  <si>
    <t>Consultant(e) Digital &amp; Data</t>
  </si>
  <si>
    <t>de Consultant Digital &amp; Data</t>
  </si>
  <si>
    <t>de Consultante Digital &amp; Data</t>
  </si>
  <si>
    <t>de Consultant(e) Digital &amp; Data</t>
  </si>
  <si>
    <t>Consultant(e) Fonctionnel &amp; Méthodologie</t>
  </si>
  <si>
    <t>de Consultant Fonctionnel &amp; Méthodologie</t>
  </si>
  <si>
    <t>de Consultante Fonctionnel &amp; Méthodologie</t>
  </si>
  <si>
    <t>de Consultant(e) Fonctionnel &amp; Méthodologie</t>
  </si>
  <si>
    <t>Consultant(e) Junior Digital &amp; Data</t>
  </si>
  <si>
    <t>de Consultant Junior Digital &amp; Data</t>
  </si>
  <si>
    <t>de Consultante Junior Digital &amp; Data</t>
  </si>
  <si>
    <t>de Consultant(e) Junior Digital &amp; Data</t>
  </si>
  <si>
    <t>Consultant(e) Junior Fonctionnel &amp; Méthodologie</t>
  </si>
  <si>
    <t>de Consultant Junior Fonctionnel &amp; Méthodologie</t>
  </si>
  <si>
    <t>de Consultante Junior Fonctionnel &amp; Méthodologie</t>
  </si>
  <si>
    <t>de Consultant(e) Junior Fonctionnel &amp; Méthodologie</t>
  </si>
  <si>
    <t>Consultant(e) Junior en Management</t>
  </si>
  <si>
    <t>de Consultant Junior en Management</t>
  </si>
  <si>
    <t>de Consultante Junior en Management</t>
  </si>
  <si>
    <t>de Consultant(e) Junior en Management</t>
  </si>
  <si>
    <t>Consultant(e) Junior en Management Débutant</t>
  </si>
  <si>
    <t>de Consultant Junior en Management Débutant</t>
  </si>
  <si>
    <t>de Consultante Junior en Management Débutant</t>
  </si>
  <si>
    <t>de Consultant(e) Junior en Management Débutant</t>
  </si>
  <si>
    <r>
      <t>Consultant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Junior Solution </t>
    </r>
  </si>
  <si>
    <t xml:space="preserve">de Consultant Junior Solution </t>
  </si>
  <si>
    <t xml:space="preserve">de Consultante Junior Solution </t>
  </si>
  <si>
    <t xml:space="preserve">de Consultant(e) Junior Solution </t>
  </si>
  <si>
    <t>Consultant(e) en Management</t>
  </si>
  <si>
    <t>de Consultant en Management</t>
  </si>
  <si>
    <t>de Consultante en Management</t>
  </si>
  <si>
    <t>de Consultant(e) en Management</t>
  </si>
  <si>
    <t>Consultant(e) Senior Digital &amp; Data</t>
  </si>
  <si>
    <t>de Consultant Senior Digital &amp; Data</t>
  </si>
  <si>
    <t>de Consultante Senior Digital &amp; Data</t>
  </si>
  <si>
    <t>de Consultant(e) Senior Digital &amp; Data</t>
  </si>
  <si>
    <t>Consultant(e) Senior Fonctionnel &amp; Méthodologie</t>
  </si>
  <si>
    <t>de Consultant Senior Fonctionnel &amp; Méthodologie</t>
  </si>
  <si>
    <t>de Consultante Senior Fonctionnel &amp; Méthodologie</t>
  </si>
  <si>
    <t>de Consultant(e) Senior Fonctionnel &amp; Méthodologie</t>
  </si>
  <si>
    <t>Consultant(e) Sénior en Management</t>
  </si>
  <si>
    <t>de Consultant Senior en Management</t>
  </si>
  <si>
    <t>de Consultante Senior en Management</t>
  </si>
  <si>
    <t>de Consultant(e) Sénior en Management</t>
  </si>
  <si>
    <r>
      <t>Consultant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Senior Solution</t>
    </r>
  </si>
  <si>
    <t>de Consultant Senior Solution</t>
  </si>
  <si>
    <t>de Consultante Senior Solution</t>
  </si>
  <si>
    <t>de Consultant(e) Senior Solution</t>
  </si>
  <si>
    <r>
      <t>Consultant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Solution</t>
    </r>
  </si>
  <si>
    <t>de Consultant Solution</t>
  </si>
  <si>
    <t>de Consultante Solution</t>
  </si>
  <si>
    <t>de Consultant(e) Solution</t>
  </si>
  <si>
    <r>
      <t>Développeur</t>
    </r>
    <r>
      <rPr>
        <sz val="11"/>
        <color rgb="FFFF0000"/>
        <rFont val="Calibri"/>
        <family val="2"/>
        <scheme val="minor"/>
      </rPr>
      <t>(euse)</t>
    </r>
  </si>
  <si>
    <t>de Développeur</t>
  </si>
  <si>
    <t>de Développeuse</t>
  </si>
  <si>
    <t>de Développeur(euse)</t>
  </si>
  <si>
    <t>Développeur(euse) Junior</t>
  </si>
  <si>
    <t>de Développeur Junior</t>
  </si>
  <si>
    <t>de Développeuse Junior</t>
  </si>
  <si>
    <t>de Développeur(euse) Junior</t>
  </si>
  <si>
    <t>Directeur(trice) Conseil Delivery</t>
  </si>
  <si>
    <t>de Directeur Conseil Delivery</t>
  </si>
  <si>
    <t>de Directrice Conseil Delivery</t>
  </si>
  <si>
    <t>de Directeur(trice) Conseil Delivery</t>
  </si>
  <si>
    <t>Directeur(trice) Conseil Expert</t>
  </si>
  <si>
    <t>de Directeur Conseil Expert</t>
  </si>
  <si>
    <t>de Directrice Conseil Expert</t>
  </si>
  <si>
    <t>de Directeur(trice) Conseil Expert</t>
  </si>
  <si>
    <t>Directeur(trice) Conseil Expert Senior</t>
  </si>
  <si>
    <t>de Directeur Conseil Expert Senior</t>
  </si>
  <si>
    <t>de Directrice Conseil Expert Senior</t>
  </si>
  <si>
    <t>de Directeur(trice) Conseil Expert Senior</t>
  </si>
  <si>
    <t>Directeur(trice) Services Conseils</t>
  </si>
  <si>
    <t>de Directeur Services Conseils</t>
  </si>
  <si>
    <t>de Directrice Services Conseils</t>
  </si>
  <si>
    <t>de Directeur(trice) Services Conseils</t>
  </si>
  <si>
    <r>
      <t>Directeur</t>
    </r>
    <r>
      <rPr>
        <sz val="11"/>
        <color rgb="FFFF0000"/>
        <rFont val="Calibri"/>
        <family val="2"/>
        <scheme val="minor"/>
      </rPr>
      <t>(trice)</t>
    </r>
    <r>
      <rPr>
        <sz val="11"/>
        <rFont val="Calibri"/>
        <family val="2"/>
        <scheme val="minor"/>
      </rPr>
      <t xml:space="preserve"> de Projet</t>
    </r>
    <r>
      <rPr>
        <strike/>
        <sz val="11"/>
        <color rgb="FFFF0000"/>
        <rFont val="Calibri"/>
        <family val="2"/>
        <scheme val="minor"/>
      </rPr>
      <t>s</t>
    </r>
  </si>
  <si>
    <t>de Directrice de Projet</t>
  </si>
  <si>
    <t>de Directeur(trice) de Projets</t>
  </si>
  <si>
    <r>
      <t>Directeur</t>
    </r>
    <r>
      <rPr>
        <sz val="11"/>
        <color rgb="FFFF0000"/>
        <rFont val="Calibri"/>
        <family val="2"/>
        <scheme val="minor"/>
      </rPr>
      <t>(trice)</t>
    </r>
    <r>
      <rPr>
        <sz val="11"/>
        <rFont val="Calibri"/>
        <family val="2"/>
        <scheme val="minor"/>
      </rPr>
      <t xml:space="preserve"> de Projet Sénior</t>
    </r>
  </si>
  <si>
    <t>de Directeur de Projet Senior</t>
  </si>
  <si>
    <t>de Directrice de Projet Senior</t>
  </si>
  <si>
    <t>de Directeur(trice) de Projet Sénior</t>
  </si>
  <si>
    <t>Directeur(trice) des Services Applicatifs Sénior</t>
  </si>
  <si>
    <t>de Directeur des Services Applicatifs Senior</t>
  </si>
  <si>
    <t>de Directrice des Services Applicatifs Senior</t>
  </si>
  <si>
    <t>de Directeur(trice) des Services Applicatifs Sénior</t>
  </si>
  <si>
    <t>Directeur(trice) des Services Applicatifs</t>
  </si>
  <si>
    <t>de Directeur des Services Applicatifs</t>
  </si>
  <si>
    <t>de Directrice des Services Applicatifs</t>
  </si>
  <si>
    <t>de Directeur(trice) des Services Applicatifs</t>
  </si>
  <si>
    <t xml:space="preserve">Expert(e) technique Junior </t>
  </si>
  <si>
    <t xml:space="preserve">d'Expert Technique Junior </t>
  </si>
  <si>
    <t xml:space="preserve">d'Experte Technique Junior </t>
  </si>
  <si>
    <t xml:space="preserve">d'Expert(e) technique Junior </t>
  </si>
  <si>
    <t>Expert(e) technique Junior Archi. applicative &amp; dév</t>
  </si>
  <si>
    <t>d'Expert Technique Junior Architecture Applicative et Développement</t>
  </si>
  <si>
    <t>d'Experte Technique Junior Architecture Applicative et Développement</t>
  </si>
  <si>
    <t>d'Expert(e) technique Junior Archi. applicative &amp; dév</t>
  </si>
  <si>
    <t>Expert(e)  technique Junior Infra/Sécu/Réseau</t>
  </si>
  <si>
    <t>d'Expert Technique Junior Infra/Sécu/Réseau</t>
  </si>
  <si>
    <t>d'Experte Technique Junior Infra/Sécu/Réseau</t>
  </si>
  <si>
    <t>d'Expert(e)  technique Junior Infra/Sécu/Réseau</t>
  </si>
  <si>
    <t>Expert(e) Technique Senior</t>
  </si>
  <si>
    <t>d'Expert Technique Senior</t>
  </si>
  <si>
    <t>d'Experte Technique Senior</t>
  </si>
  <si>
    <t>d'Expert(e) Technique Senior</t>
  </si>
  <si>
    <t>Expert(e) Technique Senior Archi. applicative &amp; dév</t>
  </si>
  <si>
    <t>d'Expert Technique Senior  Architecture Applicative et Développement</t>
  </si>
  <si>
    <t>d'Experte Technique Senior  Architecture Applicative et Développement</t>
  </si>
  <si>
    <t>d'Expert(e) Technique Senior Archi. applicative &amp; dév</t>
  </si>
  <si>
    <t>Expert(e) Technique Senior  Infra/Sécu/Réseau</t>
  </si>
  <si>
    <t>d'Expert Technique Senior Infra/Sécu/Réseau</t>
  </si>
  <si>
    <t>d'Experte Technique Senior Infra/Sécu/Réseau</t>
  </si>
  <si>
    <t>d'Expert(e) Technique Senior  Infra/Sécu/Réseau</t>
  </si>
  <si>
    <r>
      <t>Expert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technique</t>
    </r>
  </si>
  <si>
    <t>d'Experte Technique</t>
  </si>
  <si>
    <t>d'Expert(e) technique</t>
  </si>
  <si>
    <t>Expert(e) Technique Architecture applicative &amp; dév</t>
  </si>
  <si>
    <t>d'Expert Technique Architecture Applicative et Développement</t>
  </si>
  <si>
    <t>d'Experte Technique Architecture Applicative et Développement</t>
  </si>
  <si>
    <t>d'Expert(e) Technique Architecture applicative &amp; dév</t>
  </si>
  <si>
    <t>Expert(e) technique Infra/Sécu/Réseau</t>
  </si>
  <si>
    <t>d'Expert Technique Infra/Sécu/Réseau</t>
  </si>
  <si>
    <t>d'Experte Technique Infra/Sécu/Réseau</t>
  </si>
  <si>
    <t>d'Expert(e) technique Infra/Sécu/Réseau</t>
  </si>
  <si>
    <r>
      <t>Ingénieur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en Technologie de l’Information</t>
    </r>
  </si>
  <si>
    <t>d'Ingénieur en Technologie de l’Information</t>
  </si>
  <si>
    <t>d'Ingénieure en Technologie de l’Information</t>
  </si>
  <si>
    <t>d'Ingénieur(e) en Technologie de l’Information</t>
  </si>
  <si>
    <r>
      <t>Ingénieur</t>
    </r>
    <r>
      <rPr>
        <sz val="11"/>
        <color rgb="FFFF0000"/>
        <rFont val="Calibri"/>
        <family val="2"/>
      </rPr>
      <t>(e)</t>
    </r>
    <r>
      <rPr>
        <sz val="11"/>
        <rFont val="Calibri"/>
        <family val="2"/>
      </rPr>
      <t xml:space="preserve"> en Technologie de l’Information Junior</t>
    </r>
  </si>
  <si>
    <t>d'Ingénieur en Technologie de l’Information Junior</t>
  </si>
  <si>
    <t>d'Ingénieure en Technologie de l’Information Junior</t>
  </si>
  <si>
    <t>d'Ingénieur(e) en Technologie de l’Information Junior</t>
  </si>
  <si>
    <t>Ingénieur(e) Support Junior</t>
  </si>
  <si>
    <t>d'Ingénieur Support Junior</t>
  </si>
  <si>
    <t>d'Ingénieure Support Junior</t>
  </si>
  <si>
    <t>d'Ingénieur(e) Support Junior</t>
  </si>
  <si>
    <t>Ingénieur(e) Technique Junior</t>
  </si>
  <si>
    <t>d'Ingénieur Technique Junior</t>
  </si>
  <si>
    <t>d'Ingénieure Technique Junior</t>
  </si>
  <si>
    <t>d'Ingénieur(e) Technique Junior</t>
  </si>
  <si>
    <r>
      <t>Ingénieur</t>
    </r>
    <r>
      <rPr>
        <sz val="11"/>
        <color rgb="FFFF0000"/>
        <rFont val="Calibri"/>
        <family val="2"/>
        <scheme val="minor"/>
      </rPr>
      <t>(e)</t>
    </r>
    <r>
      <rPr>
        <sz val="11"/>
        <rFont val="Calibri"/>
        <family val="2"/>
        <scheme val="minor"/>
      </rPr>
      <t xml:space="preserve"> Support</t>
    </r>
  </si>
  <si>
    <t>d'Ingénieure Support</t>
  </si>
  <si>
    <t>d'Ingénieur(e) Support</t>
  </si>
  <si>
    <t>Ingénieur(e) Technique</t>
  </si>
  <si>
    <t>d'Ingénieur Technique</t>
  </si>
  <si>
    <t>d'Ingénieure Technique</t>
  </si>
  <si>
    <t>d'Ingénieur(e) Technique</t>
  </si>
  <si>
    <t>Manager Digital &amp; Data</t>
  </si>
  <si>
    <t>de Manager Digital &amp; Data</t>
  </si>
  <si>
    <t>Manager Fonctionnel &amp; Méthodologie</t>
  </si>
  <si>
    <t>de Manager Fonctionnel &amp; Méthodologie</t>
  </si>
  <si>
    <t>Manager Conseil en Management</t>
  </si>
  <si>
    <t>de Manager Conseil en Management</t>
  </si>
  <si>
    <t xml:space="preserve">Manager de Projet </t>
  </si>
  <si>
    <t xml:space="preserve">de Manager de Projet </t>
  </si>
  <si>
    <t xml:space="preserve">Manager des Services Applicatifs
</t>
  </si>
  <si>
    <t xml:space="preserve">de Manager des Services Applicatifs
</t>
  </si>
  <si>
    <t>Manager Solution</t>
  </si>
  <si>
    <t>de Manager Solution</t>
  </si>
  <si>
    <t>Manager technique Architecture applicative &amp; dév</t>
  </si>
  <si>
    <t>de Manager Technique Architecture Applicative et Développement</t>
  </si>
  <si>
    <t>de Manager technique Architecture applicative &amp; dév</t>
  </si>
  <si>
    <t xml:space="preserve">Manager Technique Infra/Sécu/Réseau
</t>
  </si>
  <si>
    <t xml:space="preserve">de Manager Technique Infra/Sécu/Réseau
</t>
  </si>
  <si>
    <t>de  Stagiaire</t>
  </si>
  <si>
    <t>Technicien(ne) informatique Junior</t>
  </si>
  <si>
    <t>de Technicien Informatique Junior</t>
  </si>
  <si>
    <t>de Technicienne Informatique Junior</t>
  </si>
  <si>
    <t>de Technicien(ne) informatique Junior</t>
  </si>
  <si>
    <t>Technicien(ne) Support Junior</t>
  </si>
  <si>
    <t>de Technicien Support Junior</t>
  </si>
  <si>
    <t>de Technicienne Support Junior</t>
  </si>
  <si>
    <t>de Technicien(ne) Support Junior</t>
  </si>
  <si>
    <t>Technicien(ne) Support Expert Junior</t>
  </si>
  <si>
    <t>de Technicien Support Expert Junior</t>
  </si>
  <si>
    <t>de Technicienne Support Expert Junior</t>
  </si>
  <si>
    <t>de Technicien(ne) Support Expert Junior</t>
  </si>
  <si>
    <t>Technicien(ne) Testeur Junior</t>
  </si>
  <si>
    <t>de Technicien Testeur Junior</t>
  </si>
  <si>
    <t>de Technicienne Testeur Junior</t>
  </si>
  <si>
    <t>de Technicien(ne) Testeur Junior</t>
  </si>
  <si>
    <r>
      <t>Technicien</t>
    </r>
    <r>
      <rPr>
        <sz val="11"/>
        <color rgb="FFFF0000"/>
        <rFont val="Calibri"/>
        <family val="2"/>
        <scheme val="minor"/>
      </rPr>
      <t>(ne)</t>
    </r>
    <r>
      <rPr>
        <sz val="11"/>
        <rFont val="Calibri"/>
        <family val="2"/>
        <scheme val="minor"/>
      </rPr>
      <t xml:space="preserve"> Support</t>
    </r>
  </si>
  <si>
    <t>de Technicienne Support</t>
  </si>
  <si>
    <t>de Technicien(ne) Support</t>
  </si>
  <si>
    <t>Technicien(ne) Support Expert</t>
  </si>
  <si>
    <t>de Technicien Support Expert</t>
  </si>
  <si>
    <t>de Technicienne Support Expert</t>
  </si>
  <si>
    <t>de Technicien(ne) Support Expert</t>
  </si>
  <si>
    <t>Technicien(ne) Testeur</t>
  </si>
  <si>
    <t>de Technicien Testeur</t>
  </si>
  <si>
    <t xml:space="preserve">de Technicienne Testeuse </t>
  </si>
  <si>
    <t>de Technicien(ne) Testeur</t>
  </si>
  <si>
    <t>Testeur/testeuse Junior</t>
  </si>
  <si>
    <t>de Testeur Junior</t>
  </si>
  <si>
    <t>de Testeuse Junior</t>
  </si>
  <si>
    <t>de Testeur/testeuse Junior</t>
  </si>
  <si>
    <r>
      <t>Testeur</t>
    </r>
    <r>
      <rPr>
        <sz val="11"/>
        <color rgb="FFFF0000"/>
        <rFont val="Calibri"/>
        <family val="2"/>
        <scheme val="minor"/>
      </rPr>
      <t>(euse)</t>
    </r>
  </si>
  <si>
    <t>de Testeur</t>
  </si>
  <si>
    <t>de Testeuse</t>
  </si>
  <si>
    <t>de Testeur(euse)</t>
  </si>
  <si>
    <t>Vice-président(e) Senior</t>
  </si>
  <si>
    <t>de Vice-Président Senior</t>
  </si>
  <si>
    <t>de Vice-Présidente Senior</t>
  </si>
  <si>
    <t>Vice-président(e) Conseil Delivery</t>
  </si>
  <si>
    <t>de Vice-Président Conseil Delivery</t>
  </si>
  <si>
    <t>de Vice-Présidente Conseil Delivery</t>
  </si>
  <si>
    <t>Vice-président(e) conseil Expert</t>
  </si>
  <si>
    <t>de Vice-Président Conseil Expert</t>
  </si>
  <si>
    <t>de Vice-Présidente Conseil Expert</t>
  </si>
  <si>
    <t>Vice-président(e) Services Conseils</t>
  </si>
  <si>
    <t>de Vice-Président Services Conseils</t>
  </si>
  <si>
    <t>de Vice-Présidente Services Conseils</t>
  </si>
  <si>
    <t>Développeur(euse)</t>
  </si>
  <si>
    <t>C121</t>
  </si>
  <si>
    <t>C535</t>
  </si>
  <si>
    <t>C537</t>
  </si>
  <si>
    <t>C557</t>
  </si>
  <si>
    <t>C554</t>
  </si>
  <si>
    <t>C555</t>
  </si>
  <si>
    <t>C556</t>
  </si>
  <si>
    <t>C531</t>
  </si>
  <si>
    <t>C533</t>
  </si>
  <si>
    <t>Ingénieur(e) en Technologie de l’Information</t>
  </si>
  <si>
    <t>C565</t>
  </si>
  <si>
    <t>C534</t>
  </si>
  <si>
    <t>C530</t>
  </si>
  <si>
    <t>C564</t>
  </si>
  <si>
    <t>Ingénieur(e) en Technologie de l’Information Junior</t>
  </si>
  <si>
    <t>C525</t>
  </si>
  <si>
    <t>C573</t>
  </si>
  <si>
    <t xml:space="preserve">Consultant(e) Junior Solution </t>
  </si>
  <si>
    <t>C571</t>
  </si>
  <si>
    <t>C569</t>
  </si>
  <si>
    <t>C570</t>
  </si>
  <si>
    <t>C572</t>
  </si>
  <si>
    <t>C566</t>
  </si>
  <si>
    <t>C546</t>
  </si>
  <si>
    <t>C542</t>
  </si>
  <si>
    <t>C538</t>
  </si>
  <si>
    <t>C568</t>
  </si>
  <si>
    <t>C567</t>
  </si>
  <si>
    <t>C526</t>
  </si>
  <si>
    <t>C528</t>
  </si>
  <si>
    <r>
      <t>Directeur(trice) de Projet</t>
    </r>
    <r>
      <rPr>
        <strike/>
        <sz val="11"/>
        <color theme="0" tint="-0.249977111117893"/>
        <rFont val="Calibri"/>
        <family val="2"/>
        <scheme val="minor"/>
      </rPr>
      <t>s</t>
    </r>
  </si>
  <si>
    <r>
      <t>Chargé(e) de Projet</t>
    </r>
    <r>
      <rPr>
        <strike/>
        <sz val="11"/>
        <color theme="0" tint="-0.249977111117893"/>
        <rFont val="Calibri"/>
        <family val="2"/>
        <scheme val="minor"/>
      </rPr>
      <t>s</t>
    </r>
  </si>
  <si>
    <r>
      <t>Chef(fe) de Projet</t>
    </r>
    <r>
      <rPr>
        <strike/>
        <sz val="11"/>
        <color theme="0" tint="-0.249977111117893"/>
        <rFont val="Calibri"/>
        <family val="2"/>
        <scheme val="minor"/>
      </rPr>
      <t>s</t>
    </r>
  </si>
  <si>
    <t>C536</t>
  </si>
  <si>
    <t>C532</t>
  </si>
  <si>
    <t>C527</t>
  </si>
  <si>
    <t>Directeur(trice) de Projet Sénior</t>
  </si>
  <si>
    <t>C548</t>
  </si>
  <si>
    <t>C553</t>
  </si>
  <si>
    <t>C551</t>
  </si>
  <si>
    <t>Consultant(e) Senior Solution</t>
  </si>
  <si>
    <t>C547</t>
  </si>
  <si>
    <t>C544</t>
  </si>
  <si>
    <t>C540</t>
  </si>
  <si>
    <t>C563</t>
  </si>
  <si>
    <t>C552</t>
  </si>
  <si>
    <t>C549</t>
  </si>
  <si>
    <t>C550</t>
  </si>
  <si>
    <t>Consultant(e) Solution</t>
  </si>
  <si>
    <t>C529</t>
  </si>
  <si>
    <t>Ingénieur(e) Support</t>
  </si>
  <si>
    <t>Agent(e) de Support</t>
  </si>
  <si>
    <t>Technicien(ne) Support</t>
  </si>
  <si>
    <t>C524</t>
  </si>
  <si>
    <t>C522</t>
  </si>
  <si>
    <t>Expert(e) technique</t>
  </si>
  <si>
    <t>C545</t>
  </si>
  <si>
    <t>C543</t>
  </si>
  <si>
    <t>C539</t>
  </si>
  <si>
    <t>C541</t>
  </si>
  <si>
    <t>C523</t>
  </si>
  <si>
    <t>Testeur(euse)</t>
  </si>
  <si>
    <t>C399</t>
  </si>
  <si>
    <t>C560</t>
  </si>
  <si>
    <t>C558</t>
  </si>
  <si>
    <t>C559</t>
  </si>
  <si>
    <t xml:space="preserve">BU FGDC / ICE </t>
  </si>
  <si>
    <t>Job</t>
  </si>
  <si>
    <t>Job Code Description</t>
  </si>
  <si>
    <t>GL Pay Type</t>
  </si>
  <si>
    <t>Job families</t>
  </si>
  <si>
    <t>Approbation recrutement</t>
  </si>
  <si>
    <t>Code</t>
  </si>
  <si>
    <t>SENIOR VICE-PRESIDENT</t>
  </si>
  <si>
    <t>GM&amp;F</t>
  </si>
  <si>
    <t>VP CONSULTING - SECTOR</t>
  </si>
  <si>
    <t>Project Delivery, Service Delivery</t>
  </si>
  <si>
    <t>VP CONSULTING DELIVERY</t>
  </si>
  <si>
    <t>VP CONSULTING EXPERT</t>
  </si>
  <si>
    <t>IT Consulting, Project Delivery, Service Delivery, Technical</t>
  </si>
  <si>
    <t>DIRECTOR CONSULTING DELIVERY</t>
  </si>
  <si>
    <t>DIRECTOR CONSULTING EXPERT</t>
  </si>
  <si>
    <t>DIRECTOR CONSULTING INTERNAL</t>
  </si>
  <si>
    <t>Toutes filières</t>
  </si>
  <si>
    <t>Non Billable business case</t>
  </si>
  <si>
    <t>SENIOR CONSULTANT</t>
  </si>
  <si>
    <t>CONSULTANT</t>
  </si>
  <si>
    <t>SENIOR SERVICE OPERATOR</t>
  </si>
  <si>
    <t>SERVICE OPERATOR</t>
  </si>
  <si>
    <t>ASSISTANT</t>
  </si>
  <si>
    <t>SUB-CONTRACTOR</t>
  </si>
  <si>
    <t>-</t>
  </si>
  <si>
    <t>TRAINEE</t>
  </si>
  <si>
    <t xml:space="preserve">FONCTIONS CORPORATIVES (Finance, RH, Com,…) </t>
  </si>
  <si>
    <t>PMS</t>
  </si>
  <si>
    <t xml:space="preserve">MANAGER CONSULTING INTERNAL </t>
  </si>
  <si>
    <t xml:space="preserve">Fonctions fonctionnelles </t>
  </si>
  <si>
    <t>Fonctions Fonctionelles</t>
  </si>
  <si>
    <t>Trainee (ANAPEC)</t>
  </si>
  <si>
    <t>Vice-Président(e) Conseil Delivery</t>
  </si>
  <si>
    <t>Vice-Président(e) conseil Expert</t>
  </si>
  <si>
    <t>Vice-Président(e) Services Conseils</t>
  </si>
  <si>
    <t>Vice-Président(e) Senior</t>
  </si>
  <si>
    <t>de Vice-Président(e) Senior</t>
  </si>
  <si>
    <t>de Vice-Président(e) Conseil Delivery</t>
  </si>
  <si>
    <t>de Vice-Président(e) conseil Expert</t>
  </si>
  <si>
    <t>de Vice-Président(e) Services Conseils</t>
  </si>
  <si>
    <t>UDEV</t>
  </si>
  <si>
    <t>Stagiaires</t>
  </si>
  <si>
    <t>Anapec</t>
  </si>
  <si>
    <t>Ancien CDI</t>
  </si>
  <si>
    <t>Transfert International</t>
  </si>
  <si>
    <t>Période d'essai</t>
  </si>
  <si>
    <t>NON</t>
  </si>
  <si>
    <t>OUI</t>
  </si>
  <si>
    <t>Nouvel embauché (CDI , CDD)</t>
  </si>
  <si>
    <t>Transformation Sous traitant vers CDI /CDD</t>
  </si>
  <si>
    <t>Transformation Intérimaire vers CDI /CDD</t>
  </si>
  <si>
    <t>Transformation CDD vers CDI</t>
  </si>
  <si>
    <t>Transformation Stage non rémunéré vers CDI/CDD</t>
  </si>
  <si>
    <t>Ancien CDD</t>
  </si>
  <si>
    <t>Si ANAPEC</t>
  </si>
  <si>
    <t>Si CDD</t>
  </si>
  <si>
    <t xml:space="preserve">15 jours - 15 days </t>
  </si>
  <si>
    <t>CDD-Contrat à durée déterminée &gt; 6 mois</t>
  </si>
  <si>
    <t xml:space="preserve">CDD-Contrat à durée déterminée &lt; 6 mois </t>
  </si>
  <si>
    <t xml:space="preserve">3 mois </t>
  </si>
  <si>
    <t xml:space="preserve">4 mois </t>
  </si>
  <si>
    <t xml:space="preserve">5 mois </t>
  </si>
  <si>
    <t xml:space="preserve">6 mois </t>
  </si>
  <si>
    <t xml:space="preserve">7 mois </t>
  </si>
  <si>
    <t xml:space="preserve">8 mois </t>
  </si>
  <si>
    <t xml:space="preserve">9 mois </t>
  </si>
  <si>
    <t xml:space="preserve">10 mois </t>
  </si>
  <si>
    <t xml:space="preserve">11 mois </t>
  </si>
  <si>
    <t xml:space="preserve">12 mois </t>
  </si>
  <si>
    <t>New hire (CDI , CDD)</t>
  </si>
  <si>
    <t>Rehire (Sub-contractor/freelancer)  to  CDI /CDD</t>
  </si>
  <si>
    <t>Rehire other external to CDI /CDD</t>
  </si>
  <si>
    <t>Rehire CDD To CDI</t>
  </si>
  <si>
    <t>Rehire non-paid internship to CDI/CDD</t>
  </si>
  <si>
    <t xml:space="preserve">Internation transfert </t>
  </si>
  <si>
    <t xml:space="preserve">Previous member on CDI </t>
  </si>
  <si>
    <t>Previous member on CDD</t>
  </si>
  <si>
    <t>NO</t>
  </si>
  <si>
    <t>YES</t>
  </si>
  <si>
    <t>Probation Period</t>
  </si>
  <si>
    <t>Situation du candidat avant l'embauche CDI / CDD</t>
  </si>
  <si>
    <t>Candidate Situation before Hiring on CDD / CDI</t>
  </si>
  <si>
    <t>Période d'essai et CDF / Probation Period &amp; CDF</t>
  </si>
  <si>
    <t>FR</t>
  </si>
  <si>
    <t>Transformation Stage PFE rémunéré vers CDI/CDD</t>
  </si>
  <si>
    <t>Rehire PFE Paid internship to CDI/CDD</t>
  </si>
  <si>
    <t>Benefits Service Date*</t>
  </si>
  <si>
    <t>Date d'ancienneté paie*</t>
  </si>
  <si>
    <t>Gross monthly salary*</t>
  </si>
  <si>
    <t>Niveau (ne concerne pas les stagiaire)*</t>
  </si>
  <si>
    <t>Level (not applicable for trainee)*</t>
  </si>
  <si>
    <t>For Fixed term contract (CDD)</t>
  </si>
  <si>
    <t xml:space="preserve">For ANAPEC Contract </t>
  </si>
  <si>
    <t>For Fixed term contract (CDD) / if extended</t>
  </si>
  <si>
    <t>Contract sent Date</t>
  </si>
  <si>
    <t>Date à laquelle le contrat doit être envoyé au candidat</t>
  </si>
  <si>
    <t>Origine de la candidature</t>
  </si>
  <si>
    <t>Application source</t>
  </si>
  <si>
    <t>AA33</t>
  </si>
  <si>
    <t>AA131</t>
  </si>
  <si>
    <t>AA24</t>
  </si>
  <si>
    <t>AA29</t>
  </si>
  <si>
    <t>L</t>
  </si>
  <si>
    <t>N</t>
  </si>
  <si>
    <t>O</t>
  </si>
  <si>
    <t>P</t>
  </si>
  <si>
    <t>Q</t>
  </si>
  <si>
    <t>R</t>
  </si>
  <si>
    <t>S</t>
  </si>
  <si>
    <t>T</t>
  </si>
  <si>
    <t>U</t>
  </si>
  <si>
    <t>X</t>
  </si>
  <si>
    <t>B</t>
  </si>
  <si>
    <t>C</t>
  </si>
  <si>
    <t>D</t>
  </si>
  <si>
    <t>F</t>
  </si>
  <si>
    <t>G</t>
  </si>
  <si>
    <t>Z</t>
  </si>
  <si>
    <t>I</t>
  </si>
  <si>
    <t>J</t>
  </si>
  <si>
    <t>K</t>
  </si>
  <si>
    <t>AA61</t>
  </si>
  <si>
    <t>AA132</t>
  </si>
  <si>
    <t>AA138</t>
  </si>
  <si>
    <t>AA94</t>
  </si>
  <si>
    <t>CDD Second Duration</t>
  </si>
  <si>
    <t>If fixed term contract/CDD</t>
  </si>
  <si>
    <t>Contract Clause</t>
  </si>
  <si>
    <t>CM0 MA CIMR Contract P0</t>
  </si>
  <si>
    <t>CM3 MA CIMR Contract P3</t>
  </si>
  <si>
    <t>CM6 MA CIMR Contract P6</t>
  </si>
  <si>
    <t>Contract Clause*</t>
  </si>
  <si>
    <t>Clause de contrat (CIMR)*</t>
  </si>
  <si>
    <t>Contract Template ID*</t>
  </si>
  <si>
    <t>Modèle contrat</t>
  </si>
  <si>
    <t>Contract template ID</t>
  </si>
  <si>
    <t>MAR001  Morocco CGI Regular</t>
  </si>
  <si>
    <t xml:space="preserve">MAR002  Regular Hire U’DEV- MAR </t>
  </si>
  <si>
    <t xml:space="preserve">For permanent contract only </t>
  </si>
  <si>
    <t>CDD End date</t>
  </si>
  <si>
    <t>CDD End date (If Extension)</t>
  </si>
  <si>
    <t>Net Monthly Salary</t>
  </si>
  <si>
    <t>Casablanca</t>
  </si>
  <si>
    <t>Job Title and Step</t>
  </si>
  <si>
    <t>Job Title and step</t>
  </si>
  <si>
    <t>Fès</t>
  </si>
  <si>
    <t>Casablanca Nearshore Park 1100 Boulevard Al Qods Quartier Sidi Maârouf, Casablanca, Maroc</t>
  </si>
  <si>
    <t xml:space="preserve">Probation </t>
  </si>
  <si>
    <t>AB</t>
  </si>
  <si>
    <t>AA</t>
  </si>
  <si>
    <t>january</t>
  </si>
  <si>
    <t>Language Code:</t>
  </si>
  <si>
    <t>Address 3:</t>
  </si>
  <si>
    <t>Alternate ID ( Njoyn):</t>
  </si>
  <si>
    <t>Contract Clauses</t>
  </si>
  <si>
    <t>MARCAS001</t>
  </si>
  <si>
    <t>MARRAB001</t>
  </si>
  <si>
    <t>MARFES0001</t>
  </si>
  <si>
    <t>400 MANAGER CONSULTING EXPERT</t>
  </si>
  <si>
    <t>412 DIRECTOR CONSULTING EXPERT</t>
  </si>
  <si>
    <t xml:space="preserve">413 DIRECTOR CONSULTING DELIVERY	</t>
  </si>
  <si>
    <t xml:space="preserve">414 DIRECTOR BUSINESS CONSULTING	</t>
  </si>
  <si>
    <t xml:space="preserve">418 DIRECTOR CONSULTING IP	</t>
  </si>
  <si>
    <t xml:space="preserve">513 VP INTELLECTUAL PROPERTY	</t>
  </si>
  <si>
    <t xml:space="preserve">514 VP BUSINESS CONSULTING	</t>
  </si>
  <si>
    <t xml:space="preserve">517 SVP CORPORATE SERVICES EXPERT	</t>
  </si>
  <si>
    <t xml:space="preserve">601 ADMINISTRATIVE SUPPORT	</t>
  </si>
  <si>
    <t>Agent BO</t>
  </si>
  <si>
    <t>Chargé de planification &amp; back office RH</t>
  </si>
  <si>
    <t>Chargé de supervision et reporting</t>
  </si>
  <si>
    <t>Chargé(e) de Missions Qualité</t>
  </si>
  <si>
    <t>Chargée de qualification CRM</t>
  </si>
  <si>
    <t>Chef d'équipe</t>
  </si>
  <si>
    <t>Chef d'équipe-BPO</t>
  </si>
  <si>
    <t>Coach Formateur</t>
  </si>
  <si>
    <t>Directeur(trice) Business Conseil</t>
  </si>
  <si>
    <t>Directeur(trice) Conseil Intellectual Property</t>
  </si>
  <si>
    <t>Expert communication</t>
  </si>
  <si>
    <t>Gestionnaire IM</t>
  </si>
  <si>
    <t>Ingénieur Support Confirmé</t>
  </si>
  <si>
    <t>Manager Conseil Expert</t>
  </si>
  <si>
    <t>Qualiticien</t>
  </si>
  <si>
    <t>Reponsable Marketing &amp; Communication</t>
  </si>
  <si>
    <t>Responsable comptes clients</t>
  </si>
  <si>
    <t>Responsable qualité formation</t>
  </si>
  <si>
    <t>Specialist(e) RH</t>
  </si>
  <si>
    <t>Stagiaire BO</t>
  </si>
  <si>
    <t>Télévendeur</t>
  </si>
  <si>
    <t>Vice-Président(e) Business Conseil</t>
  </si>
  <si>
    <t>Vice-Président(e) Conseil Delivery Sénior</t>
  </si>
  <si>
    <t>Vice-Président(e) Conseil Intellectual Property</t>
  </si>
  <si>
    <t>Vice-Président(e) Services Conseils Sénior</t>
  </si>
  <si>
    <t>Vigie</t>
  </si>
  <si>
    <t xml:space="preserve">C874 </t>
  </si>
  <si>
    <t xml:space="preserve">C875 </t>
  </si>
  <si>
    <t xml:space="preserve">C607 </t>
  </si>
  <si>
    <t xml:space="preserve">C427 </t>
  </si>
  <si>
    <t xml:space="preserve">E487 </t>
  </si>
  <si>
    <t xml:space="preserve">ACN </t>
  </si>
  <si>
    <t xml:space="preserve">C511 </t>
  </si>
  <si>
    <t xml:space="preserve">C512 </t>
  </si>
  <si>
    <t xml:space="preserve">E019 </t>
  </si>
  <si>
    <t xml:space="preserve">C513 </t>
  </si>
  <si>
    <t xml:space="preserve">E443 </t>
  </si>
  <si>
    <t xml:space="preserve">E462 </t>
  </si>
  <si>
    <t xml:space="preserve">C048 </t>
  </si>
  <si>
    <t xml:space="preserve">C463 </t>
  </si>
  <si>
    <t xml:space="preserve">AAV </t>
  </si>
  <si>
    <t xml:space="preserve">C051 </t>
  </si>
  <si>
    <t xml:space="preserve">E051 </t>
  </si>
  <si>
    <t xml:space="preserve">E449 </t>
  </si>
  <si>
    <t xml:space="preserve">C099 </t>
  </si>
  <si>
    <t xml:space="preserve">E058 </t>
  </si>
  <si>
    <t xml:space="preserve">E450 </t>
  </si>
  <si>
    <t xml:space="preserve">C008 </t>
  </si>
  <si>
    <t xml:space="preserve">C059 </t>
  </si>
  <si>
    <t xml:space="preserve">C069 </t>
  </si>
  <si>
    <t xml:space="preserve">C071 </t>
  </si>
  <si>
    <t xml:space="preserve">C876 </t>
  </si>
  <si>
    <t xml:space="preserve">C486 </t>
  </si>
  <si>
    <t xml:space="preserve">C609 </t>
  </si>
  <si>
    <t xml:space="preserve">C601 </t>
  </si>
  <si>
    <t xml:space="preserve">C612 </t>
  </si>
  <si>
    <t xml:space="preserve">C618 </t>
  </si>
  <si>
    <t xml:space="preserve">C087 </t>
  </si>
  <si>
    <t xml:space="preserve">C466 </t>
  </si>
  <si>
    <t xml:space="preserve">C467 </t>
  </si>
  <si>
    <t xml:space="preserve">E467 </t>
  </si>
  <si>
    <t xml:space="preserve">C100 </t>
  </si>
  <si>
    <t xml:space="preserve">E100 </t>
  </si>
  <si>
    <t xml:space="preserve">E455 </t>
  </si>
  <si>
    <t xml:space="preserve">E488 </t>
  </si>
  <si>
    <t xml:space="preserve">E271 </t>
  </si>
  <si>
    <t xml:space="preserve">C611 </t>
  </si>
  <si>
    <t xml:space="preserve">C617 </t>
  </si>
  <si>
    <t xml:space="preserve">E489 </t>
  </si>
  <si>
    <t xml:space="preserve">C518 </t>
  </si>
  <si>
    <t xml:space="preserve">C878 </t>
  </si>
  <si>
    <t xml:space="preserve">C183 </t>
  </si>
  <si>
    <t xml:space="preserve">C884 </t>
  </si>
  <si>
    <t xml:space="preserve">C479 </t>
  </si>
  <si>
    <t xml:space="preserve">C182 </t>
  </si>
  <si>
    <t xml:space="preserve">C341 </t>
  </si>
  <si>
    <t xml:space="preserve">C520 </t>
  </si>
  <si>
    <t xml:space="preserve">C517 </t>
  </si>
  <si>
    <t xml:space="preserve">D387 </t>
  </si>
  <si>
    <t xml:space="preserve">C342 </t>
  </si>
  <si>
    <t xml:space="preserve">C521 </t>
  </si>
  <si>
    <t xml:space="preserve">C883 </t>
  </si>
  <si>
    <t xml:space="preserve">C882 </t>
  </si>
  <si>
    <t xml:space="preserve">C879 </t>
  </si>
  <si>
    <t xml:space="preserve">C881 </t>
  </si>
  <si>
    <t xml:space="preserve">E486 </t>
  </si>
  <si>
    <t xml:space="preserve">C460 </t>
  </si>
  <si>
    <t xml:space="preserve">E451 </t>
  </si>
  <si>
    <t xml:space="preserve">C620 </t>
  </si>
  <si>
    <t xml:space="preserve">C459 </t>
  </si>
  <si>
    <t xml:space="preserve">E490 </t>
  </si>
  <si>
    <t xml:space="preserve">E094 </t>
  </si>
  <si>
    <t xml:space="preserve">C096 </t>
  </si>
  <si>
    <t xml:space="preserve">E096 </t>
  </si>
  <si>
    <t xml:space="preserve">C185 </t>
  </si>
  <si>
    <t xml:space="preserve">C458 </t>
  </si>
  <si>
    <t xml:space="preserve">C103 </t>
  </si>
  <si>
    <t xml:space="preserve">C382 </t>
  </si>
  <si>
    <t xml:space="preserve">C108 </t>
  </si>
  <si>
    <t xml:space="preserve">388A </t>
  </si>
  <si>
    <t xml:space="preserve">C604 </t>
  </si>
  <si>
    <t xml:space="preserve">C114 </t>
  </si>
  <si>
    <t xml:space="preserve">C510 </t>
  </si>
  <si>
    <t xml:space="preserve">C407 </t>
  </si>
  <si>
    <t xml:space="preserve">C885 </t>
  </si>
  <si>
    <t xml:space="preserve">C603 </t>
  </si>
  <si>
    <t xml:space="preserve">C477 </t>
  </si>
  <si>
    <t xml:space="preserve">C608 </t>
  </si>
  <si>
    <t xml:space="preserve">E453 </t>
  </si>
  <si>
    <t xml:space="preserve">C149 </t>
  </si>
  <si>
    <t xml:space="preserve">C131 </t>
  </si>
  <si>
    <t xml:space="preserve">C132 </t>
  </si>
  <si>
    <t xml:space="preserve">C470 </t>
  </si>
  <si>
    <t xml:space="preserve">C444 </t>
  </si>
  <si>
    <t xml:space="preserve">C450 </t>
  </si>
  <si>
    <t xml:space="preserve">C472 </t>
  </si>
  <si>
    <t xml:space="preserve">C134 </t>
  </si>
  <si>
    <t xml:space="preserve">C471 </t>
  </si>
  <si>
    <t xml:space="preserve">C892 </t>
  </si>
  <si>
    <t xml:space="preserve">C163 </t>
  </si>
  <si>
    <t xml:space="preserve">C137 </t>
  </si>
  <si>
    <t xml:space="preserve">C886 </t>
  </si>
  <si>
    <t xml:space="preserve">C448 </t>
  </si>
  <si>
    <t xml:space="preserve">C136 </t>
  </si>
  <si>
    <t xml:space="preserve">C141 </t>
  </si>
  <si>
    <t xml:space="preserve">C447 </t>
  </si>
  <si>
    <t xml:space="preserve">C461 </t>
  </si>
  <si>
    <t xml:space="preserve">C380 </t>
  </si>
  <si>
    <t xml:space="preserve">C150 </t>
  </si>
  <si>
    <t xml:space="preserve">C498 </t>
  </si>
  <si>
    <t xml:space="preserve">C409 </t>
  </si>
  <si>
    <t xml:space="preserve">C133 </t>
  </si>
  <si>
    <t xml:space="preserve">C489 </t>
  </si>
  <si>
    <t xml:space="preserve">C130 </t>
  </si>
  <si>
    <t xml:space="preserve">AGI </t>
  </si>
  <si>
    <t xml:space="preserve">C478 </t>
  </si>
  <si>
    <t xml:space="preserve">C148 </t>
  </si>
  <si>
    <t xml:space="preserve">C206 </t>
  </si>
  <si>
    <t xml:space="preserve">C445 </t>
  </si>
  <si>
    <t xml:space="preserve">C157 </t>
  </si>
  <si>
    <t xml:space="preserve">C890 </t>
  </si>
  <si>
    <t xml:space="preserve">C165 </t>
  </si>
  <si>
    <t xml:space="preserve">C145 </t>
  </si>
  <si>
    <t xml:space="preserve">C891 </t>
  </si>
  <si>
    <t xml:space="preserve">C451 </t>
  </si>
  <si>
    <t xml:space="preserve">C449 </t>
  </si>
  <si>
    <t xml:space="preserve">C473 </t>
  </si>
  <si>
    <t xml:space="preserve">C465 </t>
  </si>
  <si>
    <t xml:space="preserve">C918 </t>
  </si>
  <si>
    <t xml:space="preserve">C919 </t>
  </si>
  <si>
    <t xml:space="preserve">C602 </t>
  </si>
  <si>
    <t xml:space="preserve">C615 </t>
  </si>
  <si>
    <t xml:space="preserve">C176 </t>
  </si>
  <si>
    <t xml:space="preserve">C606 </t>
  </si>
  <si>
    <t xml:space="preserve">C624 </t>
  </si>
  <si>
    <t xml:space="preserve">C442 </t>
  </si>
  <si>
    <t xml:space="preserve">C175 </t>
  </si>
  <si>
    <t xml:space="preserve">C192 </t>
  </si>
  <si>
    <t xml:space="preserve">E175 </t>
  </si>
  <si>
    <t xml:space="preserve">C184 </t>
  </si>
  <si>
    <t xml:space="preserve">E167 </t>
  </si>
  <si>
    <t xml:space="preserve">C893 </t>
  </si>
  <si>
    <t xml:space="preserve">C616 </t>
  </si>
  <si>
    <t xml:space="preserve">E458 </t>
  </si>
  <si>
    <t xml:space="preserve">C199 </t>
  </si>
  <si>
    <t xml:space="preserve">C516 </t>
  </si>
  <si>
    <t xml:space="preserve">E454 </t>
  </si>
  <si>
    <t xml:space="preserve">E459 </t>
  </si>
  <si>
    <t xml:space="preserve">C178 </t>
  </si>
  <si>
    <t xml:space="preserve">C462 </t>
  </si>
  <si>
    <t xml:space="preserve">C424 </t>
  </si>
  <si>
    <t xml:space="preserve">E463 </t>
  </si>
  <si>
    <t xml:space="preserve">C252 </t>
  </si>
  <si>
    <t xml:space="preserve">C889 </t>
  </si>
  <si>
    <t xml:space="preserve">C177 </t>
  </si>
  <si>
    <t xml:space="preserve">C894 </t>
  </si>
  <si>
    <t xml:space="preserve">C254 </t>
  </si>
  <si>
    <t xml:space="preserve">C895 </t>
  </si>
  <si>
    <t xml:space="preserve">C613 </t>
  </si>
  <si>
    <t xml:space="preserve">C468 </t>
  </si>
  <si>
    <t xml:space="preserve">C469 </t>
  </si>
  <si>
    <t xml:space="preserve">C621 </t>
  </si>
  <si>
    <t xml:space="preserve">C896 </t>
  </si>
  <si>
    <t xml:space="preserve">C917 </t>
  </si>
  <si>
    <t xml:space="preserve">C898 </t>
  </si>
  <si>
    <t xml:space="preserve">C322 </t>
  </si>
  <si>
    <t xml:space="preserve">C897 </t>
  </si>
  <si>
    <t xml:space="preserve">E466 </t>
  </si>
  <si>
    <t xml:space="preserve">C899 </t>
  </si>
  <si>
    <t xml:space="preserve">C485 </t>
  </si>
  <si>
    <t xml:space="preserve">C901 </t>
  </si>
  <si>
    <t xml:space="preserve">C484 </t>
  </si>
  <si>
    <t xml:space="preserve">C902 </t>
  </si>
  <si>
    <t xml:space="preserve">C605 </t>
  </si>
  <si>
    <t xml:space="preserve">E457 </t>
  </si>
  <si>
    <t xml:space="preserve">C903 </t>
  </si>
  <si>
    <t xml:space="preserve">C904 </t>
  </si>
  <si>
    <t xml:space="preserve">C905 </t>
  </si>
  <si>
    <t xml:space="preserve">C614 </t>
  </si>
  <si>
    <t xml:space="preserve">C443 </t>
  </si>
  <si>
    <t xml:space="preserve">A373 </t>
  </si>
  <si>
    <t xml:space="preserve">C464 </t>
  </si>
  <si>
    <t xml:space="preserve">C490 </t>
  </si>
  <si>
    <t xml:space="preserve">C453 </t>
  </si>
  <si>
    <t xml:space="preserve">C400 </t>
  </si>
  <si>
    <t xml:space="preserve">C256 </t>
  </si>
  <si>
    <t xml:space="preserve">C259 </t>
  </si>
  <si>
    <t xml:space="preserve">C912 </t>
  </si>
  <si>
    <t xml:space="preserve">E485 </t>
  </si>
  <si>
    <t xml:space="preserve">C909 </t>
  </si>
  <si>
    <t xml:space="preserve">C300 </t>
  </si>
  <si>
    <t xml:space="preserve">C436 </t>
  </si>
  <si>
    <t xml:space="preserve">E452 </t>
  </si>
  <si>
    <t xml:space="preserve">C274 </t>
  </si>
  <si>
    <t xml:space="preserve">C411 </t>
  </si>
  <si>
    <t xml:space="preserve">C275 </t>
  </si>
  <si>
    <t xml:space="preserve">E481 </t>
  </si>
  <si>
    <t xml:space="preserve">C487 </t>
  </si>
  <si>
    <t xml:space="preserve">C502 </t>
  </si>
  <si>
    <t xml:space="preserve">C906 </t>
  </si>
  <si>
    <t xml:space="preserve">AEX </t>
  </si>
  <si>
    <t xml:space="preserve">E456 </t>
  </si>
  <si>
    <t xml:space="preserve">C908 </t>
  </si>
  <si>
    <t xml:space="preserve">C296 </t>
  </si>
  <si>
    <t xml:space="preserve">E460 </t>
  </si>
  <si>
    <t xml:space="preserve">C297 </t>
  </si>
  <si>
    <t xml:space="preserve">C285 </t>
  </si>
  <si>
    <t xml:space="preserve">E483 </t>
  </si>
  <si>
    <t xml:space="preserve">C504 </t>
  </si>
  <si>
    <t xml:space="preserve">C610 </t>
  </si>
  <si>
    <t xml:space="preserve">C286 </t>
  </si>
  <si>
    <t xml:space="preserve">C372 </t>
  </si>
  <si>
    <t xml:space="preserve">AAE </t>
  </si>
  <si>
    <t xml:space="preserve">E290 </t>
  </si>
  <si>
    <t xml:space="preserve">C310 </t>
  </si>
  <si>
    <t xml:space="preserve">E310 </t>
  </si>
  <si>
    <t xml:space="preserve">C321 </t>
  </si>
  <si>
    <t xml:space="preserve">C261 </t>
  </si>
  <si>
    <t xml:space="preserve">E464 </t>
  </si>
  <si>
    <t xml:space="preserve">C619 </t>
  </si>
  <si>
    <t xml:space="preserve">C625 </t>
  </si>
  <si>
    <t xml:space="preserve">E482 </t>
  </si>
  <si>
    <t xml:space="preserve">E465 </t>
  </si>
  <si>
    <t xml:space="preserve">E461 </t>
  </si>
  <si>
    <t xml:space="preserve">E440 </t>
  </si>
  <si>
    <t xml:space="preserve">E448 </t>
  </si>
  <si>
    <t xml:space="preserve">C329 </t>
  </si>
  <si>
    <t xml:space="preserve">E329 </t>
  </si>
  <si>
    <t xml:space="preserve">C910 </t>
  </si>
  <si>
    <t xml:space="preserve">E480 </t>
  </si>
  <si>
    <t xml:space="preserve">C623 </t>
  </si>
  <si>
    <t xml:space="preserve">C920 </t>
  </si>
  <si>
    <t xml:space="preserve">C562 </t>
  </si>
  <si>
    <t xml:space="preserve">C921 </t>
  </si>
  <si>
    <t xml:space="preserve">C561 </t>
  </si>
  <si>
    <t xml:space="preserve">E484 </t>
  </si>
  <si>
    <t>d'Agent BO</t>
  </si>
  <si>
    <t>d'Analyste Support Confirmé</t>
  </si>
  <si>
    <t>de Chargé de planification &amp; back office RH</t>
  </si>
  <si>
    <t>de Chargé de supervision et reporting</t>
  </si>
  <si>
    <t>de Chargée de qualification CRM</t>
  </si>
  <si>
    <t>de Chef d'équipe</t>
  </si>
  <si>
    <t>de Chef d'équipe-BPO</t>
  </si>
  <si>
    <t>de Coach Formateur</t>
  </si>
  <si>
    <t>de Directeur des Ressources Humaines Territoire</t>
  </si>
  <si>
    <t>d'Expert communication</t>
  </si>
  <si>
    <t>de Gestionnaire IM</t>
  </si>
  <si>
    <t>d'Hotesse Standardiste</t>
  </si>
  <si>
    <t>d'Ingénieur Support Confirmé</t>
  </si>
  <si>
    <t>de Manager Conseil Expert</t>
  </si>
  <si>
    <t>de Qualiticien</t>
  </si>
  <si>
    <t>de Reponsable Marketing &amp; Communication</t>
  </si>
  <si>
    <t>de Responsable comptes clients</t>
  </si>
  <si>
    <t>de Responsable Qualité</t>
  </si>
  <si>
    <t>de Responsable qualité formation</t>
  </si>
  <si>
    <t>de Stagiaire BO</t>
  </si>
  <si>
    <t>de Télévendeur</t>
  </si>
  <si>
    <t>de Vigie</t>
  </si>
  <si>
    <t>d'Acheteuse Senior</t>
  </si>
  <si>
    <t>d'Acheteuse</t>
  </si>
  <si>
    <t>d'Administratrice réseaux sytèmes</t>
  </si>
  <si>
    <t>d'Administratrice Système</t>
  </si>
  <si>
    <t>d'Agente BO</t>
  </si>
  <si>
    <t>d'Agente d'Exploitation</t>
  </si>
  <si>
    <t>d'Analyste Support Confirmée</t>
  </si>
  <si>
    <t>d'Assistante</t>
  </si>
  <si>
    <t>d'Assistante de Gestion cadre</t>
  </si>
  <si>
    <t>d'Assistante de Gestion employé</t>
  </si>
  <si>
    <t>d'Assistante de Gestion Junior</t>
  </si>
  <si>
    <t>d'Assistante GAP</t>
  </si>
  <si>
    <t>d'Assistante Paie</t>
  </si>
  <si>
    <t>d'Assistante Paie Junior</t>
  </si>
  <si>
    <t>d'Assistante Adm RH</t>
  </si>
  <si>
    <t>d'Assistante du Président</t>
  </si>
  <si>
    <t>d'Associée</t>
  </si>
  <si>
    <t>d'Auditrice</t>
  </si>
  <si>
    <t>d'Auditrice Senior</t>
  </si>
  <si>
    <t>de BPO Cheffe de projet</t>
  </si>
  <si>
    <t>de BPO experte sourcing</t>
  </si>
  <si>
    <t>de Chargée de Recrutement &amp; Intégration</t>
  </si>
  <si>
    <t>de Chargé de Recrutement &amp; Intégration</t>
  </si>
  <si>
    <t>de Chargé de Recrutement &amp; Intégration SR</t>
  </si>
  <si>
    <t>de Chargée de Recrutement &amp; Intégration SR</t>
  </si>
  <si>
    <t>de Chargée d'Affaires</t>
  </si>
  <si>
    <t>de Chargée d'Affaires Junior</t>
  </si>
  <si>
    <t>de Chargée d'Affaires Senior</t>
  </si>
  <si>
    <t>de Chargée de communication</t>
  </si>
  <si>
    <t>de Chargée de Gestion cadre</t>
  </si>
  <si>
    <t>de Chargée de Gestion employé</t>
  </si>
  <si>
    <t>de Chargée de la Gestion Administrative</t>
  </si>
  <si>
    <t>de Chargée de planification &amp; back office RH</t>
  </si>
  <si>
    <t>de Chargée de Recouvrement</t>
  </si>
  <si>
    <t>de Chargée de recrutement BPO</t>
  </si>
  <si>
    <t>de Chargée de recrutement senior</t>
  </si>
  <si>
    <t>de Chargée de supervision et reporting</t>
  </si>
  <si>
    <t>de Chargée de Gestion Junior</t>
  </si>
  <si>
    <t>de Chargé de Gestion Junior</t>
  </si>
  <si>
    <t>de Chargé de Marketing &amp; Communication Confirmé</t>
  </si>
  <si>
    <t>de Chargé de Marketing &amp; Communication Junior</t>
  </si>
  <si>
    <t>de Chargé de Marketing et Communication</t>
  </si>
  <si>
    <t>de Chargé de mission achats</t>
  </si>
  <si>
    <t>de Chargé de mission Qualité Junior</t>
  </si>
  <si>
    <t>de Chargé de Missions</t>
  </si>
  <si>
    <t>de Chargé de Missions Achats Junior</t>
  </si>
  <si>
    <t>de Chargé de Missions Junior</t>
  </si>
  <si>
    <t>de Chargé de Missions Qualité</t>
  </si>
  <si>
    <t>de Chargé de missions RH</t>
  </si>
  <si>
    <t>de Chargé de Missions RH Junior</t>
  </si>
  <si>
    <t>de Chargé des Engagement Confirmé</t>
  </si>
  <si>
    <t>de Chargé des Engagements</t>
  </si>
  <si>
    <t>de Chargé Missions LOG</t>
  </si>
  <si>
    <t>de Chargé Missions RH Confirmé</t>
  </si>
  <si>
    <t>d'Infirmier Travail</t>
  </si>
  <si>
    <t>de Directeu Business Conseil</t>
  </si>
  <si>
    <t>de Directeur Conseil Intellectual Property</t>
  </si>
  <si>
    <t>de Specialist RH</t>
  </si>
  <si>
    <t>de Vice-Président Business Conseil</t>
  </si>
  <si>
    <t>de Vice-Président Conseil Delivery Sénior</t>
  </si>
  <si>
    <t>de Vice-Président Conseil Intellectual Property</t>
  </si>
  <si>
    <t>de Vice-Président Services Conseils Sénior</t>
  </si>
  <si>
    <t>de Télévendeuse</t>
  </si>
  <si>
    <t>de Vice-Présidente secteur</t>
  </si>
  <si>
    <t>de Vice-Présidente Business Conseil</t>
  </si>
  <si>
    <t>de Vice-Présidente Conseil Delivery Sénior</t>
  </si>
  <si>
    <t>de Vice-Présidente Conseil Intellectual Property</t>
  </si>
  <si>
    <t>de Vice-Présidente Services Conseils Sénior</t>
  </si>
  <si>
    <t>d'Assistant Adm RH</t>
  </si>
  <si>
    <t>d'Assistant de Direction</t>
  </si>
  <si>
    <t>d'Assistant du President</t>
  </si>
  <si>
    <t>de Chargée de Marketing &amp; Communication Junior</t>
  </si>
  <si>
    <t>de Chargée de Marketing et Communication</t>
  </si>
  <si>
    <t>de Chargée de mission achats</t>
  </si>
  <si>
    <t>de Chargée de mission Qualité Junior</t>
  </si>
  <si>
    <t>de Chargée de Missions</t>
  </si>
  <si>
    <t>de Chargée de Missions Achats Junior</t>
  </si>
  <si>
    <t>de Chargée de Missions Junior</t>
  </si>
  <si>
    <t>de Chargée de Missions Qualité</t>
  </si>
  <si>
    <t>de Chargée de missions RH</t>
  </si>
  <si>
    <t>de Chargée de Missions RH Junior</t>
  </si>
  <si>
    <t>de Chargée de Marketing &amp; Communication Confirmée</t>
  </si>
  <si>
    <t>de Chargée des Engagement Confirmée</t>
  </si>
  <si>
    <t>de Chargée des Engagements</t>
  </si>
  <si>
    <t>de Chargée Missions LOG</t>
  </si>
  <si>
    <t>de Chargée Missions RH Confirmée</t>
  </si>
  <si>
    <t>de Cheffe de Projet Outsourcing</t>
  </si>
  <si>
    <t>de Cheffe d'équipe</t>
  </si>
  <si>
    <t>de Cheffe d'équipe-BPO</t>
  </si>
  <si>
    <t>de Cheffe Projet Fonctionnel</t>
  </si>
  <si>
    <t>de Consultante</t>
  </si>
  <si>
    <t>de Consultante Fonct. Senior</t>
  </si>
  <si>
    <t>de Consultante Junior</t>
  </si>
  <si>
    <t>de Consultante Junior Débutant</t>
  </si>
  <si>
    <t>de Consultante RH</t>
  </si>
  <si>
    <t>de Consultante Senior</t>
  </si>
  <si>
    <t>de Consultante Test</t>
  </si>
  <si>
    <t>de Contrôleuse de Gestion</t>
  </si>
  <si>
    <t>de Contrôleuse de Gestion Confirmée</t>
  </si>
  <si>
    <t>de Contrôleuse de gestion Projet</t>
  </si>
  <si>
    <t>de Coordinatrice de projet</t>
  </si>
  <si>
    <t>de Directrice</t>
  </si>
  <si>
    <t>de Directrice Adjoint</t>
  </si>
  <si>
    <t>de Directrice Adjoint Business</t>
  </si>
  <si>
    <t>de Directrice Adjoint IT Consulting</t>
  </si>
  <si>
    <t>de Directrice Adjt Outsourcing</t>
  </si>
  <si>
    <t>de Directrice Administratif et Financier</t>
  </si>
  <si>
    <t>de Directrice Associée</t>
  </si>
  <si>
    <t>de Directrice Business</t>
  </si>
  <si>
    <t>de Directrice Comptable</t>
  </si>
  <si>
    <t>de Directrice Contrôle de Gestion et Reporting</t>
  </si>
  <si>
    <t>de Directrice d'agence</t>
  </si>
  <si>
    <t>de Directrice de Domaine RH</t>
  </si>
  <si>
    <t>de Directrice de Grand Programme</t>
  </si>
  <si>
    <t>de Directrice de la Logistique</t>
  </si>
  <si>
    <t>de Directrice de la protection des données</t>
  </si>
  <si>
    <t>de Directrice de Programme</t>
  </si>
  <si>
    <t>de Directrice de Projet Outsourcing</t>
  </si>
  <si>
    <t>de Directrice Delivery France</t>
  </si>
  <si>
    <t>de Directrice des Achats</t>
  </si>
  <si>
    <t>de Directrice des Engagements Pays</t>
  </si>
  <si>
    <t>de Directrice des opérations</t>
  </si>
  <si>
    <t>de Directrice des Opérations Comptables et Financières</t>
  </si>
  <si>
    <t>de Directrice des Ressources Humaines Pays</t>
  </si>
  <si>
    <t>de Directrice des Ressources Humaines Territoire</t>
  </si>
  <si>
    <t>de Directrice Engagement</t>
  </si>
  <si>
    <t>de Directrice Financier Adjoint</t>
  </si>
  <si>
    <t>de Directrice Général</t>
  </si>
  <si>
    <t>de Directrice Groupe d,Un centre d'excellence RH</t>
  </si>
  <si>
    <t>de Directrice IT Consulting</t>
  </si>
  <si>
    <t>de Directrice Juridique Groupe</t>
  </si>
  <si>
    <t>de Directrice Juridique pays</t>
  </si>
  <si>
    <t>de Directrice Juridique Secteur</t>
  </si>
  <si>
    <t>de Directrice MARCOM Groupe</t>
  </si>
  <si>
    <t>de Directrice Marketing &amp; Communication Pays</t>
  </si>
  <si>
    <t>de Directrice Outsourcing</t>
  </si>
  <si>
    <t>de Directrice Projet Outsourcing Senior</t>
  </si>
  <si>
    <t>de Directrice Technique</t>
  </si>
  <si>
    <t>de Directrice Technique Adjoint</t>
  </si>
  <si>
    <t>de Directrice Business Conseil</t>
  </si>
  <si>
    <t>de Directrice Conseil Intellectual Property</t>
  </si>
  <si>
    <t>d'Experte communication</t>
  </si>
  <si>
    <t>d'Experte communication sénior</t>
  </si>
  <si>
    <t>d'Experte Fonctionnel Junior</t>
  </si>
  <si>
    <t>d'Experte Mobilité</t>
  </si>
  <si>
    <t>d'Infirmière Travail</t>
  </si>
  <si>
    <t>d'Ingénieur IMS / Experte Technique Junior</t>
  </si>
  <si>
    <t>d'Ingénieur IMS/ Experte Tech</t>
  </si>
  <si>
    <t>de Présidente</t>
  </si>
  <si>
    <t>de Qualiticienne</t>
  </si>
  <si>
    <t>de Senior Vice-Présidente</t>
  </si>
  <si>
    <t>de Specialiste RH</t>
  </si>
  <si>
    <t>de Technicienne Bureautique Cadre</t>
  </si>
  <si>
    <t>de Technicienne Bureautique Employé</t>
  </si>
  <si>
    <t>de Technicienne Logistique</t>
  </si>
  <si>
    <t>Finance–Contrôleur de gestion</t>
  </si>
  <si>
    <t xml:space="preserve">PUR </t>
  </si>
  <si>
    <t xml:space="preserve">ITC </t>
  </si>
  <si>
    <t xml:space="preserve">ADV </t>
  </si>
  <si>
    <t xml:space="preserve">AUD </t>
  </si>
  <si>
    <t xml:space="preserve">ACC </t>
  </si>
  <si>
    <t xml:space="preserve">PAY </t>
  </si>
  <si>
    <t xml:space="preserve">MGC </t>
  </si>
  <si>
    <t xml:space="preserve">GMF </t>
  </si>
  <si>
    <t xml:space="preserve">LEG </t>
  </si>
  <si>
    <t xml:space="preserve">QUA </t>
  </si>
  <si>
    <t xml:space="preserve">GSV </t>
  </si>
  <si>
    <t xml:space="preserve">HAW </t>
  </si>
  <si>
    <t xml:space="preserve">TDV </t>
  </si>
  <si>
    <t xml:space="preserve">MGM </t>
  </si>
  <si>
    <t xml:space="preserve">MKC </t>
  </si>
  <si>
    <t xml:space="preserve">PJD </t>
  </si>
  <si>
    <t xml:space="preserve">ADM </t>
  </si>
  <si>
    <t xml:space="preserve">TRN </t>
  </si>
  <si>
    <t xml:space="preserve">HBP </t>
  </si>
  <si>
    <t xml:space="preserve">REC </t>
  </si>
  <si>
    <t xml:space="preserve">SOR </t>
  </si>
  <si>
    <t xml:space="preserve">CBN </t>
  </si>
  <si>
    <t xml:space="preserve">SAM </t>
  </si>
  <si>
    <t xml:space="preserve">SAN </t>
  </si>
  <si>
    <t xml:space="preserve">SVD </t>
  </si>
  <si>
    <t xml:space="preserve">TEC </t>
  </si>
  <si>
    <r>
      <t>Salary Admin Plan*</t>
    </r>
    <r>
      <rPr>
        <b/>
        <sz val="11"/>
        <rFont val="Calibri"/>
        <family val="2"/>
        <scheme val="minor"/>
      </rPr>
      <t>( Morocco 40h for PMS job positions)</t>
    </r>
  </si>
  <si>
    <r>
      <t>Domaine d’expertise*</t>
    </r>
    <r>
      <rPr>
        <b/>
        <sz val="11"/>
        <rFont val="Calibri"/>
        <family val="2"/>
        <scheme val="minor"/>
      </rPr>
      <t>( Morocco 40h for PMS job positions)</t>
    </r>
  </si>
  <si>
    <t>Rabat, Shore B3, Technopolis, 11100 Salé, Maroc</t>
  </si>
  <si>
    <t>MARFES0001 – FGDC – Fès</t>
  </si>
  <si>
    <t>Worksite:</t>
  </si>
  <si>
    <t>CGI Location</t>
  </si>
  <si>
    <t xml:space="preserve">then Click: </t>
  </si>
  <si>
    <t>AA36</t>
  </si>
  <si>
    <t>AA19</t>
  </si>
  <si>
    <t>AA63</t>
  </si>
  <si>
    <t>AA65</t>
  </si>
  <si>
    <t>AA93</t>
  </si>
  <si>
    <t>AA98</t>
  </si>
  <si>
    <t>AA110</t>
  </si>
  <si>
    <t>AA114</t>
  </si>
  <si>
    <t>AA118</t>
  </si>
  <si>
    <t>AA119</t>
  </si>
  <si>
    <t>AA130</t>
  </si>
  <si>
    <t>AA135</t>
  </si>
  <si>
    <t>AA136</t>
  </si>
  <si>
    <t>AA141</t>
  </si>
  <si>
    <t>AA146</t>
  </si>
  <si>
    <t>AA147</t>
  </si>
  <si>
    <t>W</t>
  </si>
  <si>
    <t>AA129</t>
  </si>
  <si>
    <t>Business title*</t>
  </si>
  <si>
    <t>English</t>
  </si>
  <si>
    <t>Vice président</t>
  </si>
  <si>
    <t>Agent Back Office</t>
  </si>
  <si>
    <t>Responsable compte client junior</t>
  </si>
  <si>
    <t>Chargé de recouvrement confirmé</t>
  </si>
  <si>
    <t>Responsable Comptabilité et Fiscalité</t>
  </si>
  <si>
    <t>Responsable Sourcing</t>
  </si>
  <si>
    <t>Responsable ADV et Recouvrement BPO</t>
  </si>
  <si>
    <t>Assistante Sociale</t>
  </si>
  <si>
    <t>Chargée Adm et Gestion des Ventes référent</t>
  </si>
  <si>
    <t>Comptable Confirmé référent</t>
  </si>
  <si>
    <t>Chargée de Recouvrement référent</t>
  </si>
  <si>
    <t>Chargée de Recouvrement</t>
  </si>
  <si>
    <t>Chargé(e) facturation &amp; adm des ventes confirmé(e)</t>
  </si>
  <si>
    <t>Gestionnaire paie et ADP</t>
  </si>
  <si>
    <t>Chargé(e) facturation &amp; adm des ventes junior</t>
  </si>
  <si>
    <t>Gestionnaire paie et adp junior</t>
  </si>
  <si>
    <t>Responsable paie et ADP BPO</t>
  </si>
  <si>
    <t>Chargé de développement RH</t>
  </si>
  <si>
    <t>Chargé de recrutement</t>
  </si>
  <si>
    <t>Ingénieur Réseaux et Sécurité</t>
  </si>
  <si>
    <t>Administrateur Réseaux et sécurité</t>
  </si>
  <si>
    <t>Team Leader Help Desk</t>
  </si>
  <si>
    <t>Chargé administratif RH Senior</t>
  </si>
  <si>
    <t>Chargé des moyens Généraux</t>
  </si>
  <si>
    <t>Responsable Voyages et Services</t>
  </si>
  <si>
    <t>Développeur(euse) confirmé(e</t>
  </si>
  <si>
    <t>Ingénieur(e) d'etudes confirmé(e)</t>
  </si>
  <si>
    <t>Consultant(e) technique senior</t>
  </si>
  <si>
    <t>Responsable parc informatique</t>
  </si>
  <si>
    <t>de Responsable compte client junior</t>
  </si>
  <si>
    <t>de Chargé de recouvrement confirmé</t>
  </si>
  <si>
    <t>de Responsable Comptabilité et Fiscalité</t>
  </si>
  <si>
    <t>de Responsable Sourcing</t>
  </si>
  <si>
    <t>de Responsable ADV et Recouvrement BPO</t>
  </si>
  <si>
    <t>de Chargée Adm et Gestion des Ventes référent</t>
  </si>
  <si>
    <t>de Comptable Confirmé référent</t>
  </si>
  <si>
    <t>de Chargée de Recouvrement référent</t>
  </si>
  <si>
    <t>de Gestionnaire paie et ADP</t>
  </si>
  <si>
    <t>de Gestionnaire paie et adp junior</t>
  </si>
  <si>
    <t>de Responsable paie et ADP BPO</t>
  </si>
  <si>
    <t>de Chargé de développement RH</t>
  </si>
  <si>
    <t>de Chargé de recrutement</t>
  </si>
  <si>
    <t>de Team Leader Help Desk</t>
  </si>
  <si>
    <t>de Chargé administratif RH Senior</t>
  </si>
  <si>
    <t>de Chargé des moyens Généraux</t>
  </si>
  <si>
    <t>de Responsable Voyages et Services</t>
  </si>
  <si>
    <t>de Responsable parc informatique</t>
  </si>
  <si>
    <t>d'Agent Back Office</t>
  </si>
  <si>
    <t>d'Assistant Sociale</t>
  </si>
  <si>
    <t>de Chargé Adm et Gestion des Ventes référent</t>
  </si>
  <si>
    <t>d'Ingénieur Réseaux et Sécurité</t>
  </si>
  <si>
    <t>d'Administrateur Réseaux et sécurité</t>
  </si>
  <si>
    <t>de Vice-président</t>
  </si>
  <si>
    <t>de Chargé de Recouvrement référent</t>
  </si>
  <si>
    <t>de Chargé facturation &amp; adm des ventes confirmé</t>
  </si>
  <si>
    <t>de Chargé facturation &amp; adm des ventes junior</t>
  </si>
  <si>
    <t>de Développeur confirmé</t>
  </si>
  <si>
    <t>d'Ingénieur d'etudes confirmé</t>
  </si>
  <si>
    <t>de Consultant technique sénior</t>
  </si>
  <si>
    <t>Consultant(e) technique sénior</t>
  </si>
  <si>
    <t>de Vice-présidente</t>
  </si>
  <si>
    <t>d'Agente Back Office</t>
  </si>
  <si>
    <t>de Chargée de recouvrement confirmée</t>
  </si>
  <si>
    <t>d'Assistante Sociale</t>
  </si>
  <si>
    <t>de Chargée facturation &amp; adm des ventes confirmée</t>
  </si>
  <si>
    <t>de Chargée facturation &amp; adm des ventes junior</t>
  </si>
  <si>
    <t>de Chargée de développement RH</t>
  </si>
  <si>
    <t>de Chargée de recrutement</t>
  </si>
  <si>
    <t>d'Ingénieure Réseaux et Sécurité</t>
  </si>
  <si>
    <t>d'Administratrice Réseaux et sécurité</t>
  </si>
  <si>
    <t>de Chargée administrative RH Sénior</t>
  </si>
  <si>
    <t>de Chargée des moyens Généraux</t>
  </si>
  <si>
    <t>de Développeuse confirmée</t>
  </si>
  <si>
    <t>de Ingénieure d'études confirmée</t>
  </si>
  <si>
    <t>de Consultante technique sénior</t>
  </si>
  <si>
    <t>d'Agent de Support Junior</t>
  </si>
  <si>
    <t>d'Acheteur Sénior</t>
  </si>
  <si>
    <t>E491</t>
  </si>
  <si>
    <t>E492</t>
  </si>
  <si>
    <t>E493</t>
  </si>
  <si>
    <t>E494</t>
  </si>
  <si>
    <t>E495</t>
  </si>
  <si>
    <t>E496</t>
  </si>
  <si>
    <t>E497</t>
  </si>
  <si>
    <t>E498</t>
  </si>
  <si>
    <t>E499</t>
  </si>
  <si>
    <t>E500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</si>
  <si>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</si>
  <si>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</si>
  <si>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</si>
  <si>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</si>
  <si>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</si>
  <si>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</si>
  <si>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</si>
  <si>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</si>
  <si>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</si>
  <si>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</si>
  <si>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</si>
  <si>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</si>
  <si>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</si>
  <si>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</si>
  <si>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</si>
  <si>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E516</t>
  </si>
  <si>
    <t>E517</t>
  </si>
  <si>
    <t>E518</t>
  </si>
  <si>
    <t>Taux du variable - Incentives ( PPP)</t>
  </si>
  <si>
    <t>Opérationnels</t>
  </si>
  <si>
    <t>Trainee (007)Under corporate</t>
  </si>
  <si>
    <t>Trainee (001)</t>
  </si>
  <si>
    <t xml:space="preserve">VPC Sector (504) </t>
  </si>
  <si>
    <t>Senior Service Operator (142)</t>
  </si>
  <si>
    <t>Senior Business Consultant (252)</t>
  </si>
  <si>
    <t xml:space="preserve">DC (SDM) - 410 </t>
  </si>
  <si>
    <t>VP Consulting Expert (501)</t>
  </si>
  <si>
    <t>VP Consulting SVCS - Sector (508)</t>
  </si>
  <si>
    <t>GL PAY TYPE</t>
  </si>
  <si>
    <t xml:space="preserve">DIR </t>
  </si>
  <si>
    <t>Non</t>
  </si>
  <si>
    <t>Oui</t>
  </si>
  <si>
    <t xml:space="preserve">Oui </t>
  </si>
  <si>
    <t>PPP - si applicable</t>
  </si>
  <si>
    <t>Consultant   (201)  /  Senior Consultant (202)</t>
  </si>
  <si>
    <t>Service Operator (141)  /</t>
  </si>
  <si>
    <t xml:space="preserve">Business Consultant (251) / </t>
  </si>
  <si>
    <t xml:space="preserve">DC (Expert) - 411 / </t>
  </si>
  <si>
    <t xml:space="preserve">VP Consulting Delivery (502)  / </t>
  </si>
  <si>
    <t>Janvier - January</t>
  </si>
  <si>
    <t>Février - February</t>
  </si>
  <si>
    <t>Mars - March</t>
  </si>
  <si>
    <t>Avril - April</t>
  </si>
  <si>
    <t>Mai - May</t>
  </si>
  <si>
    <t>Juin - June</t>
  </si>
  <si>
    <t>Juillet - July</t>
  </si>
  <si>
    <t>Août - August</t>
  </si>
  <si>
    <t>Septembre - September</t>
  </si>
  <si>
    <t>Octobre - October</t>
  </si>
  <si>
    <t>Novembre - November</t>
  </si>
  <si>
    <t>Décembre - December</t>
  </si>
  <si>
    <t>Année - Year</t>
  </si>
  <si>
    <t>Jour - Day</t>
  </si>
  <si>
    <t>Mois - Month</t>
  </si>
  <si>
    <r>
      <t xml:space="preserve">Contract Clause*   </t>
    </r>
    <r>
      <rPr>
        <b/>
        <i/>
        <u/>
        <sz val="11"/>
        <color theme="1"/>
        <rFont val="Calibri"/>
        <family val="2"/>
        <scheme val="minor"/>
      </rPr>
      <t>Not applicable to Anapec / Internships</t>
    </r>
  </si>
  <si>
    <r>
      <t xml:space="preserve">Clause de contrat (CIMR)*  </t>
    </r>
    <r>
      <rPr>
        <b/>
        <i/>
        <u/>
        <sz val="11"/>
        <color theme="1"/>
        <rFont val="Calibri"/>
        <family val="2"/>
        <scheme val="minor"/>
      </rPr>
      <t>Ne concerne pas les contrats Anapec / Stages</t>
    </r>
  </si>
  <si>
    <t>Main Menu&gt;&gt;Global Payroll &amp; Absence Mgmt&gt;&gt;Payee Data&gt;&gt;Create Overrides&gt;&gt;Assign Work Schedule</t>
  </si>
  <si>
    <t>Assign Work Schedule</t>
  </si>
  <si>
    <t>F3-3-Year College Degree</t>
  </si>
  <si>
    <t>M2-Bac+3 University degree</t>
  </si>
  <si>
    <t>M5-Bac+5 Schl(Eng/Com)cat.B,C</t>
  </si>
  <si>
    <t>F5-Some University</t>
  </si>
  <si>
    <t>G1-One University Certificate</t>
  </si>
  <si>
    <t>G2-Two University Certificates</t>
  </si>
  <si>
    <t>M6-Bac+5 School(Eng/Com)cat.A</t>
  </si>
  <si>
    <t>Column1</t>
  </si>
  <si>
    <t>Column2</t>
  </si>
  <si>
    <t>Email adresse :</t>
  </si>
  <si>
    <t>WP1</t>
  </si>
  <si>
    <t>VS1</t>
  </si>
  <si>
    <t>Technical School</t>
  </si>
  <si>
    <t>École technique</t>
  </si>
  <si>
    <t>Not Indicated</t>
  </si>
  <si>
    <t>Less Than HS Graduate</t>
  </si>
  <si>
    <t>HS Graduate or Equivalent</t>
  </si>
  <si>
    <t>Some College</t>
  </si>
  <si>
    <t>Some Graduate School</t>
  </si>
  <si>
    <t>Doctorate (Academic)</t>
  </si>
  <si>
    <t>Doctorate (Professional)</t>
  </si>
  <si>
    <t>Post-Doctorate</t>
  </si>
  <si>
    <t>F4–Equivalent College Cert</t>
  </si>
  <si>
    <t>M4-Bac+5 University Master 2</t>
  </si>
  <si>
    <t>F- Two Year College Degree</t>
  </si>
  <si>
    <t>Post-Master's Work</t>
  </si>
  <si>
    <t>Bachelors Level Degree</t>
  </si>
  <si>
    <t>Masters Level Degree</t>
  </si>
  <si>
    <t>Work Permit Number:</t>
  </si>
  <si>
    <t>Homme - Men</t>
  </si>
  <si>
    <t>Femme - Women</t>
  </si>
  <si>
    <t>Formulaire d’Embauche Global – Recruitment and Contract Data Form v1.4</t>
  </si>
  <si>
    <t>Niima</t>
  </si>
  <si>
    <t>Bettaoui</t>
  </si>
  <si>
    <t>EC74364</t>
  </si>
  <si>
    <t>Marrakech</t>
  </si>
  <si>
    <t>HAY ENNASSER NR 240 CHICHAOUA</t>
  </si>
  <si>
    <t>CHICHAOUA</t>
  </si>
  <si>
    <t>Bettaouiniima18@gmail.com</t>
  </si>
  <si>
    <t>Zineb Hamdoun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</si>
</sst>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0.00;[Red]0.00"/>
    <numFmt numFmtId="166" formatCode="[$-3409]dd\-mmm\-yy;@"/>
    <numFmt numFmtId="167" formatCode="#,##0;[Red]#,##0"/>
    <numFmt numFmtId="168" formatCode="000"/>
    <numFmt numFmtId="169" formatCode="00000"/>
    <numFmt numFmtId="170" formatCode="\+\2\1\2#########"/>
  </numFmts>
  <fonts count="85" x14ac:knownFonts="1">
    <font>
      <sz val="11"/>
      <color theme="1"/>
      <name val="Calibri"/>
      <family val="2"/>
      <scheme val="minor"/>
    </font>
    <font>
      <b/>
      <sz val="11"/>
      <color rgb="FFFFC000"/>
      <name val="Arial"/>
      <family val="2"/>
    </font>
    <font>
      <b/>
      <u/>
      <sz val="11"/>
      <color rgb="FFFFC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sz val="11"/>
      <name val="Calibri"/>
      <family val="2"/>
    </font>
    <font>
      <i/>
      <sz val="11"/>
      <name val="Calibri"/>
      <family val="2"/>
    </font>
    <font>
      <sz val="11"/>
      <color rgb="FFFF0000"/>
      <name val="Calibri"/>
      <family val="2"/>
      <scheme val="minor"/>
    </font>
    <font>
      <i/>
      <u/>
      <sz val="11"/>
      <color rgb="FFFF0000"/>
      <name val="Calibri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 tint="0.249977111117893"/>
      <name val="Cambria"/>
      <family val="2"/>
      <scheme val="major"/>
    </font>
    <font>
      <b/>
      <sz val="11"/>
      <color theme="0"/>
      <name val="Arial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2"/>
      <name val="Arial"/>
      <family val="2"/>
    </font>
    <font>
      <i/>
      <sz val="12"/>
      <name val="Arial"/>
      <family val="2"/>
    </font>
    <font>
      <b/>
      <sz val="14"/>
      <color theme="0" tint="-0.499984740745262"/>
      <name val="Arial"/>
      <family val="2"/>
    </font>
    <font>
      <sz val="10"/>
      <color indexed="8"/>
      <name val="Verdana"/>
      <family val="2"/>
    </font>
    <font>
      <sz val="12"/>
      <name val="Cambria"/>
      <family val="2"/>
      <scheme val="maj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9A5826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rgb="FFFF0000"/>
      <name val="Calibri"/>
      <family val="2"/>
      <scheme val="minor"/>
    </font>
    <font>
      <u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0"/>
      <color theme="1"/>
      <name val="Calibri"/>
      <family val="2"/>
    </font>
    <font>
      <b/>
      <sz val="10"/>
      <name val="Calibri"/>
      <family val="2"/>
    </font>
    <font>
      <i/>
      <sz val="10"/>
      <color theme="1"/>
      <name val="Calibri"/>
      <family val="2"/>
    </font>
    <font>
      <sz val="10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A1C4D0"/>
      <name val="Arial"/>
      <family val="2"/>
    </font>
    <font>
      <b/>
      <u/>
      <sz val="11"/>
      <color rgb="FFA1C4D0"/>
      <name val="Arial"/>
      <family val="2"/>
    </font>
    <font>
      <b/>
      <sz val="10"/>
      <color rgb="FFFFFFFF"/>
      <name val="Calibri"/>
      <family val="2"/>
    </font>
    <font>
      <sz val="12"/>
      <color theme="3"/>
      <name val="Arial"/>
      <family val="2"/>
    </font>
    <font>
      <strike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trike/>
      <sz val="11"/>
      <color theme="0" tint="-0.249977111117893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363534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i/>
      <sz val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sz val="11"/>
      <color rgb="FF000000"/>
      <name val="Arial"/>
      <family val="2"/>
    </font>
    <font>
      <b/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991F3D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61739"/>
        <bgColor rgb="FF000000"/>
      </patternFill>
    </fill>
    <fill>
      <patternFill patternType="solid">
        <fgColor rgb="FFE61739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E4612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1F3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rgb="FF363534"/>
      </bottom>
      <diagonal/>
    </border>
    <border>
      <left style="thin">
        <color rgb="FF363534"/>
      </left>
      <right style="thin">
        <color rgb="FF363534"/>
      </right>
      <top style="thin">
        <color rgb="FF363534"/>
      </top>
      <bottom/>
      <diagonal/>
    </border>
    <border>
      <left style="thin">
        <color rgb="FF363534"/>
      </left>
      <right style="thin">
        <color rgb="FF363534"/>
      </right>
      <top style="thin">
        <color rgb="FF363534"/>
      </top>
      <bottom style="thin">
        <color rgb="FF363534"/>
      </bottom>
      <diagonal/>
    </border>
    <border>
      <left style="thin">
        <color rgb="FF363534"/>
      </left>
      <right style="thin">
        <color rgb="FF363534"/>
      </right>
      <top/>
      <bottom/>
      <diagonal/>
    </border>
    <border>
      <left style="thin">
        <color rgb="FF363534"/>
      </left>
      <right style="thin">
        <color rgb="FF363534"/>
      </right>
      <top/>
      <bottom style="thin">
        <color rgb="FF363534"/>
      </bottom>
      <diagonal/>
    </border>
    <border>
      <left style="thin">
        <color rgb="FF363534"/>
      </left>
      <right style="thin">
        <color indexed="64"/>
      </right>
      <top style="thin">
        <color rgb="FF363534"/>
      </top>
      <bottom/>
      <diagonal/>
    </border>
    <border>
      <left style="thin">
        <color indexed="64"/>
      </left>
      <right style="thin">
        <color rgb="FF363534"/>
      </right>
      <top style="thin">
        <color rgb="FF363534"/>
      </top>
      <bottom/>
      <diagonal/>
    </border>
    <border>
      <left style="thin">
        <color rgb="FF363534"/>
      </left>
      <right style="thin">
        <color indexed="64"/>
      </right>
      <top/>
      <bottom style="thin">
        <color rgb="FF363534"/>
      </bottom>
      <diagonal/>
    </border>
    <border>
      <left style="thin">
        <color indexed="64"/>
      </left>
      <right style="thin">
        <color rgb="FF363534"/>
      </right>
      <top/>
      <bottom style="thin">
        <color rgb="FF363534"/>
      </bottom>
      <diagonal/>
    </border>
    <border>
      <left style="thin">
        <color rgb="FF363534"/>
      </left>
      <right/>
      <top/>
      <bottom/>
      <diagonal/>
    </border>
    <border>
      <left style="thin">
        <color rgb="FF363534"/>
      </left>
      <right/>
      <top style="thin">
        <color rgb="FF3635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63534"/>
      </left>
      <right/>
      <top/>
      <bottom style="thin">
        <color rgb="FF36353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4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402">
    <xf numFmtId="0" fontId="0" fillId="0" borderId="0" xfId="0"/>
    <xf numFmtId="0" fontId="3" fillId="2" borderId="0" xfId="0" applyFont="1" applyFill="1" applyAlignment="1" applyProtection="1">
      <alignment horizontal="center" vertical="center" wrapText="1"/>
      <protection hidden="1"/>
    </xf>
    <xf numFmtId="0" fontId="0" fillId="0" borderId="1" xfId="0" applyBorder="1" applyAlignment="1">
      <alignment horizontal="left"/>
    </xf>
    <xf numFmtId="0" fontId="0" fillId="3" borderId="0" xfId="0" applyFill="1"/>
    <xf numFmtId="0" fontId="0" fillId="0" borderId="0" xfId="0" applyAlignment="1">
      <alignment horizontal="left"/>
    </xf>
    <xf numFmtId="0" fontId="11" fillId="3" borderId="0" xfId="0" applyFont="1" applyFill="1"/>
    <xf numFmtId="0" fontId="12" fillId="3" borderId="0" xfId="0" applyFont="1" applyFill="1"/>
    <xf numFmtId="0" fontId="13" fillId="0" borderId="0" xfId="0" applyFont="1" applyAlignment="1">
      <alignment vertical="center"/>
    </xf>
    <xf numFmtId="0" fontId="17" fillId="3" borderId="0" xfId="0" applyFont="1" applyFill="1"/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0" fontId="18" fillId="0" borderId="0" xfId="0" applyFont="1" applyAlignment="1">
      <alignment horizontal="left"/>
    </xf>
    <xf numFmtId="9" fontId="18" fillId="0" borderId="0" xfId="0" applyNumberFormat="1" applyFont="1" applyAlignment="1">
      <alignment horizontal="left"/>
    </xf>
    <xf numFmtId="0" fontId="5" fillId="0" borderId="0" xfId="0" applyFont="1" applyAlignment="1" applyProtection="1">
      <alignment horizontal="left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16" fillId="0" borderId="0" xfId="0" applyFont="1" applyAlignment="1" applyProtection="1">
      <alignment horizontal="left" wrapText="1"/>
      <protection hidden="1"/>
    </xf>
    <xf numFmtId="0" fontId="5" fillId="8" borderId="0" xfId="0" applyFont="1" applyFill="1" applyAlignment="1" applyProtection="1">
      <alignment horizontal="center"/>
      <protection hidden="1"/>
    </xf>
    <xf numFmtId="0" fontId="21" fillId="8" borderId="0" xfId="0" applyFont="1" applyFill="1" applyProtection="1">
      <protection hidden="1"/>
    </xf>
    <xf numFmtId="0" fontId="5" fillId="8" borderId="0" xfId="0" applyFont="1" applyFill="1" applyAlignment="1" applyProtection="1">
      <alignment horizontal="left" wrapText="1" indent="1"/>
      <protection hidden="1"/>
    </xf>
    <xf numFmtId="0" fontId="5" fillId="8" borderId="0" xfId="0" applyFont="1" applyFill="1" applyAlignment="1" applyProtection="1">
      <alignment wrapText="1"/>
      <protection hidden="1"/>
    </xf>
    <xf numFmtId="0" fontId="20" fillId="9" borderId="0" xfId="0" applyFont="1" applyFill="1" applyAlignment="1" applyProtection="1">
      <alignment horizontal="left" wrapText="1" indent="1"/>
      <protection hidden="1"/>
    </xf>
    <xf numFmtId="0" fontId="5" fillId="9" borderId="0" xfId="0" applyFont="1" applyFill="1" applyAlignment="1" applyProtection="1">
      <alignment horizontal="center"/>
      <protection hidden="1"/>
    </xf>
    <xf numFmtId="0" fontId="21" fillId="9" borderId="0" xfId="0" applyFont="1" applyFill="1" applyProtection="1">
      <protection hidden="1"/>
    </xf>
    <xf numFmtId="0" fontId="5" fillId="9" borderId="0" xfId="0" applyFont="1" applyFill="1" applyAlignment="1" applyProtection="1">
      <alignment horizontal="left" wrapText="1" indent="1"/>
      <protection hidden="1"/>
    </xf>
    <xf numFmtId="0" fontId="5" fillId="9" borderId="0" xfId="0" applyFont="1" applyFill="1" applyAlignment="1" applyProtection="1">
      <alignment wrapText="1"/>
      <protection hidden="1"/>
    </xf>
    <xf numFmtId="0" fontId="20" fillId="8" borderId="0" xfId="0" applyFont="1" applyFill="1" applyAlignment="1" applyProtection="1">
      <alignment horizontal="left" indent="1"/>
      <protection hidden="1"/>
    </xf>
    <xf numFmtId="0" fontId="5" fillId="8" borderId="0" xfId="0" applyFont="1" applyFill="1" applyProtection="1">
      <protection hidden="1"/>
    </xf>
    <xf numFmtId="0" fontId="5" fillId="8" borderId="0" xfId="0" applyFont="1" applyFill="1" applyAlignment="1" applyProtection="1">
      <alignment horizontal="left" indent="1"/>
      <protection hidden="1"/>
    </xf>
    <xf numFmtId="0" fontId="0" fillId="0" borderId="0" xfId="0" applyAlignment="1">
      <alignment wrapText="1"/>
    </xf>
    <xf numFmtId="0" fontId="0" fillId="7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9" borderId="0" xfId="0" applyFont="1" applyFill="1" applyAlignment="1" applyProtection="1">
      <alignment horizontal="left"/>
      <protection hidden="1"/>
    </xf>
    <xf numFmtId="0" fontId="5" fillId="9" borderId="0" xfId="0" applyFont="1" applyFill="1" applyAlignment="1" applyProtection="1">
      <alignment horizontal="left" wrapText="1"/>
      <protection hidden="1"/>
    </xf>
    <xf numFmtId="0" fontId="0" fillId="8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indent="2"/>
    </xf>
    <xf numFmtId="0" fontId="0" fillId="8" borderId="0" xfId="0" applyFill="1"/>
    <xf numFmtId="0" fontId="5" fillId="8" borderId="0" xfId="0" applyFont="1" applyFill="1" applyAlignment="1" applyProtection="1">
      <alignment horizontal="left" wrapText="1"/>
      <protection hidden="1"/>
    </xf>
    <xf numFmtId="0" fontId="0" fillId="10" borderId="0" xfId="0" applyFill="1"/>
    <xf numFmtId="0" fontId="0" fillId="0" borderId="0" xfId="0" applyAlignment="1">
      <alignment vertical="center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left"/>
    </xf>
    <xf numFmtId="0" fontId="0" fillId="11" borderId="0" xfId="0" applyFill="1"/>
    <xf numFmtId="0" fontId="15" fillId="12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left" wrapText="1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5" fillId="0" borderId="0" xfId="0" applyFont="1" applyAlignment="1" applyProtection="1">
      <alignment horizontal="left" wrapText="1"/>
      <protection hidden="1"/>
    </xf>
    <xf numFmtId="9" fontId="0" fillId="0" borderId="0" xfId="1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applyBorder="1"/>
    <xf numFmtId="0" fontId="0" fillId="13" borderId="0" xfId="0" applyFill="1"/>
    <xf numFmtId="0" fontId="25" fillId="14" borderId="4" xfId="0" applyFont="1" applyFill="1" applyBorder="1" applyAlignment="1">
      <alignment horizontal="left" vertical="top"/>
    </xf>
    <xf numFmtId="0" fontId="17" fillId="13" borderId="0" xfId="0" applyFont="1" applyFill="1"/>
    <xf numFmtId="0" fontId="0" fillId="0" borderId="0" xfId="0" applyProtection="1">
      <protection hidden="1"/>
    </xf>
    <xf numFmtId="0" fontId="17" fillId="0" borderId="0" xfId="0" applyFont="1" applyProtection="1">
      <protection hidden="1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0" fillId="6" borderId="0" xfId="0" applyFill="1"/>
    <xf numFmtId="0" fontId="5" fillId="3" borderId="0" xfId="0" applyFont="1" applyFill="1" applyProtection="1">
      <protection hidden="1"/>
    </xf>
    <xf numFmtId="0" fontId="5" fillId="3" borderId="0" xfId="0" applyFont="1" applyFill="1" applyAlignment="1" applyProtection="1">
      <alignment horizontal="left" indent="1"/>
      <protection hidden="1"/>
    </xf>
    <xf numFmtId="0" fontId="0" fillId="15" borderId="0" xfId="0" applyFill="1"/>
    <xf numFmtId="166" fontId="0" fillId="0" borderId="0" xfId="0" applyNumberFormat="1"/>
    <xf numFmtId="0" fontId="0" fillId="7" borderId="0" xfId="0" applyFill="1" applyProtection="1">
      <protection hidden="1"/>
    </xf>
    <xf numFmtId="0" fontId="18" fillId="0" borderId="0" xfId="0" applyFont="1"/>
    <xf numFmtId="0" fontId="26" fillId="0" borderId="0" xfId="0" applyFont="1"/>
    <xf numFmtId="0" fontId="0" fillId="7" borderId="0" xfId="0" applyFill="1"/>
    <xf numFmtId="0" fontId="0" fillId="16" borderId="0" xfId="0" applyFill="1"/>
    <xf numFmtId="0" fontId="7" fillId="3" borderId="0" xfId="0" applyFont="1" applyFill="1"/>
    <xf numFmtId="9" fontId="0" fillId="16" borderId="0" xfId="1" applyFont="1" applyFill="1"/>
    <xf numFmtId="0" fontId="27" fillId="3" borderId="0" xfId="0" applyFont="1" applyFill="1" applyAlignment="1">
      <alignment horizontal="center"/>
    </xf>
    <xf numFmtId="0" fontId="28" fillId="3" borderId="0" xfId="0" applyFont="1" applyFill="1"/>
    <xf numFmtId="0" fontId="28" fillId="3" borderId="0" xfId="0" applyFont="1" applyFill="1" applyAlignment="1">
      <alignment horizontal="center"/>
    </xf>
    <xf numFmtId="0" fontId="28" fillId="5" borderId="0" xfId="0" applyFont="1" applyFill="1" applyAlignment="1">
      <alignment horizontal="right"/>
    </xf>
    <xf numFmtId="0" fontId="28" fillId="5" borderId="0" xfId="0" applyFont="1" applyFill="1"/>
    <xf numFmtId="0" fontId="28" fillId="3" borderId="0" xfId="0" applyFont="1" applyFill="1" applyAlignment="1">
      <alignment vertical="center"/>
    </xf>
    <xf numFmtId="0" fontId="28" fillId="3" borderId="0" xfId="0" applyFont="1" applyFill="1" applyAlignment="1">
      <alignment horizontal="center" vertical="center"/>
    </xf>
    <xf numFmtId="0" fontId="28" fillId="3" borderId="0" xfId="0" applyFont="1" applyFill="1" applyAlignment="1" applyProtection="1">
      <alignment horizont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28" fillId="3" borderId="0" xfId="0" applyFont="1" applyFill="1" applyAlignment="1" applyProtection="1">
      <alignment vertical="center"/>
      <protection hidden="1"/>
    </xf>
    <xf numFmtId="0" fontId="28" fillId="3" borderId="0" xfId="0" applyFont="1" applyFill="1" applyProtection="1">
      <protection hidden="1"/>
    </xf>
    <xf numFmtId="0" fontId="31" fillId="17" borderId="0" xfId="0" applyFont="1" applyFill="1" applyProtection="1">
      <protection hidden="1"/>
    </xf>
    <xf numFmtId="0" fontId="28" fillId="5" borderId="0" xfId="0" applyFont="1" applyFill="1" applyAlignment="1" applyProtection="1">
      <alignment horizontal="right"/>
      <protection hidden="1"/>
    </xf>
    <xf numFmtId="0" fontId="28" fillId="5" borderId="0" xfId="0" applyFont="1" applyFill="1" applyProtection="1">
      <protection hidden="1"/>
    </xf>
    <xf numFmtId="0" fontId="28" fillId="5" borderId="0" xfId="0" applyFont="1" applyFill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left"/>
      <protection hidden="1"/>
    </xf>
    <xf numFmtId="1" fontId="28" fillId="5" borderId="0" xfId="0" applyNumberFormat="1" applyFont="1" applyFill="1" applyAlignment="1" applyProtection="1">
      <alignment horizontal="center"/>
      <protection hidden="1"/>
    </xf>
    <xf numFmtId="0" fontId="28" fillId="3" borderId="0" xfId="0" applyFont="1" applyFill="1" applyAlignment="1" applyProtection="1">
      <alignment horizontal="center" vertical="center"/>
      <protection hidden="1"/>
    </xf>
    <xf numFmtId="0" fontId="16" fillId="19" borderId="5" xfId="0" applyFont="1" applyFill="1" applyBorder="1"/>
    <xf numFmtId="0" fontId="0" fillId="0" borderId="5" xfId="0" applyBorder="1"/>
    <xf numFmtId="0" fontId="35" fillId="0" borderId="0" xfId="2" applyAlignment="1">
      <alignment horizontal="left" vertical="center"/>
    </xf>
    <xf numFmtId="0" fontId="40" fillId="20" borderId="0" xfId="0" applyFont="1" applyFill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28" fillId="3" borderId="0" xfId="0" applyFont="1" applyFill="1" applyAlignment="1">
      <alignment wrapText="1"/>
    </xf>
    <xf numFmtId="0" fontId="0" fillId="3" borderId="6" xfId="0" applyFill="1" applyBorder="1"/>
    <xf numFmtId="0" fontId="44" fillId="21" borderId="7" xfId="0" applyFont="1" applyFill="1" applyBorder="1" applyAlignment="1" applyProtection="1">
      <alignment horizontal="center" vertical="center"/>
      <protection hidden="1"/>
    </xf>
    <xf numFmtId="0" fontId="44" fillId="9" borderId="5" xfId="0" applyFont="1" applyFill="1" applyBorder="1" applyAlignment="1" applyProtection="1">
      <alignment horizontal="center" vertical="center"/>
      <protection hidden="1"/>
    </xf>
    <xf numFmtId="0" fontId="44" fillId="8" borderId="5" xfId="0" applyFont="1" applyFill="1" applyBorder="1" applyAlignment="1" applyProtection="1">
      <alignment horizontal="center" vertical="center"/>
      <protection hidden="1"/>
    </xf>
    <xf numFmtId="0" fontId="27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12" fillId="3" borderId="0" xfId="0" applyFont="1" applyFill="1" applyAlignment="1">
      <alignment wrapText="1"/>
    </xf>
    <xf numFmtId="0" fontId="28" fillId="3" borderId="0" xfId="0" applyFont="1" applyFill="1" applyAlignment="1">
      <alignment vertical="top" wrapText="1"/>
    </xf>
    <xf numFmtId="0" fontId="0" fillId="3" borderId="0" xfId="0" applyFill="1" applyAlignment="1">
      <alignment wrapText="1"/>
    </xf>
    <xf numFmtId="0" fontId="0" fillId="3" borderId="6" xfId="0" applyFill="1" applyBorder="1" applyAlignment="1">
      <alignment wrapText="1"/>
    </xf>
    <xf numFmtId="0" fontId="27" fillId="21" borderId="7" xfId="0" applyFont="1" applyFill="1" applyBorder="1" applyAlignment="1" applyProtection="1">
      <alignment vertical="center" wrapText="1"/>
      <protection hidden="1"/>
    </xf>
    <xf numFmtId="0" fontId="28" fillId="21" borderId="7" xfId="0" applyFont="1" applyFill="1" applyBorder="1" applyAlignment="1" applyProtection="1">
      <alignment horizontal="left" vertical="center" wrapText="1"/>
      <protection hidden="1"/>
    </xf>
    <xf numFmtId="0" fontId="28" fillId="9" borderId="5" xfId="0" applyFont="1" applyFill="1" applyBorder="1" applyAlignment="1" applyProtection="1">
      <alignment vertical="center" wrapText="1"/>
      <protection hidden="1"/>
    </xf>
    <xf numFmtId="0" fontId="28" fillId="9" borderId="5" xfId="0" applyFont="1" applyFill="1" applyBorder="1" applyAlignment="1" applyProtection="1">
      <alignment horizontal="left" vertical="center" wrapText="1"/>
      <protection hidden="1"/>
    </xf>
    <xf numFmtId="0" fontId="28" fillId="8" borderId="5" xfId="0" applyFont="1" applyFill="1" applyBorder="1" applyAlignment="1" applyProtection="1">
      <alignment vertical="center" wrapText="1"/>
      <protection hidden="1"/>
    </xf>
    <xf numFmtId="0" fontId="28" fillId="8" borderId="5" xfId="0" applyFont="1" applyFill="1" applyBorder="1" applyAlignment="1" applyProtection="1">
      <alignment horizontal="left" vertical="center" wrapText="1"/>
      <protection hidden="1"/>
    </xf>
    <xf numFmtId="0" fontId="27" fillId="3" borderId="5" xfId="0" applyFont="1" applyFill="1" applyBorder="1" applyAlignment="1">
      <alignment vertical="center" wrapText="1"/>
    </xf>
    <xf numFmtId="0" fontId="27" fillId="3" borderId="5" xfId="0" applyFont="1" applyFill="1" applyBorder="1" applyAlignment="1">
      <alignment horizontal="left" vertical="center" wrapText="1"/>
    </xf>
    <xf numFmtId="0" fontId="33" fillId="3" borderId="5" xfId="0" applyFont="1" applyFill="1" applyBorder="1" applyAlignment="1">
      <alignment vertical="center" wrapText="1"/>
    </xf>
    <xf numFmtId="0" fontId="33" fillId="3" borderId="5" xfId="0" applyFont="1" applyFill="1" applyBorder="1" applyAlignment="1">
      <alignment horizontal="left" vertical="center" wrapText="1"/>
    </xf>
    <xf numFmtId="0" fontId="47" fillId="22" borderId="6" xfId="0" applyFont="1" applyFill="1" applyBorder="1" applyAlignment="1">
      <alignment horizontal="center"/>
    </xf>
    <xf numFmtId="0" fontId="47" fillId="22" borderId="6" xfId="0" applyFont="1" applyFill="1" applyBorder="1"/>
    <xf numFmtId="0" fontId="48" fillId="3" borderId="0" xfId="0" applyFont="1" applyFill="1" applyAlignment="1" applyProtection="1">
      <alignment horizontal="center" vertical="center"/>
      <protection hidden="1"/>
    </xf>
    <xf numFmtId="0" fontId="49" fillId="3" borderId="0" xfId="0" applyFont="1" applyFill="1" applyProtection="1">
      <protection hidden="1"/>
    </xf>
    <xf numFmtId="0" fontId="50" fillId="3" borderId="0" xfId="0" applyFont="1" applyFill="1"/>
    <xf numFmtId="0" fontId="48" fillId="9" borderId="0" xfId="0" applyFont="1" applyFill="1" applyAlignment="1" applyProtection="1">
      <alignment horizontal="center"/>
      <protection hidden="1"/>
    </xf>
    <xf numFmtId="0" fontId="49" fillId="9" borderId="0" xfId="0" applyFont="1" applyFill="1" applyProtection="1">
      <protection hidden="1"/>
    </xf>
    <xf numFmtId="0" fontId="48" fillId="8" borderId="0" xfId="0" applyFont="1" applyFill="1" applyAlignment="1" applyProtection="1">
      <alignment horizontal="center"/>
      <protection hidden="1"/>
    </xf>
    <xf numFmtId="0" fontId="49" fillId="8" borderId="0" xfId="0" applyFont="1" applyFill="1" applyProtection="1">
      <protection hidden="1"/>
    </xf>
    <xf numFmtId="0" fontId="49" fillId="8" borderId="0" xfId="0" applyFont="1" applyFill="1" applyAlignment="1" applyProtection="1">
      <alignment horizontal="left" indent="1"/>
      <protection hidden="1"/>
    </xf>
    <xf numFmtId="0" fontId="48" fillId="3" borderId="0" xfId="0" applyFont="1" applyFill="1" applyAlignment="1" applyProtection="1">
      <alignment horizontal="center"/>
      <protection hidden="1"/>
    </xf>
    <xf numFmtId="0" fontId="51" fillId="3" borderId="0" xfId="0" applyFont="1" applyFill="1" applyProtection="1">
      <protection hidden="1"/>
    </xf>
    <xf numFmtId="0" fontId="51" fillId="3" borderId="0" xfId="0" applyFont="1" applyFill="1" applyAlignment="1" applyProtection="1">
      <alignment horizontal="left" indent="1"/>
      <protection hidden="1"/>
    </xf>
    <xf numFmtId="0" fontId="7" fillId="0" borderId="0" xfId="0" applyFont="1" applyAlignment="1">
      <alignment vertical="center"/>
    </xf>
    <xf numFmtId="0" fontId="0" fillId="0" borderId="2" xfId="0" applyBorder="1" applyAlignment="1">
      <alignment horizontal="left"/>
    </xf>
    <xf numFmtId="0" fontId="0" fillId="6" borderId="2" xfId="0" applyFill="1" applyBorder="1" applyAlignment="1" applyProtection="1">
      <alignment horizontal="left"/>
      <protection hidden="1"/>
    </xf>
    <xf numFmtId="0" fontId="0" fillId="6" borderId="0" xfId="0" applyFill="1" applyAlignment="1">
      <alignment horizontal="center"/>
    </xf>
    <xf numFmtId="0" fontId="0" fillId="5" borderId="0" xfId="0" applyFill="1"/>
    <xf numFmtId="0" fontId="53" fillId="5" borderId="0" xfId="0" applyFont="1" applyFill="1" applyAlignment="1">
      <alignment vertical="center"/>
    </xf>
    <xf numFmtId="0" fontId="0" fillId="5" borderId="5" xfId="0" applyFill="1" applyBorder="1"/>
    <xf numFmtId="0" fontId="52" fillId="0" borderId="0" xfId="0" applyFont="1"/>
    <xf numFmtId="0" fontId="28" fillId="0" borderId="0" xfId="0" applyFont="1" applyAlignment="1" applyProtection="1">
      <alignment horizontal="left"/>
      <protection hidden="1"/>
    </xf>
    <xf numFmtId="0" fontId="29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 vertical="center"/>
      <protection hidden="1"/>
    </xf>
    <xf numFmtId="14" fontId="28" fillId="6" borderId="0" xfId="0" applyNumberFormat="1" applyFont="1" applyFill="1" applyAlignment="1" applyProtection="1">
      <alignment horizontal="center"/>
      <protection hidden="1"/>
    </xf>
    <xf numFmtId="0" fontId="39" fillId="5" borderId="0" xfId="0" applyFont="1" applyFill="1" applyProtection="1"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28" fillId="0" borderId="0" xfId="0" applyFont="1" applyAlignment="1" applyProtection="1">
      <alignment horizontal="right" wrapText="1"/>
      <protection hidden="1"/>
    </xf>
    <xf numFmtId="0" fontId="28" fillId="0" borderId="0" xfId="0" applyFont="1" applyAlignment="1" applyProtection="1">
      <alignment horizontal="center"/>
      <protection hidden="1"/>
    </xf>
    <xf numFmtId="0" fontId="28" fillId="5" borderId="0" xfId="0" applyFont="1" applyFill="1" applyAlignment="1" applyProtection="1">
      <alignment horizontal="left"/>
      <protection hidden="1"/>
    </xf>
    <xf numFmtId="0" fontId="12" fillId="5" borderId="0" xfId="0" applyFont="1" applyFill="1" applyAlignment="1" applyProtection="1">
      <alignment horizontal="center"/>
      <protection hidden="1"/>
    </xf>
    <xf numFmtId="3" fontId="28" fillId="5" borderId="0" xfId="0" applyNumberFormat="1" applyFont="1" applyFill="1" applyAlignment="1" applyProtection="1">
      <alignment horizontal="center"/>
      <protection hidden="1"/>
    </xf>
    <xf numFmtId="0" fontId="32" fillId="5" borderId="0" xfId="0" applyFont="1" applyFill="1" applyProtection="1">
      <protection hidden="1"/>
    </xf>
    <xf numFmtId="0" fontId="30" fillId="3" borderId="0" xfId="0" applyFont="1" applyFill="1" applyAlignment="1" applyProtection="1">
      <alignment horizontal="center" vertical="center"/>
      <protection hidden="1"/>
    </xf>
    <xf numFmtId="0" fontId="27" fillId="5" borderId="0" xfId="0" applyFont="1" applyFill="1" applyAlignment="1" applyProtection="1">
      <alignment horizontal="center"/>
      <protection hidden="1"/>
    </xf>
    <xf numFmtId="0" fontId="28" fillId="5" borderId="0" xfId="0" applyFont="1" applyFill="1" applyAlignment="1" applyProtection="1">
      <alignment horizontal="left" vertical="center"/>
      <protection hidden="1"/>
    </xf>
    <xf numFmtId="0" fontId="29" fillId="5" borderId="0" xfId="0" applyFont="1" applyFill="1" applyProtection="1">
      <protection hidden="1"/>
    </xf>
    <xf numFmtId="0" fontId="33" fillId="5" borderId="0" xfId="0" applyFont="1" applyFill="1" applyProtection="1">
      <protection hidden="1"/>
    </xf>
    <xf numFmtId="0" fontId="34" fillId="5" borderId="0" xfId="0" applyFont="1" applyFill="1" applyProtection="1">
      <protection hidden="1"/>
    </xf>
    <xf numFmtId="0" fontId="30" fillId="5" borderId="0" xfId="0" applyFont="1" applyFill="1" applyProtection="1">
      <protection hidden="1"/>
    </xf>
    <xf numFmtId="0" fontId="28" fillId="6" borderId="0" xfId="0" applyFont="1" applyFill="1" applyAlignment="1" applyProtection="1">
      <alignment horizontal="center"/>
      <protection hidden="1"/>
    </xf>
    <xf numFmtId="0" fontId="28" fillId="5" borderId="0" xfId="0" quotePrefix="1" applyFont="1" applyFill="1" applyAlignment="1" applyProtection="1">
      <alignment horizontal="center"/>
      <protection hidden="1"/>
    </xf>
    <xf numFmtId="0" fontId="38" fillId="5" borderId="0" xfId="0" applyFont="1" applyFill="1" applyProtection="1">
      <protection hidden="1"/>
    </xf>
    <xf numFmtId="0" fontId="33" fillId="5" borderId="0" xfId="0" applyFont="1" applyFill="1" applyAlignment="1" applyProtection="1">
      <alignment horizontal="center"/>
      <protection hidden="1"/>
    </xf>
    <xf numFmtId="0" fontId="28" fillId="18" borderId="0" xfId="0" applyFont="1" applyFill="1" applyAlignment="1" applyProtection="1">
      <alignment horizontal="right"/>
      <protection hidden="1"/>
    </xf>
    <xf numFmtId="14" fontId="28" fillId="18" borderId="0" xfId="0" applyNumberFormat="1" applyFont="1" applyFill="1" applyAlignment="1" applyProtection="1">
      <alignment horizontal="center"/>
      <protection hidden="1"/>
    </xf>
    <xf numFmtId="0" fontId="28" fillId="18" borderId="0" xfId="0" applyFont="1" applyFill="1" applyProtection="1">
      <protection hidden="1"/>
    </xf>
    <xf numFmtId="167" fontId="28" fillId="5" borderId="0" xfId="0" applyNumberFormat="1" applyFont="1" applyFill="1" applyAlignment="1" applyProtection="1">
      <alignment horizontal="center"/>
      <protection hidden="1"/>
    </xf>
    <xf numFmtId="165" fontId="28" fillId="5" borderId="0" xfId="0" applyNumberFormat="1" applyFont="1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right"/>
      <protection hidden="1"/>
    </xf>
    <xf numFmtId="0" fontId="28" fillId="0" borderId="0" xfId="0" applyFont="1" applyProtection="1">
      <protection hidden="1"/>
    </xf>
    <xf numFmtId="0" fontId="27" fillId="7" borderId="0" xfId="0" applyFont="1" applyFill="1" applyProtection="1">
      <protection hidden="1"/>
    </xf>
    <xf numFmtId="0" fontId="28" fillId="7" borderId="0" xfId="0" applyFont="1" applyFill="1" applyProtection="1"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37" fillId="5" borderId="0" xfId="0" applyFont="1" applyFill="1" applyProtection="1">
      <protection hidden="1"/>
    </xf>
    <xf numFmtId="0" fontId="28" fillId="3" borderId="0" xfId="0" applyFont="1" applyFill="1" applyAlignment="1" applyProtection="1">
      <alignment horizontal="right"/>
      <protection hidden="1"/>
    </xf>
    <xf numFmtId="0" fontId="16" fillId="0" borderId="0" xfId="0" applyFont="1"/>
    <xf numFmtId="0" fontId="3" fillId="24" borderId="0" xfId="0" applyFont="1" applyFill="1" applyAlignment="1" applyProtection="1">
      <alignment horizontal="center" vertical="center" wrapText="1"/>
      <protection hidden="1"/>
    </xf>
    <xf numFmtId="0" fontId="4" fillId="24" borderId="0" xfId="0" applyFont="1" applyFill="1" applyAlignment="1" applyProtection="1">
      <alignment horizontal="left" wrapText="1"/>
      <protection hidden="1"/>
    </xf>
    <xf numFmtId="0" fontId="3" fillId="24" borderId="0" xfId="0" applyFont="1" applyFill="1" applyAlignment="1" applyProtection="1">
      <alignment horizontal="left" vertical="center" wrapText="1"/>
      <protection hidden="1"/>
    </xf>
    <xf numFmtId="0" fontId="12" fillId="25" borderId="0" xfId="0" applyFont="1" applyFill="1" applyProtection="1">
      <protection hidden="1"/>
    </xf>
    <xf numFmtId="0" fontId="11" fillId="25" borderId="0" xfId="0" applyFont="1" applyFill="1" applyProtection="1">
      <protection hidden="1"/>
    </xf>
    <xf numFmtId="0" fontId="12" fillId="25" borderId="0" xfId="0" applyFont="1" applyFill="1" applyAlignment="1" applyProtection="1">
      <alignment horizontal="center"/>
      <protection hidden="1"/>
    </xf>
    <xf numFmtId="0" fontId="12" fillId="25" borderId="0" xfId="0" applyFont="1" applyFill="1" applyAlignment="1" applyProtection="1">
      <alignment horizontal="right"/>
      <protection hidden="1"/>
    </xf>
    <xf numFmtId="0" fontId="11" fillId="25" borderId="0" xfId="0" applyFont="1" applyFill="1" applyAlignment="1" applyProtection="1">
      <alignment horizontal="center"/>
      <protection hidden="1"/>
    </xf>
    <xf numFmtId="0" fontId="11" fillId="25" borderId="0" xfId="0" applyFont="1" applyFill="1" applyAlignment="1" applyProtection="1">
      <alignment horizontal="right"/>
      <protection hidden="1"/>
    </xf>
    <xf numFmtId="0" fontId="11" fillId="25" borderId="0" xfId="0" applyFont="1" applyFill="1" applyAlignment="1" applyProtection="1">
      <alignment horizontal="left"/>
      <protection hidden="1"/>
    </xf>
    <xf numFmtId="0" fontId="0" fillId="0" borderId="0" xfId="0" quotePrefix="1"/>
    <xf numFmtId="0" fontId="0" fillId="0" borderId="5" xfId="0" applyBorder="1" applyAlignment="1">
      <alignment horizontal="center" vertical="center"/>
    </xf>
    <xf numFmtId="0" fontId="28" fillId="3" borderId="0" xfId="0" applyFont="1" applyFill="1" applyAlignment="1" applyProtection="1">
      <alignment horizontal="left" wrapText="1"/>
      <protection hidden="1"/>
    </xf>
    <xf numFmtId="0" fontId="0" fillId="0" borderId="1" xfId="0" applyBorder="1"/>
    <xf numFmtId="0" fontId="0" fillId="13" borderId="5" xfId="0" applyFill="1" applyBorder="1" applyAlignment="1">
      <alignment horizontal="left"/>
    </xf>
    <xf numFmtId="0" fontId="0" fillId="3" borderId="5" xfId="0" applyFill="1" applyBorder="1"/>
    <xf numFmtId="0" fontId="0" fillId="13" borderId="5" xfId="0" applyFill="1" applyBorder="1"/>
    <xf numFmtId="0" fontId="28" fillId="13" borderId="0" xfId="0" applyFont="1" applyFill="1" applyAlignment="1" applyProtection="1">
      <alignment horizontal="left"/>
      <protection hidden="1"/>
    </xf>
    <xf numFmtId="0" fontId="28" fillId="13" borderId="0" xfId="0" applyFont="1" applyFill="1" applyAlignment="1" applyProtection="1">
      <alignment horizontal="right"/>
      <protection hidden="1"/>
    </xf>
    <xf numFmtId="0" fontId="0" fillId="3" borderId="2" xfId="0" applyFill="1" applyBorder="1" applyAlignment="1">
      <alignment horizontal="left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center"/>
    </xf>
    <xf numFmtId="0" fontId="0" fillId="6" borderId="2" xfId="0" applyFill="1" applyBorder="1" applyAlignment="1">
      <alignment horizontal="left"/>
    </xf>
    <xf numFmtId="0" fontId="56" fillId="26" borderId="8" xfId="0" applyFont="1" applyFill="1" applyBorder="1" applyAlignment="1">
      <alignment vertical="center" wrapText="1"/>
    </xf>
    <xf numFmtId="0" fontId="15" fillId="7" borderId="0" xfId="0" applyFont="1" applyFill="1" applyAlignment="1">
      <alignment horizontal="left" vertical="center" wrapText="1"/>
    </xf>
    <xf numFmtId="0" fontId="17" fillId="0" borderId="5" xfId="0" applyFont="1" applyBorder="1" applyAlignment="1">
      <alignment wrapText="1"/>
    </xf>
    <xf numFmtId="0" fontId="17" fillId="0" borderId="5" xfId="0" applyFont="1" applyBorder="1"/>
    <xf numFmtId="0" fontId="0" fillId="0" borderId="5" xfId="0" applyBorder="1" applyAlignment="1">
      <alignment wrapText="1"/>
    </xf>
    <xf numFmtId="0" fontId="0" fillId="0" borderId="5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57" fillId="0" borderId="0" xfId="0" applyFont="1" applyAlignment="1" applyProtection="1">
      <alignment horizontal="right"/>
      <protection locked="0"/>
    </xf>
    <xf numFmtId="0" fontId="57" fillId="0" borderId="0" xfId="0" applyFont="1" applyAlignment="1" applyProtection="1">
      <alignment horizontal="left"/>
      <protection locked="0"/>
    </xf>
    <xf numFmtId="0" fontId="17" fillId="0" borderId="0" xfId="0" applyFont="1" applyAlignment="1">
      <alignment horizontal="left" wrapText="1"/>
    </xf>
    <xf numFmtId="0" fontId="17" fillId="0" borderId="0" xfId="0" applyFont="1" applyAlignment="1">
      <alignment horizontal="left"/>
    </xf>
    <xf numFmtId="0" fontId="5" fillId="0" borderId="5" xfId="0" applyFont="1" applyBorder="1" applyAlignment="1">
      <alignment vertical="center"/>
    </xf>
    <xf numFmtId="0" fontId="0" fillId="0" borderId="5" xfId="0" applyBorder="1" applyAlignment="1">
      <alignment horizontal="left" vertical="center" wrapText="1" shrinkToFit="1"/>
    </xf>
    <xf numFmtId="0" fontId="17" fillId="0" borderId="5" xfId="0" applyFont="1" applyBorder="1" applyAlignment="1">
      <alignment horizontal="left" vertical="center" wrapText="1" shrinkToFit="1"/>
    </xf>
    <xf numFmtId="0" fontId="17" fillId="0" borderId="5" xfId="0" applyFont="1" applyBorder="1" applyAlignment="1">
      <alignment horizontal="left" wrapText="1"/>
    </xf>
    <xf numFmtId="0" fontId="17" fillId="0" borderId="5" xfId="0" applyFont="1" applyBorder="1" applyAlignment="1">
      <alignment horizontal="left"/>
    </xf>
    <xf numFmtId="0" fontId="17" fillId="0" borderId="5" xfId="0" applyFont="1" applyBorder="1" applyAlignment="1">
      <alignment vertical="center"/>
    </xf>
    <xf numFmtId="0" fontId="59" fillId="0" borderId="5" xfId="0" applyFont="1" applyBorder="1" applyAlignment="1">
      <alignment vertical="center" wrapText="1"/>
    </xf>
    <xf numFmtId="0" fontId="17" fillId="0" borderId="5" xfId="0" applyFont="1" applyBorder="1" applyAlignment="1">
      <alignment horizontal="left" vertical="center" shrinkToFit="1"/>
    </xf>
    <xf numFmtId="0" fontId="17" fillId="0" borderId="5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61" fillId="0" borderId="0" xfId="0" applyFont="1" applyAlignment="1">
      <alignment horizontal="center" vertical="center" wrapText="1"/>
    </xf>
    <xf numFmtId="0" fontId="62" fillId="0" borderId="0" xfId="0" applyFont="1"/>
    <xf numFmtId="0" fontId="63" fillId="0" borderId="5" xfId="0" applyFont="1" applyBorder="1" applyAlignment="1">
      <alignment horizontal="left" wrapText="1"/>
    </xf>
    <xf numFmtId="0" fontId="63" fillId="0" borderId="5" xfId="0" applyFont="1" applyBorder="1" applyAlignment="1">
      <alignment horizontal="left" vertical="center"/>
    </xf>
    <xf numFmtId="0" fontId="63" fillId="0" borderId="5" xfId="0" applyFont="1" applyBorder="1" applyAlignment="1">
      <alignment horizontal="left" vertical="center" shrinkToFit="1"/>
    </xf>
    <xf numFmtId="0" fontId="63" fillId="0" borderId="5" xfId="0" applyFont="1" applyBorder="1" applyAlignment="1">
      <alignment vertical="center"/>
    </xf>
    <xf numFmtId="0" fontId="63" fillId="0" borderId="5" xfId="0" applyFont="1" applyBorder="1" applyAlignment="1">
      <alignment wrapText="1"/>
    </xf>
    <xf numFmtId="0" fontId="63" fillId="0" borderId="5" xfId="0" applyFont="1" applyBorder="1"/>
    <xf numFmtId="0" fontId="64" fillId="0" borderId="5" xfId="0" applyFont="1" applyBorder="1" applyAlignment="1">
      <alignment vertical="center" wrapText="1"/>
    </xf>
    <xf numFmtId="0" fontId="64" fillId="0" borderId="5" xfId="0" applyFont="1" applyBorder="1" applyAlignment="1">
      <alignment vertical="center"/>
    </xf>
    <xf numFmtId="0" fontId="63" fillId="0" borderId="5" xfId="0" applyFont="1" applyBorder="1" applyAlignment="1">
      <alignment vertical="center" wrapText="1"/>
    </xf>
    <xf numFmtId="0" fontId="63" fillId="0" borderId="5" xfId="0" applyFont="1" applyBorder="1" applyAlignment="1">
      <alignment horizontal="left"/>
    </xf>
    <xf numFmtId="0" fontId="63" fillId="0" borderId="5" xfId="0" applyFont="1" applyBorder="1" applyAlignment="1">
      <alignment horizontal="left" vertical="center" wrapText="1" shrinkToFit="1"/>
    </xf>
    <xf numFmtId="0" fontId="62" fillId="0" borderId="5" xfId="0" applyFont="1" applyBorder="1" applyAlignment="1" applyProtection="1">
      <alignment horizontal="left"/>
      <protection locked="0" hidden="1"/>
    </xf>
    <xf numFmtId="0" fontId="63" fillId="0" borderId="9" xfId="0" applyFont="1" applyBorder="1" applyAlignment="1">
      <alignment wrapText="1"/>
    </xf>
    <xf numFmtId="0" fontId="63" fillId="0" borderId="0" xfId="0" applyFont="1" applyAlignment="1">
      <alignment vertical="center"/>
    </xf>
    <xf numFmtId="0" fontId="66" fillId="19" borderId="11" xfId="0" applyFont="1" applyFill="1" applyBorder="1" applyAlignment="1" applyProtection="1">
      <alignment horizontal="center" vertical="center" wrapText="1" readingOrder="1"/>
      <protection hidden="1"/>
    </xf>
    <xf numFmtId="0" fontId="66" fillId="19" borderId="13" xfId="0" applyFont="1" applyFill="1" applyBorder="1" applyAlignment="1" applyProtection="1">
      <alignment horizontal="center" vertical="center" wrapText="1" readingOrder="1"/>
      <protection hidden="1"/>
    </xf>
    <xf numFmtId="168" fontId="67" fillId="0" borderId="12" xfId="0" applyNumberFormat="1" applyFont="1" applyBorder="1" applyAlignment="1" applyProtection="1">
      <alignment horizontal="center" vertical="center" wrapText="1" readingOrder="1"/>
      <protection hidden="1"/>
    </xf>
    <xf numFmtId="0" fontId="67" fillId="0" borderId="12" xfId="0" applyFont="1" applyBorder="1" applyAlignment="1" applyProtection="1">
      <alignment horizontal="left" vertical="center" wrapText="1" readingOrder="1"/>
      <protection hidden="1"/>
    </xf>
    <xf numFmtId="0" fontId="67" fillId="0" borderId="12" xfId="0" applyFont="1" applyBorder="1" applyAlignment="1" applyProtection="1">
      <alignment horizontal="center" vertical="center" wrapText="1" readingOrder="1"/>
      <protection hidden="1"/>
    </xf>
    <xf numFmtId="0" fontId="67" fillId="0" borderId="5" xfId="0" applyFont="1" applyBorder="1" applyAlignment="1" applyProtection="1">
      <alignment horizontal="center" vertical="center" wrapText="1" readingOrder="1"/>
      <protection hidden="1"/>
    </xf>
    <xf numFmtId="0" fontId="67" fillId="0" borderId="5" xfId="0" applyFont="1" applyBorder="1" applyAlignment="1" applyProtection="1">
      <alignment horizontal="left" vertical="center" wrapText="1" readingOrder="1"/>
      <protection hidden="1"/>
    </xf>
    <xf numFmtId="0" fontId="69" fillId="0" borderId="0" xfId="0" applyFont="1" applyProtection="1">
      <protection hidden="1"/>
    </xf>
    <xf numFmtId="0" fontId="66" fillId="19" borderId="12" xfId="0" applyFont="1" applyFill="1" applyBorder="1" applyAlignment="1">
      <alignment horizontal="center" vertical="center" wrapText="1" readingOrder="1"/>
    </xf>
    <xf numFmtId="0" fontId="66" fillId="19" borderId="13" xfId="0" applyFont="1" applyFill="1" applyBorder="1" applyAlignment="1">
      <alignment horizontal="center" vertical="center" wrapText="1" readingOrder="1"/>
    </xf>
    <xf numFmtId="168" fontId="67" fillId="0" borderId="12" xfId="0" applyNumberFormat="1" applyFont="1" applyBorder="1" applyAlignment="1">
      <alignment horizontal="center" vertical="center" wrapText="1" readingOrder="1"/>
    </xf>
    <xf numFmtId="0" fontId="68" fillId="0" borderId="12" xfId="0" applyFont="1" applyBorder="1" applyAlignment="1">
      <alignment horizontal="center" vertical="center" wrapText="1" readingOrder="1"/>
    </xf>
    <xf numFmtId="168" fontId="67" fillId="0" borderId="11" xfId="0" applyNumberFormat="1" applyFont="1" applyBorder="1" applyAlignment="1">
      <alignment horizontal="center" vertical="center" wrapText="1" readingOrder="1"/>
    </xf>
    <xf numFmtId="168" fontId="67" fillId="0" borderId="21" xfId="0" applyNumberFormat="1" applyFont="1" applyBorder="1" applyAlignment="1">
      <alignment horizontal="center" vertical="center" wrapText="1" readingOrder="1"/>
    </xf>
    <xf numFmtId="168" fontId="67" fillId="0" borderId="22" xfId="0" applyNumberFormat="1" applyFont="1" applyBorder="1" applyAlignment="1">
      <alignment horizontal="center" vertical="center" wrapText="1" readingOrder="1"/>
    </xf>
    <xf numFmtId="168" fontId="67" fillId="0" borderId="23" xfId="0" applyNumberFormat="1" applyFont="1" applyBorder="1" applyAlignment="1">
      <alignment horizontal="center" vertical="center" wrapText="1" readingOrder="1"/>
    </xf>
    <xf numFmtId="168" fontId="67" fillId="27" borderId="25" xfId="0" applyNumberFormat="1" applyFont="1" applyFill="1" applyBorder="1" applyAlignment="1">
      <alignment horizontal="center" vertical="center" wrapText="1" readingOrder="1"/>
    </xf>
    <xf numFmtId="168" fontId="67" fillId="27" borderId="7" xfId="0" applyNumberFormat="1" applyFont="1" applyFill="1" applyBorder="1" applyAlignment="1">
      <alignment horizontal="center" vertical="center" wrapText="1" readingOrder="1"/>
    </xf>
    <xf numFmtId="168" fontId="67" fillId="27" borderId="26" xfId="0" applyNumberFormat="1" applyFont="1" applyFill="1" applyBorder="1" applyAlignment="1">
      <alignment horizontal="center" vertical="center" wrapText="1" readingOrder="1"/>
    </xf>
    <xf numFmtId="0" fontId="66" fillId="19" borderId="14" xfId="0" applyFont="1" applyFill="1" applyBorder="1" applyAlignment="1">
      <alignment horizontal="center" vertical="center" wrapText="1" readingOrder="1"/>
    </xf>
    <xf numFmtId="0" fontId="71" fillId="0" borderId="5" xfId="0" applyFont="1" applyBorder="1" applyAlignment="1" applyProtection="1">
      <alignment horizontal="center" vertical="center" wrapText="1" readingOrder="1"/>
      <protection hidden="1"/>
    </xf>
    <xf numFmtId="0" fontId="71" fillId="0" borderId="5" xfId="0" applyFont="1" applyBorder="1" applyAlignment="1" applyProtection="1">
      <alignment horizontal="left" vertical="center" wrapText="1" readingOrder="1"/>
      <protection hidden="1"/>
    </xf>
    <xf numFmtId="168" fontId="67" fillId="0" borderId="0" xfId="0" applyNumberFormat="1" applyFont="1" applyAlignment="1" applyProtection="1">
      <alignment horizontal="center" vertical="center" wrapText="1" readingOrder="1"/>
      <protection hidden="1"/>
    </xf>
    <xf numFmtId="0" fontId="28" fillId="0" borderId="0" xfId="0" applyFont="1"/>
    <xf numFmtId="0" fontId="73" fillId="9" borderId="27" xfId="0" applyFont="1" applyFill="1" applyBorder="1" applyAlignment="1">
      <alignment vertical="center"/>
    </xf>
    <xf numFmtId="0" fontId="73" fillId="9" borderId="28" xfId="0" applyFont="1" applyFill="1" applyBorder="1" applyAlignment="1">
      <alignment vertical="center"/>
    </xf>
    <xf numFmtId="0" fontId="73" fillId="28" borderId="28" xfId="0" applyFont="1" applyFill="1" applyBorder="1" applyAlignment="1">
      <alignment vertical="center"/>
    </xf>
    <xf numFmtId="0" fontId="73" fillId="29" borderId="28" xfId="0" applyFont="1" applyFill="1" applyBorder="1" applyAlignment="1">
      <alignment vertical="center"/>
    </xf>
    <xf numFmtId="0" fontId="74" fillId="19" borderId="22" xfId="0" applyFont="1" applyFill="1" applyBorder="1" applyAlignment="1">
      <alignment horizontal="center" vertical="center" wrapText="1"/>
    </xf>
    <xf numFmtId="0" fontId="72" fillId="0" borderId="0" xfId="0" applyFont="1" applyAlignment="1">
      <alignment vertical="center"/>
    </xf>
    <xf numFmtId="0" fontId="74" fillId="19" borderId="0" xfId="0" applyFont="1" applyFill="1" applyAlignment="1">
      <alignment vertical="center"/>
    </xf>
    <xf numFmtId="0" fontId="20" fillId="27" borderId="0" xfId="0" applyFont="1" applyFill="1" applyAlignment="1" applyProtection="1">
      <alignment horizontal="left" wrapText="1" indent="1"/>
      <protection hidden="1"/>
    </xf>
    <xf numFmtId="0" fontId="5" fillId="27" borderId="0" xfId="0" applyFont="1" applyFill="1" applyAlignment="1" applyProtection="1">
      <alignment horizontal="center"/>
      <protection hidden="1"/>
    </xf>
    <xf numFmtId="0" fontId="21" fillId="27" borderId="0" xfId="0" applyFont="1" applyFill="1" applyProtection="1">
      <protection hidden="1"/>
    </xf>
    <xf numFmtId="0" fontId="5" fillId="27" borderId="0" xfId="0" applyFont="1" applyFill="1" applyAlignment="1" applyProtection="1">
      <alignment wrapText="1"/>
      <protection hidden="1"/>
    </xf>
    <xf numFmtId="0" fontId="5" fillId="27" borderId="0" xfId="0" applyFont="1" applyFill="1" applyAlignment="1" applyProtection="1">
      <alignment horizontal="left" wrapText="1" indent="1"/>
      <protection hidden="1"/>
    </xf>
    <xf numFmtId="0" fontId="5" fillId="27" borderId="0" xfId="0" applyFont="1" applyFill="1" applyAlignment="1" applyProtection="1">
      <alignment horizontal="left"/>
      <protection hidden="1"/>
    </xf>
    <xf numFmtId="0" fontId="5" fillId="27" borderId="1" xfId="0" applyFont="1" applyFill="1" applyBorder="1" applyAlignment="1" applyProtection="1">
      <alignment horizontal="left"/>
      <protection hidden="1"/>
    </xf>
    <xf numFmtId="0" fontId="73" fillId="29" borderId="30" xfId="0" applyFont="1" applyFill="1" applyBorder="1" applyAlignment="1">
      <alignment vertical="center"/>
    </xf>
    <xf numFmtId="0" fontId="73" fillId="28" borderId="30" xfId="0" applyFont="1" applyFill="1" applyBorder="1" applyAlignment="1">
      <alignment vertical="center"/>
    </xf>
    <xf numFmtId="0" fontId="73" fillId="9" borderId="30" xfId="0" applyFont="1" applyFill="1" applyBorder="1" applyAlignment="1">
      <alignment vertical="center"/>
    </xf>
    <xf numFmtId="0" fontId="73" fillId="3" borderId="5" xfId="0" applyFont="1" applyFill="1" applyBorder="1" applyAlignment="1">
      <alignment vertical="center"/>
    </xf>
    <xf numFmtId="0" fontId="73" fillId="0" borderId="5" xfId="0" applyFont="1" applyBorder="1" applyAlignment="1">
      <alignment vertical="center"/>
    </xf>
    <xf numFmtId="0" fontId="73" fillId="27" borderId="29" xfId="0" applyFont="1" applyFill="1" applyBorder="1" applyAlignment="1">
      <alignment vertical="center"/>
    </xf>
    <xf numFmtId="0" fontId="73" fillId="13" borderId="29" xfId="0" applyFont="1" applyFill="1" applyBorder="1" applyAlignment="1">
      <alignment vertical="center"/>
    </xf>
    <xf numFmtId="0" fontId="48" fillId="27" borderId="0" xfId="0" applyFont="1" applyFill="1" applyAlignment="1" applyProtection="1">
      <alignment horizontal="center" vertical="center"/>
      <protection hidden="1"/>
    </xf>
    <xf numFmtId="166" fontId="0" fillId="3" borderId="0" xfId="0" applyNumberFormat="1" applyFill="1"/>
    <xf numFmtId="0" fontId="5" fillId="0" borderId="0" xfId="0" applyFont="1" applyAlignment="1" applyProtection="1">
      <alignment wrapText="1"/>
      <protection hidden="1"/>
    </xf>
    <xf numFmtId="0" fontId="15" fillId="0" borderId="0" xfId="0" applyFont="1"/>
    <xf numFmtId="0" fontId="40" fillId="19" borderId="5" xfId="0" applyFont="1" applyFill="1" applyBorder="1"/>
    <xf numFmtId="0" fontId="40" fillId="19" borderId="9" xfId="0" applyFont="1" applyFill="1" applyBorder="1"/>
    <xf numFmtId="14" fontId="28" fillId="5" borderId="0" xfId="0" applyNumberFormat="1" applyFont="1" applyFill="1" applyAlignment="1" applyProtection="1">
      <alignment horizontal="center"/>
      <protection hidden="1"/>
    </xf>
    <xf numFmtId="0" fontId="75" fillId="5" borderId="0" xfId="0" applyFont="1" applyFill="1" applyAlignment="1" applyProtection="1">
      <alignment horizontal="right"/>
      <protection hidden="1"/>
    </xf>
    <xf numFmtId="14" fontId="27" fillId="5" borderId="0" xfId="0" applyNumberFormat="1" applyFont="1" applyFill="1" applyAlignment="1" applyProtection="1">
      <alignment horizontal="center"/>
      <protection hidden="1"/>
    </xf>
    <xf numFmtId="14" fontId="0" fillId="0" borderId="0" xfId="0" applyNumberFormat="1"/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17" fillId="3" borderId="31" xfId="0" applyFont="1" applyFill="1" applyBorder="1" applyAlignment="1">
      <alignment horizontal="center"/>
    </xf>
    <xf numFmtId="0" fontId="17" fillId="3" borderId="32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76" fillId="5" borderId="0" xfId="0" applyFont="1" applyFill="1" applyProtection="1">
      <protection hidden="1"/>
    </xf>
    <xf numFmtId="0" fontId="17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7" fillId="0" borderId="0" xfId="0" applyFont="1" applyAlignment="1" applyProtection="1">
      <alignment horizontal="left"/>
      <protection hidden="1"/>
    </xf>
    <xf numFmtId="0" fontId="28" fillId="5" borderId="0" xfId="0" applyFont="1" applyFill="1" applyAlignment="1" applyProtection="1">
      <alignment horizontal="right" vertical="top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hidden="1"/>
    </xf>
    <xf numFmtId="0" fontId="7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16" fillId="3" borderId="0" xfId="0" applyFont="1" applyFill="1" applyAlignment="1" applyProtection="1">
      <alignment horizontal="left"/>
      <protection hidden="1"/>
    </xf>
    <xf numFmtId="0" fontId="24" fillId="0" borderId="0" xfId="0" applyFont="1" applyAlignment="1" applyProtection="1">
      <alignment horizontal="right" vertical="center"/>
      <protection hidden="1"/>
    </xf>
    <xf numFmtId="0" fontId="16" fillId="3" borderId="0" xfId="0" applyFont="1" applyFill="1" applyProtection="1">
      <protection locked="0" hidden="1"/>
    </xf>
    <xf numFmtId="0" fontId="17" fillId="0" borderId="0" xfId="0" applyFont="1" applyAlignment="1">
      <alignment horizontal="left" vertical="center" shrinkToFi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17" fillId="0" borderId="0" xfId="0" applyFont="1" applyAlignment="1">
      <alignment horizontal="left" vertical="center" wrapText="1" shrinkToFit="1"/>
    </xf>
    <xf numFmtId="0" fontId="0" fillId="0" borderId="0" xfId="0" applyAlignment="1">
      <alignment horizontal="left" vertical="center" wrapText="1" shrinkToFit="1"/>
    </xf>
    <xf numFmtId="0" fontId="81" fillId="32" borderId="37" xfId="0" applyFont="1" applyFill="1" applyBorder="1" applyAlignment="1">
      <alignment horizontal="center" vertical="center" wrapText="1"/>
    </xf>
    <xf numFmtId="0" fontId="81" fillId="32" borderId="38" xfId="0" applyFont="1" applyFill="1" applyBorder="1" applyAlignment="1">
      <alignment horizontal="center" vertical="center" wrapText="1"/>
    </xf>
    <xf numFmtId="0" fontId="81" fillId="32" borderId="39" xfId="0" applyFont="1" applyFill="1" applyBorder="1" applyAlignment="1">
      <alignment horizontal="center" vertical="center" wrapText="1"/>
    </xf>
    <xf numFmtId="0" fontId="82" fillId="32" borderId="38" xfId="0" applyFont="1" applyFill="1" applyBorder="1" applyAlignment="1">
      <alignment horizontal="center" vertical="center" wrapText="1"/>
    </xf>
    <xf numFmtId="0" fontId="80" fillId="33" borderId="36" xfId="0" applyFont="1" applyFill="1" applyBorder="1" applyAlignment="1">
      <alignment horizontal="center" vertical="center" wrapText="1"/>
    </xf>
    <xf numFmtId="0" fontId="80" fillId="33" borderId="39" xfId="0" applyFont="1" applyFill="1" applyBorder="1" applyAlignment="1">
      <alignment horizontal="center" vertical="center" wrapText="1"/>
    </xf>
    <xf numFmtId="9" fontId="80" fillId="33" borderId="39" xfId="0" applyNumberFormat="1" applyFont="1" applyFill="1" applyBorder="1" applyAlignment="1">
      <alignment horizontal="center" vertical="center" wrapText="1"/>
    </xf>
    <xf numFmtId="0" fontId="81" fillId="32" borderId="36" xfId="0" applyFont="1" applyFill="1" applyBorder="1" applyAlignment="1">
      <alignment wrapText="1"/>
    </xf>
    <xf numFmtId="0" fontId="0" fillId="6" borderId="1" xfId="0" applyFill="1" applyBorder="1" applyAlignment="1" applyProtection="1">
      <alignment horizontal="left"/>
      <protection hidden="1"/>
    </xf>
    <xf numFmtId="0" fontId="71" fillId="5" borderId="0" xfId="0" applyFont="1" applyFill="1" applyAlignment="1" applyProtection="1">
      <alignment horizontal="left"/>
      <protection hidden="1"/>
    </xf>
    <xf numFmtId="0" fontId="84" fillId="0" borderId="0" xfId="0" applyFont="1"/>
    <xf numFmtId="0" fontId="40" fillId="34" borderId="40" xfId="0" applyFont="1" applyFill="1" applyBorder="1"/>
    <xf numFmtId="0" fontId="40" fillId="34" borderId="41" xfId="0" applyFont="1" applyFill="1" applyBorder="1"/>
    <xf numFmtId="0" fontId="0" fillId="35" borderId="40" xfId="0" applyFill="1" applyBorder="1"/>
    <xf numFmtId="0" fontId="0" fillId="35" borderId="41" xfId="0" applyFill="1" applyBorder="1"/>
    <xf numFmtId="0" fontId="0" fillId="0" borderId="40" xfId="0" applyBorder="1"/>
    <xf numFmtId="0" fontId="0" fillId="0" borderId="41" xfId="0" applyBorder="1"/>
    <xf numFmtId="0" fontId="81" fillId="32" borderId="34" xfId="0" applyFont="1" applyFill="1" applyBorder="1" applyAlignment="1">
      <alignment horizontal="center" vertical="center" wrapText="1"/>
    </xf>
    <xf numFmtId="0" fontId="81" fillId="32" borderId="35" xfId="0" applyFont="1" applyFill="1" applyBorder="1" applyAlignment="1">
      <alignment horizontal="center" vertical="center" wrapText="1"/>
    </xf>
    <xf numFmtId="0" fontId="81" fillId="32" borderId="36" xfId="0" applyFont="1" applyFill="1" applyBorder="1" applyAlignment="1">
      <alignment horizontal="center" vertical="center" wrapText="1"/>
    </xf>
    <xf numFmtId="0" fontId="79" fillId="27" borderId="0" xfId="0" applyFont="1" applyFill="1" applyAlignment="1">
      <alignment horizontal="center" vertical="center"/>
    </xf>
    <xf numFmtId="0" fontId="80" fillId="31" borderId="34" xfId="0" applyFont="1" applyFill="1" applyBorder="1" applyAlignment="1">
      <alignment horizontal="center" vertical="center" wrapText="1"/>
    </xf>
    <xf numFmtId="0" fontId="80" fillId="31" borderId="35" xfId="0" applyFont="1" applyFill="1" applyBorder="1" applyAlignment="1">
      <alignment horizontal="center" vertical="center" wrapText="1"/>
    </xf>
    <xf numFmtId="0" fontId="80" fillId="31" borderId="36" xfId="0" applyFont="1" applyFill="1" applyBorder="1" applyAlignment="1">
      <alignment horizontal="center" vertical="center" wrapText="1"/>
    </xf>
    <xf numFmtId="0" fontId="81" fillId="32" borderId="34" xfId="0" applyFont="1" applyFill="1" applyBorder="1" applyAlignment="1">
      <alignment horizontal="center" wrapText="1"/>
    </xf>
    <xf numFmtId="0" fontId="81" fillId="32" borderId="35" xfId="0" applyFont="1" applyFill="1" applyBorder="1" applyAlignment="1">
      <alignment horizontal="center" wrapText="1"/>
    </xf>
    <xf numFmtId="0" fontId="0" fillId="6" borderId="2" xfId="0" applyFill="1" applyBorder="1" applyAlignment="1" applyProtection="1">
      <alignment horizontal="left"/>
      <protection hidden="1"/>
    </xf>
    <xf numFmtId="2" fontId="0" fillId="0" borderId="2" xfId="0" applyNumberFormat="1" applyBorder="1" applyAlignment="1">
      <alignment horizontal="left"/>
    </xf>
    <xf numFmtId="164" fontId="0" fillId="0" borderId="2" xfId="0" quotePrefix="1" applyNumberFormat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center"/>
    </xf>
    <xf numFmtId="170" fontId="0" fillId="0" borderId="2" xfId="0" applyNumberForma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2" xfId="0" applyBorder="1" applyAlignment="1" applyProtection="1">
      <alignment horizontal="left"/>
      <protection locked="0" hidden="1"/>
    </xf>
    <xf numFmtId="0" fontId="0" fillId="6" borderId="1" xfId="0" applyFill="1" applyBorder="1" applyAlignment="1" applyProtection="1">
      <alignment horizontal="left"/>
      <protection locked="0" hidden="1"/>
    </xf>
    <xf numFmtId="169" fontId="0" fillId="0" borderId="2" xfId="0" quotePrefix="1" applyNumberFormat="1" applyBorder="1" applyAlignment="1">
      <alignment horizontal="left"/>
    </xf>
    <xf numFmtId="169" fontId="0" fillId="0" borderId="2" xfId="0" applyNumberFormat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6" borderId="2" xfId="0" applyFill="1" applyBorder="1" applyAlignment="1" applyProtection="1">
      <alignment horizontal="left" wrapText="1"/>
      <protection hidden="1"/>
    </xf>
    <xf numFmtId="0" fontId="0" fillId="6" borderId="1" xfId="0" applyFill="1" applyBorder="1" applyAlignment="1" applyProtection="1">
      <alignment horizontal="left"/>
      <protection hidden="1"/>
    </xf>
    <xf numFmtId="2" fontId="0" fillId="8" borderId="1" xfId="0" applyNumberFormat="1" applyFill="1" applyBorder="1" applyAlignment="1">
      <alignment horizontal="left"/>
    </xf>
    <xf numFmtId="0" fontId="15" fillId="0" borderId="0" xfId="0" applyFont="1" applyAlignment="1">
      <alignment horizontal="center"/>
    </xf>
    <xf numFmtId="49" fontId="0" fillId="0" borderId="2" xfId="0" applyNumberFormat="1" applyBorder="1" applyAlignment="1">
      <alignment horizontal="left"/>
    </xf>
    <xf numFmtId="0" fontId="20" fillId="9" borderId="0" xfId="0" applyFont="1" applyFill="1" applyAlignment="1" applyProtection="1">
      <alignment horizontal="left" wrapText="1"/>
      <protection hidden="1"/>
    </xf>
    <xf numFmtId="0" fontId="0" fillId="0" borderId="2" xfId="0" applyBorder="1" applyAlignment="1" applyProtection="1">
      <alignment horizontal="left"/>
      <protection hidden="1"/>
    </xf>
    <xf numFmtId="0" fontId="24" fillId="0" borderId="0" xfId="0" applyFont="1" applyAlignment="1">
      <alignment horizontal="right"/>
    </xf>
    <xf numFmtId="164" fontId="0" fillId="0" borderId="2" xfId="0" applyNumberFormat="1" applyBorder="1" applyAlignment="1">
      <alignment horizontal="left"/>
    </xf>
    <xf numFmtId="164" fontId="0" fillId="6" borderId="2" xfId="0" applyNumberFormat="1" applyFill="1" applyBorder="1" applyAlignment="1" applyProtection="1">
      <alignment horizontal="left"/>
      <protection hidden="1"/>
    </xf>
    <xf numFmtId="9" fontId="0" fillId="0" borderId="2" xfId="1" applyFont="1" applyBorder="1" applyAlignment="1">
      <alignment horizontal="left"/>
    </xf>
    <xf numFmtId="0" fontId="20" fillId="27" borderId="0" xfId="0" applyFont="1" applyFill="1" applyAlignment="1" applyProtection="1">
      <alignment horizontal="left" wrapText="1"/>
      <protection hidden="1"/>
    </xf>
    <xf numFmtId="0" fontId="20" fillId="8" borderId="0" xfId="0" applyFont="1" applyFill="1" applyAlignment="1" applyProtection="1">
      <alignment horizontal="left"/>
      <protection hidden="1"/>
    </xf>
    <xf numFmtId="164" fontId="0" fillId="8" borderId="1" xfId="0" applyNumberFormat="1" applyFill="1" applyBorder="1" applyAlignment="1">
      <alignment horizontal="left"/>
    </xf>
    <xf numFmtId="0" fontId="5" fillId="4" borderId="2" xfId="0" applyFont="1" applyFill="1" applyBorder="1" applyAlignment="1" applyProtection="1">
      <alignment horizontal="left"/>
      <protection hidden="1"/>
    </xf>
    <xf numFmtId="0" fontId="33" fillId="5" borderId="0" xfId="0" applyFont="1" applyFill="1" applyAlignment="1" applyProtection="1">
      <alignment horizontal="center"/>
      <protection hidden="1"/>
    </xf>
    <xf numFmtId="0" fontId="28" fillId="5" borderId="0" xfId="0" applyFont="1" applyFill="1" applyAlignment="1" applyProtection="1">
      <alignment horizontal="left"/>
      <protection hidden="1"/>
    </xf>
    <xf numFmtId="0" fontId="71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28" fillId="5" borderId="0" xfId="0" applyFont="1" applyFill="1" applyAlignment="1" applyProtection="1">
      <alignment horizontal="left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12" fillId="5" borderId="0" xfId="0" applyFont="1" applyFill="1" applyAlignment="1" applyProtection="1">
      <alignment horizontal="left"/>
      <protection hidden="1"/>
    </xf>
    <xf numFmtId="0" fontId="30" fillId="3" borderId="0" xfId="0" applyFont="1" applyFill="1" applyAlignment="1" applyProtection="1">
      <alignment horizontal="center" vertical="center"/>
      <protection hidden="1"/>
    </xf>
    <xf numFmtId="0" fontId="36" fillId="5" borderId="0" xfId="2" applyFont="1" applyFill="1" applyBorder="1" applyAlignment="1" applyProtection="1">
      <alignment horizontal="center"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0" fillId="23" borderId="10" xfId="0" applyFill="1" applyBorder="1" applyAlignment="1" applyProtection="1">
      <alignment horizontal="center" vertical="center"/>
      <protection hidden="1"/>
    </xf>
    <xf numFmtId="0" fontId="66" fillId="19" borderId="12" xfId="0" applyFont="1" applyFill="1" applyBorder="1" applyAlignment="1" applyProtection="1">
      <alignment horizontal="left" vertical="center" wrapText="1" readingOrder="1"/>
      <protection hidden="1"/>
    </xf>
    <xf numFmtId="0" fontId="66" fillId="19" borderId="11" xfId="0" applyFont="1" applyFill="1" applyBorder="1" applyAlignment="1" applyProtection="1">
      <alignment horizontal="left" vertical="center" wrapText="1" readingOrder="1"/>
      <protection hidden="1"/>
    </xf>
    <xf numFmtId="0" fontId="66" fillId="19" borderId="12" xfId="0" applyFont="1" applyFill="1" applyBorder="1" applyAlignment="1" applyProtection="1">
      <alignment horizontal="center" vertical="center" wrapText="1" readingOrder="1"/>
      <protection hidden="1"/>
    </xf>
    <xf numFmtId="0" fontId="66" fillId="19" borderId="11" xfId="0" applyFont="1" applyFill="1" applyBorder="1" applyAlignment="1" applyProtection="1">
      <alignment horizontal="center" vertical="center" wrapText="1" readingOrder="1"/>
      <protection hidden="1"/>
    </xf>
    <xf numFmtId="168" fontId="67" fillId="0" borderId="15" xfId="0" applyNumberFormat="1" applyFont="1" applyBorder="1" applyAlignment="1" applyProtection="1">
      <alignment horizontal="center" vertical="center" wrapText="1" readingOrder="1"/>
      <protection hidden="1"/>
    </xf>
    <xf numFmtId="168" fontId="67" fillId="0" borderId="17" xfId="0" applyNumberFormat="1" applyFont="1" applyBorder="1" applyAlignment="1" applyProtection="1">
      <alignment horizontal="center" vertical="center" wrapText="1" readingOrder="1"/>
      <protection hidden="1"/>
    </xf>
    <xf numFmtId="0" fontId="67" fillId="0" borderId="5" xfId="0" applyFont="1" applyBorder="1" applyAlignment="1" applyProtection="1">
      <alignment horizontal="left" vertical="center" wrapText="1" readingOrder="1"/>
      <protection hidden="1"/>
    </xf>
    <xf numFmtId="0" fontId="67" fillId="0" borderId="5" xfId="0" applyFont="1" applyBorder="1" applyAlignment="1" applyProtection="1">
      <alignment horizontal="center" vertical="center" wrapText="1" readingOrder="1"/>
      <protection hidden="1"/>
    </xf>
    <xf numFmtId="0" fontId="67" fillId="0" borderId="11" xfId="0" applyFont="1" applyBorder="1" applyAlignment="1" applyProtection="1">
      <alignment horizontal="center" vertical="center" wrapText="1" readingOrder="1"/>
      <protection hidden="1"/>
    </xf>
    <xf numFmtId="0" fontId="67" fillId="0" borderId="14" xfId="0" applyFont="1" applyBorder="1" applyAlignment="1" applyProtection="1">
      <alignment horizontal="center" vertical="center" wrapText="1" readingOrder="1"/>
      <protection hidden="1"/>
    </xf>
    <xf numFmtId="0" fontId="70" fillId="11" borderId="19" xfId="0" applyFont="1" applyFill="1" applyBorder="1" applyAlignment="1">
      <alignment horizontal="center" vertical="center" wrapText="1" readingOrder="1"/>
    </xf>
    <xf numFmtId="0" fontId="70" fillId="11" borderId="0" xfId="0" applyFont="1" applyFill="1" applyAlignment="1">
      <alignment horizontal="center" vertical="center" wrapText="1" readingOrder="1"/>
    </xf>
    <xf numFmtId="168" fontId="67" fillId="0" borderId="20" xfId="0" applyNumberFormat="1" applyFont="1" applyBorder="1" applyAlignment="1">
      <alignment horizontal="center" vertical="center" wrapText="1" readingOrder="1"/>
    </xf>
    <xf numFmtId="168" fontId="67" fillId="0" borderId="24" xfId="0" applyNumberFormat="1" applyFont="1" applyBorder="1" applyAlignment="1">
      <alignment horizontal="center" vertical="center" wrapText="1" readingOrder="1"/>
    </xf>
    <xf numFmtId="0" fontId="68" fillId="0" borderId="16" xfId="0" applyFont="1" applyBorder="1" applyAlignment="1">
      <alignment horizontal="center" vertical="center" wrapText="1" readingOrder="1"/>
    </xf>
    <xf numFmtId="0" fontId="68" fillId="0" borderId="18" xfId="0" applyFont="1" applyBorder="1" applyAlignment="1">
      <alignment horizontal="center" vertical="center" wrapText="1" readingOrder="1"/>
    </xf>
    <xf numFmtId="0" fontId="74" fillId="30" borderId="31" xfId="0" applyFont="1" applyFill="1" applyBorder="1" applyAlignment="1">
      <alignment horizontal="center" vertical="center" wrapText="1"/>
    </xf>
    <xf numFmtId="0" fontId="74" fillId="30" borderId="32" xfId="0" applyFont="1" applyFill="1" applyBorder="1" applyAlignment="1">
      <alignment horizontal="center" vertical="center" wrapText="1"/>
    </xf>
  </cellXfs>
  <cellStyles count="3">
    <cellStyle name="Lien hypertexte" xfId="2" builtinId="8"/>
    <cellStyle name="Normal" xfId="0" builtinId="0"/>
    <cellStyle name="Pourcentage" xfId="1" builtinId="5"/>
  </cellStyles>
  <dxfs count="17">
    <dxf>
      <font>
        <b val="0"/>
        <i/>
        <color theme="0" tint="-0.499984740745262"/>
      </font>
      <fill>
        <patternFill>
          <bgColor theme="0"/>
        </patternFill>
      </fill>
    </dxf>
    <dxf>
      <font>
        <b val="0"/>
        <i/>
        <color theme="0" tint="-0.499984740745262"/>
      </font>
      <fill>
        <patternFill>
          <bgColor theme="0"/>
        </patternFill>
      </fill>
    </dxf>
    <dxf>
      <font>
        <b val="0"/>
        <i/>
        <color theme="1" tint="0.499984740745262"/>
      </font>
      <fill>
        <patternFill patternType="none">
          <bgColor auto="1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1" tint="0.24994659260841701"/>
      </font>
      <fill>
        <patternFill>
          <bgColor theme="0" tint="-0.14996795556505021"/>
        </patternFill>
      </fill>
    </dxf>
    <dxf>
      <font>
        <b val="0"/>
        <i val="0"/>
        <color rgb="FFFF0000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1" tint="0.24994659260841701"/>
      </font>
      <fill>
        <patternFill>
          <bgColor theme="0" tint="-4.9989318521683403E-2"/>
        </patternFill>
      </fill>
    </dxf>
    <dxf>
      <font>
        <color theme="1" tint="0.24994659260841701"/>
      </font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AE4612"/>
      <color rgb="FFA1C4D0"/>
      <color rgb="FFE61739"/>
      <color rgb="FFF2A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G$6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3" Type="http://schemas.openxmlformats.org/officeDocument/2006/relationships/image" Target="../media/image8.png"/><Relationship Id="rId21" Type="http://schemas.openxmlformats.org/officeDocument/2006/relationships/image" Target="../media/image26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44824</xdr:rowOff>
    </xdr:from>
    <xdr:to>
      <xdr:col>19</xdr:col>
      <xdr:colOff>326392</xdr:colOff>
      <xdr:row>37</xdr:row>
      <xdr:rowOff>172625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4824"/>
          <a:ext cx="12533333" cy="70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151947</xdr:rowOff>
    </xdr:from>
    <xdr:to>
      <xdr:col>18</xdr:col>
      <xdr:colOff>530767</xdr:colOff>
      <xdr:row>74</xdr:row>
      <xdr:rowOff>175477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71947"/>
          <a:ext cx="12124053" cy="5829244"/>
        </a:xfrm>
        <a:prstGeom prst="rect">
          <a:avLst/>
        </a:prstGeom>
      </xdr:spPr>
    </xdr:pic>
    <xdr:clientData/>
  </xdr:twoCellAnchor>
  <xdr:twoCellAnchor editAs="oneCell">
    <xdr:from>
      <xdr:col>0</xdr:col>
      <xdr:colOff>4536</xdr:colOff>
      <xdr:row>37</xdr:row>
      <xdr:rowOff>133800</xdr:rowOff>
    </xdr:from>
    <xdr:to>
      <xdr:col>19</xdr:col>
      <xdr:colOff>408214</xdr:colOff>
      <xdr:row>42</xdr:row>
      <xdr:rowOff>124157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36" y="6846657"/>
          <a:ext cx="12641035" cy="89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378262</xdr:colOff>
      <xdr:row>1</xdr:row>
      <xdr:rowOff>13447</xdr:rowOff>
    </xdr:from>
    <xdr:to>
      <xdr:col>1</xdr:col>
      <xdr:colOff>949761</xdr:colOff>
      <xdr:row>4</xdr:row>
      <xdr:rowOff>23134</xdr:rowOff>
    </xdr:to>
    <xdr:pic>
      <xdr:nvPicPr>
        <xdr:cNvPr id="3" name="Image 1" descr="cid:image001.jpg@01CDFAE3.0EB5FB6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8262" y="199714"/>
          <a:ext cx="1214966" cy="6531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66675</xdr:rowOff>
        </xdr:from>
        <xdr:to>
          <xdr:col>5</xdr:col>
          <xdr:colOff>1533525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CDF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1286933</xdr:colOff>
      <xdr:row>1</xdr:row>
      <xdr:rowOff>14437</xdr:rowOff>
    </xdr:from>
    <xdr:to>
      <xdr:col>1</xdr:col>
      <xdr:colOff>2277533</xdr:colOff>
      <xdr:row>4</xdr:row>
      <xdr:rowOff>67657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" y="200704"/>
          <a:ext cx="990600" cy="6966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4248150</xdr:colOff>
          <xdr:row>0</xdr:row>
          <xdr:rowOff>66675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CC00">
                <a:alpha val="13000"/>
              </a:srgbClr>
            </a:solidFill>
            <a:ln>
              <a:noFill/>
            </a:ln>
            <a:extLst>
              <a:ext uri="{91240B29-F687-4F45-9708-019B960494DF}">
                <a14:hiddenLine w="1016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PMS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28576</xdr:rowOff>
    </xdr:from>
    <xdr:to>
      <xdr:col>4</xdr:col>
      <xdr:colOff>1270170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57" y="790576"/>
          <a:ext cx="6675782" cy="255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19051</xdr:colOff>
      <xdr:row>32</xdr:row>
      <xdr:rowOff>76200</xdr:rowOff>
    </xdr:from>
    <xdr:to>
      <xdr:col>4</xdr:col>
      <xdr:colOff>1220474</xdr:colOff>
      <xdr:row>32</xdr:row>
      <xdr:rowOff>323849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008" y="6379265"/>
          <a:ext cx="6607035" cy="247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114300</xdr:rowOff>
    </xdr:from>
    <xdr:to>
      <xdr:col>4</xdr:col>
      <xdr:colOff>1412906</xdr:colOff>
      <xdr:row>48</xdr:row>
      <xdr:rowOff>348909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57" y="9639300"/>
          <a:ext cx="6742043" cy="2346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19051</xdr:colOff>
      <xdr:row>51</xdr:row>
      <xdr:rowOff>38100</xdr:rowOff>
    </xdr:from>
    <xdr:to>
      <xdr:col>4</xdr:col>
      <xdr:colOff>1295019</xdr:colOff>
      <xdr:row>52</xdr:row>
      <xdr:rowOff>2242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7008" y="10308535"/>
          <a:ext cx="6681580" cy="270598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55</xdr:row>
      <xdr:rowOff>66676</xdr:rowOff>
    </xdr:from>
    <xdr:to>
      <xdr:col>3</xdr:col>
      <xdr:colOff>337134</xdr:colOff>
      <xdr:row>55</xdr:row>
      <xdr:rowOff>297002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49" y="10448926"/>
          <a:ext cx="4219576" cy="2303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38098</xdr:colOff>
      <xdr:row>68</xdr:row>
      <xdr:rowOff>23562</xdr:rowOff>
    </xdr:from>
    <xdr:to>
      <xdr:col>3</xdr:col>
      <xdr:colOff>575258</xdr:colOff>
      <xdr:row>69</xdr:row>
      <xdr:rowOff>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398" y="13006137"/>
          <a:ext cx="4438651" cy="233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390525</xdr:colOff>
      <xdr:row>80</xdr:row>
      <xdr:rowOff>19050</xdr:rowOff>
    </xdr:from>
    <xdr:to>
      <xdr:col>2</xdr:col>
      <xdr:colOff>323616</xdr:colOff>
      <xdr:row>81</xdr:row>
      <xdr:rowOff>2698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66825" y="14382750"/>
          <a:ext cx="1876191" cy="1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81</xdr:row>
      <xdr:rowOff>28575</xdr:rowOff>
    </xdr:from>
    <xdr:to>
      <xdr:col>4</xdr:col>
      <xdr:colOff>1286735</xdr:colOff>
      <xdr:row>81</xdr:row>
      <xdr:rowOff>295275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06532" y="16320466"/>
          <a:ext cx="6663772" cy="2667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84</xdr:row>
      <xdr:rowOff>24848</xdr:rowOff>
    </xdr:from>
    <xdr:to>
      <xdr:col>4</xdr:col>
      <xdr:colOff>1404624</xdr:colOff>
      <xdr:row>86</xdr:row>
      <xdr:rowOff>739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35108" y="16929652"/>
          <a:ext cx="6676610" cy="274065"/>
        </a:xfrm>
        <a:prstGeom prst="rect">
          <a:avLst/>
        </a:prstGeom>
      </xdr:spPr>
    </xdr:pic>
    <xdr:clientData/>
  </xdr:twoCellAnchor>
  <xdr:twoCellAnchor editAs="oneCell">
    <xdr:from>
      <xdr:col>1</xdr:col>
      <xdr:colOff>1895475</xdr:colOff>
      <xdr:row>98</xdr:row>
      <xdr:rowOff>38100</xdr:rowOff>
    </xdr:from>
    <xdr:to>
      <xdr:col>2</xdr:col>
      <xdr:colOff>1917960</xdr:colOff>
      <xdr:row>101</xdr:row>
      <xdr:rowOff>828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71775" y="18840450"/>
          <a:ext cx="1876425" cy="734253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101</xdr:row>
      <xdr:rowOff>28574</xdr:rowOff>
    </xdr:from>
    <xdr:to>
      <xdr:col>4</xdr:col>
      <xdr:colOff>1245322</xdr:colOff>
      <xdr:row>101</xdr:row>
      <xdr:rowOff>298173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482" y="20089052"/>
          <a:ext cx="6641409" cy="26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28574</xdr:colOff>
      <xdr:row>108</xdr:row>
      <xdr:rowOff>38100</xdr:rowOff>
    </xdr:from>
    <xdr:to>
      <xdr:col>4</xdr:col>
      <xdr:colOff>1228758</xdr:colOff>
      <xdr:row>109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6531" y="21630861"/>
          <a:ext cx="6605796" cy="268356"/>
        </a:xfrm>
        <a:prstGeom prst="rect">
          <a:avLst/>
        </a:prstGeom>
      </xdr:spPr>
    </xdr:pic>
    <xdr:clientData/>
  </xdr:twoCellAnchor>
  <xdr:twoCellAnchor editAs="oneCell">
    <xdr:from>
      <xdr:col>1</xdr:col>
      <xdr:colOff>438150</xdr:colOff>
      <xdr:row>117</xdr:row>
      <xdr:rowOff>173935</xdr:rowOff>
    </xdr:from>
    <xdr:to>
      <xdr:col>2</xdr:col>
      <xdr:colOff>390288</xdr:colOff>
      <xdr:row>119</xdr:row>
      <xdr:rowOff>9498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16107" y="23597152"/>
          <a:ext cx="1898551" cy="21656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47627</xdr:colOff>
      <xdr:row>125</xdr:row>
      <xdr:rowOff>38100</xdr:rowOff>
    </xdr:from>
    <xdr:to>
      <xdr:col>4</xdr:col>
      <xdr:colOff>1404624</xdr:colOff>
      <xdr:row>125</xdr:row>
      <xdr:rowOff>285750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584" y="24985317"/>
          <a:ext cx="6686134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849798</xdr:colOff>
      <xdr:row>130</xdr:row>
      <xdr:rowOff>241852</xdr:rowOff>
    </xdr:from>
    <xdr:to>
      <xdr:col>4</xdr:col>
      <xdr:colOff>1323100</xdr:colOff>
      <xdr:row>131</xdr:row>
      <xdr:rowOff>24848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798" y="26298939"/>
          <a:ext cx="6687378" cy="230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61859</xdr:colOff>
      <xdr:row>148</xdr:row>
      <xdr:rowOff>66676</xdr:rowOff>
    </xdr:from>
    <xdr:to>
      <xdr:col>4</xdr:col>
      <xdr:colOff>1455715</xdr:colOff>
      <xdr:row>148</xdr:row>
      <xdr:rowOff>277586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252" y="29283811"/>
          <a:ext cx="7033607" cy="210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97533</xdr:colOff>
      <xdr:row>154</xdr:row>
      <xdr:rowOff>333019</xdr:rowOff>
    </xdr:from>
    <xdr:to>
      <xdr:col>4</xdr:col>
      <xdr:colOff>1373501</xdr:colOff>
      <xdr:row>154</xdr:row>
      <xdr:rowOff>571145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17926" y="30898637"/>
          <a:ext cx="6918644" cy="238126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159</xdr:row>
      <xdr:rowOff>47625</xdr:rowOff>
    </xdr:from>
    <xdr:to>
      <xdr:col>4</xdr:col>
      <xdr:colOff>1303301</xdr:colOff>
      <xdr:row>159</xdr:row>
      <xdr:rowOff>299357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25582" y="30246016"/>
          <a:ext cx="6661288" cy="250549"/>
        </a:xfrm>
        <a:prstGeom prst="rect">
          <a:avLst/>
        </a:prstGeom>
      </xdr:spPr>
    </xdr:pic>
    <xdr:clientData/>
  </xdr:twoCellAnchor>
  <xdr:twoCellAnchor editAs="oneCell">
    <xdr:from>
      <xdr:col>0</xdr:col>
      <xdr:colOff>952499</xdr:colOff>
      <xdr:row>190</xdr:row>
      <xdr:rowOff>38100</xdr:rowOff>
    </xdr:from>
    <xdr:to>
      <xdr:col>2</xdr:col>
      <xdr:colOff>609242</xdr:colOff>
      <xdr:row>191</xdr:row>
      <xdr:rowOff>142838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76299" y="35204400"/>
          <a:ext cx="2905125" cy="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201</xdr:row>
      <xdr:rowOff>76199</xdr:rowOff>
    </xdr:from>
    <xdr:to>
      <xdr:col>2</xdr:col>
      <xdr:colOff>1185660</xdr:colOff>
      <xdr:row>201</xdr:row>
      <xdr:rowOff>257175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95350" y="40757474"/>
          <a:ext cx="3109710" cy="180976"/>
        </a:xfrm>
        <a:prstGeom prst="rect">
          <a:avLst/>
        </a:prstGeom>
      </xdr:spPr>
    </xdr:pic>
    <xdr:clientData/>
  </xdr:twoCellAnchor>
  <xdr:twoCellAnchor editAs="oneCell">
    <xdr:from>
      <xdr:col>1</xdr:col>
      <xdr:colOff>305970</xdr:colOff>
      <xdr:row>11</xdr:row>
      <xdr:rowOff>179295</xdr:rowOff>
    </xdr:from>
    <xdr:to>
      <xdr:col>1</xdr:col>
      <xdr:colOff>1439303</xdr:colOff>
      <xdr:row>12</xdr:row>
      <xdr:rowOff>198319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83927" y="2349338"/>
          <a:ext cx="1133333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240195</xdr:colOff>
      <xdr:row>13</xdr:row>
      <xdr:rowOff>33131</xdr:rowOff>
    </xdr:from>
    <xdr:to>
      <xdr:col>1</xdr:col>
      <xdr:colOff>964005</xdr:colOff>
      <xdr:row>14</xdr:row>
      <xdr:rowOff>23989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18152" y="2650435"/>
          <a:ext cx="723810" cy="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339584</xdr:colOff>
      <xdr:row>34</xdr:row>
      <xdr:rowOff>33130</xdr:rowOff>
    </xdr:from>
    <xdr:to>
      <xdr:col>1</xdr:col>
      <xdr:colOff>1320536</xdr:colOff>
      <xdr:row>35</xdr:row>
      <xdr:rowOff>1361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17541" y="6891130"/>
          <a:ext cx="980952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331302</xdr:colOff>
      <xdr:row>38</xdr:row>
      <xdr:rowOff>16565</xdr:rowOff>
    </xdr:from>
    <xdr:to>
      <xdr:col>1</xdr:col>
      <xdr:colOff>1055112</xdr:colOff>
      <xdr:row>38</xdr:row>
      <xdr:rowOff>178470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09259" y="7636565"/>
          <a:ext cx="723810" cy="1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289892</xdr:colOff>
      <xdr:row>43</xdr:row>
      <xdr:rowOff>165652</xdr:rowOff>
    </xdr:from>
    <xdr:to>
      <xdr:col>1</xdr:col>
      <xdr:colOff>966083</xdr:colOff>
      <xdr:row>45</xdr:row>
      <xdr:rowOff>526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67849" y="8738152"/>
          <a:ext cx="676191" cy="2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339587</xdr:colOff>
      <xdr:row>53</xdr:row>
      <xdr:rowOff>0</xdr:rowOff>
    </xdr:from>
    <xdr:to>
      <xdr:col>1</xdr:col>
      <xdr:colOff>1872920</xdr:colOff>
      <xdr:row>54</xdr:row>
      <xdr:rowOff>9500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7544" y="10767391"/>
          <a:ext cx="1533333" cy="2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331304</xdr:colOff>
      <xdr:row>59</xdr:row>
      <xdr:rowOff>173935</xdr:rowOff>
    </xdr:from>
    <xdr:to>
      <xdr:col>2</xdr:col>
      <xdr:colOff>213463</xdr:colOff>
      <xdr:row>61</xdr:row>
      <xdr:rowOff>31030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9261" y="12208565"/>
          <a:ext cx="1828572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178372</xdr:colOff>
      <xdr:row>154</xdr:row>
      <xdr:rowOff>28542</xdr:rowOff>
    </xdr:from>
    <xdr:to>
      <xdr:col>2</xdr:col>
      <xdr:colOff>1548259</xdr:colOff>
      <xdr:row>154</xdr:row>
      <xdr:rowOff>232568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139327" y="30594160"/>
          <a:ext cx="1369887" cy="2040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emble.ent.cgi.com/Users/encarnaciond/AppData/Local/Microsoft/Windows/INetCache/Content.Outlook/Z65DGIF6/FRA_CDF_Contract%20Data_Form_Career_Navigator%20v2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emble.ent.cgi.com/business/288587/CoreFrance/Templates%20France/Contrat%20de%20travail/FRA_CDF_Contract%20Data_Form_Career_Navigator%20v1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emble.ent.cgi.com/Users/ianrey.catalina/AppData/Local/Microsoft/Windows/Temporary%20Internet%20Files/Content.Outlook/KJ6XYJM5/PSA%20MAR_Contract%20Data%20Form_Analysis%20v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s2.global.logica.com/Users/alcaraze/AppData/Local/Microsoft/Windows/Temporary%20Internet%20Files/Content.Outlook/M28N7KWN/GHR-FORM-APPT-FR-Contract%20Data%20Form%20For%20Employee%20and%20Trainee%20v14%20(03272014)-Harry%20COVE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s2.ent.cgi.com/Users/savagem/AppData/Local/Microsoft/Windows/Temporary%20Internet%20Files/Content.Outlook/FHSN2GNI/DATA%20CONTRACT%20FORM%20-%20SAMPLE%20OF%20FORM%20v3%20with%20Comments%20for%20Orac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DF Version History"/>
      <sheetName val="Revision History"/>
      <sheetName val="Sheet1"/>
      <sheetName val="Sheet3"/>
      <sheetName val="Final PSA drop Down"/>
      <sheetName val="DROP DOWN PSA"/>
      <sheetName val="drop douwn"/>
      <sheetName val="Sheet2"/>
      <sheetName val="Recruitment"/>
      <sheetName val="ALTERNANCE INFO"/>
      <sheetName val="Cartographie Career Navigator"/>
      <sheetName val="Règles reprise ancienneté"/>
      <sheetName val="Période d'essai CDF"/>
      <sheetName val="RULES JOB CODE BU SI&amp;C"/>
      <sheetName val="RULE JOB CODE FGDC&amp;ICE"/>
      <sheetName val="RULE JOB CODE CORPO"/>
      <sheetName val="Data Entry"/>
      <sheetName val="CDF Data"/>
      <sheetName val="Seniority Date et Contract VF"/>
      <sheetName val="Probation Period et Contract VF"/>
      <sheetName val="SMART HIRE ONBOARDING"/>
      <sheetName val="Create New Member Record "/>
      <sheetName val="Complete Personal and Job Data"/>
      <sheetName val="Complete Additional Pages"/>
      <sheetName val="Hiring Action Reason"/>
    </sheetNames>
    <sheetDataSet>
      <sheetData sheetId="0"/>
      <sheetData sheetId="1"/>
      <sheetData sheetId="2"/>
      <sheetData sheetId="3"/>
      <sheetData sheetId="4">
        <row r="1">
          <cell r="BL1" t="str">
            <v>day - jour</v>
          </cell>
          <cell r="BM1" t="str">
            <v>month - mois</v>
          </cell>
          <cell r="BN1" t="str">
            <v>Année - year</v>
          </cell>
          <cell r="BO1" t="str">
            <v>Année - year</v>
          </cell>
        </row>
        <row r="2">
          <cell r="H2" t="str">
            <v>menu</v>
          </cell>
          <cell r="BJ2" t="str">
            <v>menu</v>
          </cell>
          <cell r="BL2">
            <v>1</v>
          </cell>
          <cell r="BM2" t="str">
            <v>janvier - January</v>
          </cell>
          <cell r="BN2">
            <v>2030</v>
          </cell>
          <cell r="BO2">
            <v>2030</v>
          </cell>
        </row>
        <row r="3">
          <cell r="H3" t="str">
            <v>M.</v>
          </cell>
          <cell r="BJ3" t="str">
            <v>Yes - Oui</v>
          </cell>
          <cell r="BL3">
            <v>2</v>
          </cell>
          <cell r="BM3" t="str">
            <v>février - February</v>
          </cell>
          <cell r="BN3">
            <v>2029</v>
          </cell>
          <cell r="BO3">
            <v>2029</v>
          </cell>
        </row>
        <row r="4">
          <cell r="H4" t="str">
            <v>Mme.</v>
          </cell>
          <cell r="BJ4" t="str">
            <v>No - Non</v>
          </cell>
          <cell r="BL4">
            <v>3</v>
          </cell>
          <cell r="BM4" t="str">
            <v>mars - March</v>
          </cell>
          <cell r="BN4">
            <v>2028</v>
          </cell>
          <cell r="BO4">
            <v>2028</v>
          </cell>
        </row>
        <row r="5">
          <cell r="BL5">
            <v>4</v>
          </cell>
          <cell r="BM5" t="str">
            <v>avril - April</v>
          </cell>
          <cell r="BN5">
            <v>2027</v>
          </cell>
          <cell r="BO5">
            <v>2027</v>
          </cell>
        </row>
        <row r="6">
          <cell r="BL6">
            <v>5</v>
          </cell>
          <cell r="BM6" t="str">
            <v>mai - May</v>
          </cell>
          <cell r="BN6">
            <v>2026</v>
          </cell>
          <cell r="BO6">
            <v>2026</v>
          </cell>
        </row>
        <row r="7">
          <cell r="BL7">
            <v>6</v>
          </cell>
          <cell r="BM7" t="str">
            <v>juin - June</v>
          </cell>
          <cell r="BN7">
            <v>2025</v>
          </cell>
          <cell r="BO7">
            <v>2025</v>
          </cell>
        </row>
        <row r="8">
          <cell r="BL8">
            <v>7</v>
          </cell>
          <cell r="BM8" t="str">
            <v>juillet - July</v>
          </cell>
          <cell r="BN8">
            <v>2024</v>
          </cell>
          <cell r="BO8">
            <v>2024</v>
          </cell>
        </row>
        <row r="9">
          <cell r="BL9">
            <v>8</v>
          </cell>
          <cell r="BM9" t="str">
            <v>août - August</v>
          </cell>
          <cell r="BN9">
            <v>2023</v>
          </cell>
          <cell r="BO9">
            <v>2023</v>
          </cell>
        </row>
        <row r="10">
          <cell r="BL10">
            <v>9</v>
          </cell>
          <cell r="BM10" t="str">
            <v>septembre - September</v>
          </cell>
          <cell r="BN10">
            <v>2022</v>
          </cell>
          <cell r="BO10">
            <v>2022</v>
          </cell>
        </row>
        <row r="11">
          <cell r="BL11">
            <v>10</v>
          </cell>
          <cell r="BM11" t="str">
            <v>octobre - October</v>
          </cell>
          <cell r="BN11">
            <v>2021</v>
          </cell>
          <cell r="BO11">
            <v>2021</v>
          </cell>
        </row>
        <row r="12">
          <cell r="BL12">
            <v>11</v>
          </cell>
          <cell r="BM12" t="str">
            <v>novembre - November</v>
          </cell>
          <cell r="BN12">
            <v>2020</v>
          </cell>
          <cell r="BO12">
            <v>2020</v>
          </cell>
        </row>
        <row r="13">
          <cell r="BL13">
            <v>12</v>
          </cell>
          <cell r="BM13" t="str">
            <v>décembre - December</v>
          </cell>
          <cell r="BN13">
            <v>2019</v>
          </cell>
          <cell r="BO13">
            <v>2019</v>
          </cell>
        </row>
        <row r="14">
          <cell r="BL14">
            <v>13</v>
          </cell>
          <cell r="BN14">
            <v>2018</v>
          </cell>
          <cell r="BO14">
            <v>2018</v>
          </cell>
        </row>
        <row r="15">
          <cell r="BL15">
            <v>14</v>
          </cell>
          <cell r="BN15">
            <v>2017</v>
          </cell>
          <cell r="BO15">
            <v>2017</v>
          </cell>
        </row>
        <row r="16">
          <cell r="BL16">
            <v>15</v>
          </cell>
          <cell r="BN16">
            <v>2016</v>
          </cell>
          <cell r="BO16">
            <v>2016</v>
          </cell>
        </row>
        <row r="17">
          <cell r="BL17">
            <v>16</v>
          </cell>
          <cell r="BN17">
            <v>2015</v>
          </cell>
        </row>
        <row r="18">
          <cell r="BL18">
            <v>17</v>
          </cell>
          <cell r="BN18">
            <v>2014</v>
          </cell>
        </row>
        <row r="19">
          <cell r="BL19">
            <v>18</v>
          </cell>
          <cell r="BN19">
            <v>2013</v>
          </cell>
        </row>
        <row r="20">
          <cell r="BL20">
            <v>19</v>
          </cell>
          <cell r="BN20">
            <v>2012</v>
          </cell>
        </row>
        <row r="21">
          <cell r="BL21">
            <v>20</v>
          </cell>
          <cell r="BN21">
            <v>2011</v>
          </cell>
        </row>
        <row r="22">
          <cell r="BL22">
            <v>21</v>
          </cell>
          <cell r="BN22">
            <v>2010</v>
          </cell>
        </row>
        <row r="23">
          <cell r="BL23">
            <v>22</v>
          </cell>
          <cell r="BN23">
            <v>2009</v>
          </cell>
        </row>
        <row r="24">
          <cell r="BL24">
            <v>23</v>
          </cell>
          <cell r="BN24">
            <v>2008</v>
          </cell>
        </row>
        <row r="25">
          <cell r="BL25">
            <v>24</v>
          </cell>
          <cell r="BN25">
            <v>2007</v>
          </cell>
        </row>
        <row r="26">
          <cell r="BL26">
            <v>25</v>
          </cell>
          <cell r="BN26">
            <v>2006</v>
          </cell>
        </row>
        <row r="27">
          <cell r="BL27">
            <v>26</v>
          </cell>
          <cell r="BN27">
            <v>2005</v>
          </cell>
        </row>
        <row r="28">
          <cell r="BL28">
            <v>27</v>
          </cell>
          <cell r="BN28">
            <v>2004</v>
          </cell>
        </row>
        <row r="29">
          <cell r="BL29">
            <v>28</v>
          </cell>
          <cell r="BN29">
            <v>2003</v>
          </cell>
        </row>
        <row r="30">
          <cell r="BL30">
            <v>29</v>
          </cell>
          <cell r="BN30">
            <v>2002</v>
          </cell>
        </row>
        <row r="31">
          <cell r="BL31">
            <v>30</v>
          </cell>
          <cell r="BN31">
            <v>2001</v>
          </cell>
        </row>
        <row r="32">
          <cell r="BL32">
            <v>31</v>
          </cell>
          <cell r="BN32">
            <v>2000</v>
          </cell>
        </row>
        <row r="33">
          <cell r="BN33">
            <v>1999</v>
          </cell>
        </row>
        <row r="34">
          <cell r="AL34" t="str">
            <v>menu</v>
          </cell>
          <cell r="BN34">
            <v>1998</v>
          </cell>
        </row>
        <row r="35">
          <cell r="AL35" t="str">
            <v>Pierre BABINOT</v>
          </cell>
          <cell r="BN35">
            <v>1997</v>
          </cell>
        </row>
        <row r="36">
          <cell r="AL36" t="str">
            <v>Guillaume BAILLIEUX</v>
          </cell>
          <cell r="BN36">
            <v>1996</v>
          </cell>
        </row>
        <row r="37">
          <cell r="AL37" t="str">
            <v>HELENE BARRIOS-GAUTIER</v>
          </cell>
          <cell r="BN37">
            <v>1995</v>
          </cell>
        </row>
        <row r="38">
          <cell r="AL38" t="str">
            <v>Jean-Michel BATICLE</v>
          </cell>
          <cell r="BN38">
            <v>1994</v>
          </cell>
        </row>
        <row r="39">
          <cell r="AL39" t="str">
            <v>Karim BENYOUCEF</v>
          </cell>
          <cell r="AP39" t="str">
            <v>menu</v>
          </cell>
          <cell r="BN39">
            <v>1993</v>
          </cell>
        </row>
        <row r="40">
          <cell r="AL40" t="str">
            <v>Clément BERNARD</v>
          </cell>
          <cell r="AP40" t="str">
            <v>CSE CBC</v>
          </cell>
          <cell r="BN40">
            <v>1992</v>
          </cell>
        </row>
        <row r="41">
          <cell r="AL41" t="str">
            <v>Florent BONNICHON</v>
          </cell>
          <cell r="AP41" t="str">
            <v>CSE CPGRM</v>
          </cell>
          <cell r="BN41">
            <v>1991</v>
          </cell>
        </row>
        <row r="42">
          <cell r="AL42" t="str">
            <v>Marc BORDET</v>
          </cell>
          <cell r="AP42" t="str">
            <v>CSE EUTM</v>
          </cell>
          <cell r="BN42">
            <v>1990</v>
          </cell>
        </row>
        <row r="43">
          <cell r="AL43" t="str">
            <v>Philippe BOURON</v>
          </cell>
          <cell r="AP43" t="str">
            <v>CSE FGDC</v>
          </cell>
          <cell r="BJ43" t="str">
            <v>menu</v>
          </cell>
          <cell r="BN43">
            <v>1989</v>
          </cell>
        </row>
        <row r="44">
          <cell r="AL44" t="str">
            <v>Jean-Pascal BOUTIER</v>
          </cell>
          <cell r="AP44" t="str">
            <v>CSE FS</v>
          </cell>
          <cell r="BJ44" t="str">
            <v>Non applicable – uniquement pour les stagiaires</v>
          </cell>
          <cell r="BN44">
            <v>1988</v>
          </cell>
        </row>
        <row r="45">
          <cell r="AL45" t="str">
            <v>Florent BOUVIER</v>
          </cell>
          <cell r="AP45" t="str">
            <v>CSE Grand Est</v>
          </cell>
          <cell r="BJ45" t="str">
            <v>cadre coef 95 / position 1.1</v>
          </cell>
          <cell r="BN45">
            <v>1987</v>
          </cell>
        </row>
        <row r="46">
          <cell r="AL46" t="str">
            <v>Cyril BRICOUT</v>
          </cell>
          <cell r="AP46" t="str">
            <v>CSE Grand Ouest</v>
          </cell>
          <cell r="BJ46" t="str">
            <v>cadre coef 100 / position 1.2</v>
          </cell>
        </row>
        <row r="47">
          <cell r="AL47" t="str">
            <v>Philippe CALVET</v>
          </cell>
          <cell r="AP47" t="str">
            <v>CSE Grand Sud</v>
          </cell>
          <cell r="BJ47" t="str">
            <v>cadre coef 105 / position 2.1</v>
          </cell>
        </row>
        <row r="48">
          <cell r="AL48" t="str">
            <v>Yann CARCEL</v>
          </cell>
          <cell r="AP48" t="str">
            <v>CSE Nord</v>
          </cell>
          <cell r="BJ48" t="str">
            <v>cadre coef 115 / position 2.1</v>
          </cell>
        </row>
        <row r="49">
          <cell r="AL49" t="str">
            <v>Arnaud CARTIGNY</v>
          </cell>
          <cell r="AP49" t="str">
            <v>CSE SHAPSHA</v>
          </cell>
          <cell r="BJ49" t="str">
            <v>cadre coef 120 / position 2.1</v>
          </cell>
        </row>
        <row r="50">
          <cell r="AL50" t="str">
            <v>Claude CHAZELLE</v>
          </cell>
          <cell r="AP50" t="str">
            <v>CSE TPSHR</v>
          </cell>
          <cell r="BJ50" t="str">
            <v>cadre coef 130 / position 2.2</v>
          </cell>
        </row>
        <row r="51">
          <cell r="AL51" t="str">
            <v>Marie-Laure DALIGAUX</v>
          </cell>
          <cell r="BJ51" t="str">
            <v>cadre coef 150 / position 2.3</v>
          </cell>
        </row>
        <row r="52">
          <cell r="AL52" t="str">
            <v>Caroline De GRANDMAISON</v>
          </cell>
          <cell r="BJ52" t="str">
            <v>cadre coef 170 / position 3.1</v>
          </cell>
        </row>
        <row r="53">
          <cell r="AL53" t="str">
            <v>Lionel DELAIR</v>
          </cell>
          <cell r="BJ53" t="str">
            <v>cadre coef 190 / position 3.1</v>
          </cell>
        </row>
        <row r="54">
          <cell r="AL54" t="str">
            <v>Samuel DHULU</v>
          </cell>
          <cell r="BJ54" t="str">
            <v>cadre coef 200 / position 3.1</v>
          </cell>
        </row>
        <row r="55">
          <cell r="AL55" t="str">
            <v>Marc DIEPPEDALE</v>
          </cell>
          <cell r="BJ55" t="str">
            <v>cadre coef 210 / position 3.2</v>
          </cell>
        </row>
        <row r="56">
          <cell r="AL56" t="str">
            <v>Christine DOLLFUS</v>
          </cell>
          <cell r="BJ56" t="str">
            <v>cadre coef 270 / position 3.3</v>
          </cell>
        </row>
        <row r="57">
          <cell r="AL57" t="str">
            <v>Ludovic DUSAUTOIR</v>
          </cell>
          <cell r="BJ57" t="str">
            <v>cadre coef 290</v>
          </cell>
        </row>
        <row r="58">
          <cell r="AL58" t="str">
            <v>Sébastien ENSENAT</v>
          </cell>
          <cell r="BJ58" t="str">
            <v>employé coef 230 / position 1.1</v>
          </cell>
        </row>
        <row r="59">
          <cell r="AL59" t="str">
            <v>Olivier FOIX</v>
          </cell>
          <cell r="BJ59" t="str">
            <v>employé coef 240 / position 1.2</v>
          </cell>
        </row>
        <row r="60">
          <cell r="AL60" t="str">
            <v>Corinne FORTUNY</v>
          </cell>
          <cell r="BJ60" t="str">
            <v>employé coef 250 / position 1.3</v>
          </cell>
        </row>
        <row r="61">
          <cell r="AL61" t="str">
            <v>Cédric FRANCIS</v>
          </cell>
          <cell r="BJ61" t="str">
            <v>employé coef 275 / position 2.1</v>
          </cell>
        </row>
        <row r="62">
          <cell r="AL62" t="str">
            <v>Philippe FRECHON</v>
          </cell>
          <cell r="BJ62" t="str">
            <v>employé coef 310 / position 2.2</v>
          </cell>
        </row>
        <row r="63">
          <cell r="AL63" t="str">
            <v>Benoît FROMENT</v>
          </cell>
          <cell r="BJ63" t="str">
            <v>employé coef 355 / position 2.3</v>
          </cell>
        </row>
        <row r="64">
          <cell r="AL64" t="str">
            <v>Emmanuel GENOUIN DUHAMEL</v>
          </cell>
          <cell r="BJ64" t="str">
            <v>employé coef 400 / position 3.1</v>
          </cell>
        </row>
        <row r="65">
          <cell r="AL65" t="str">
            <v>Karine GUERRE</v>
          </cell>
          <cell r="BJ65" t="str">
            <v>employé coef 450 / position 3.2</v>
          </cell>
        </row>
        <row r="66">
          <cell r="AL66" t="str">
            <v>Nathalie GUERRIN</v>
          </cell>
          <cell r="BJ66" t="str">
            <v>employé coef 500 / position 3.3</v>
          </cell>
        </row>
        <row r="67">
          <cell r="AL67" t="str">
            <v>Florent GUYENNET</v>
          </cell>
        </row>
        <row r="68">
          <cell r="AL68" t="str">
            <v>Vincent HACQUES</v>
          </cell>
        </row>
        <row r="69">
          <cell r="AL69" t="str">
            <v>Jean-Charles HENRY</v>
          </cell>
        </row>
        <row r="70">
          <cell r="AL70" t="str">
            <v>Christophe HOREL</v>
          </cell>
        </row>
        <row r="71">
          <cell r="AL71" t="str">
            <v>Christophe HUSSON</v>
          </cell>
        </row>
        <row r="72">
          <cell r="AL72" t="str">
            <v>Olivier JOLLY</v>
          </cell>
        </row>
        <row r="73">
          <cell r="AL73" t="str">
            <v>David KIRCHHOFFER</v>
          </cell>
        </row>
        <row r="74">
          <cell r="AL74" t="str">
            <v>Sylvain LADURÉE</v>
          </cell>
        </row>
        <row r="75">
          <cell r="AL75" t="str">
            <v>Gilles LE FRANC</v>
          </cell>
        </row>
        <row r="76">
          <cell r="AL76" t="str">
            <v>Benoit LEBOUCHER</v>
          </cell>
        </row>
        <row r="77">
          <cell r="AL77" t="str">
            <v>Daniel LECERF</v>
          </cell>
        </row>
        <row r="78">
          <cell r="AL78" t="str">
            <v>Sébastien LIONET</v>
          </cell>
        </row>
        <row r="79">
          <cell r="AL79" t="str">
            <v>François LOHEAC</v>
          </cell>
          <cell r="BD79" t="str">
            <v>Année - year</v>
          </cell>
        </row>
        <row r="80">
          <cell r="AL80" t="str">
            <v>Christophe MAILLET</v>
          </cell>
          <cell r="BD80">
            <v>2030</v>
          </cell>
        </row>
        <row r="81">
          <cell r="AL81" t="str">
            <v>Michel MALHOMME</v>
          </cell>
          <cell r="BD81">
            <v>2029</v>
          </cell>
        </row>
        <row r="82">
          <cell r="AL82" t="str">
            <v>Denis MARCHESNAY</v>
          </cell>
          <cell r="BD82">
            <v>2028</v>
          </cell>
        </row>
        <row r="83">
          <cell r="AL83" t="str">
            <v>Isabelle MARECHAL</v>
          </cell>
          <cell r="BD83">
            <v>2027</v>
          </cell>
        </row>
        <row r="84">
          <cell r="AL84" t="str">
            <v>Pierre-Dominique MARTIN</v>
          </cell>
          <cell r="BD84">
            <v>2026</v>
          </cell>
        </row>
        <row r="85">
          <cell r="AL85" t="str">
            <v>Lionel MERY</v>
          </cell>
          <cell r="BD85">
            <v>2025</v>
          </cell>
        </row>
        <row r="86">
          <cell r="AL86" t="str">
            <v>Sassan MOHSENI</v>
          </cell>
          <cell r="BD86">
            <v>2024</v>
          </cell>
        </row>
        <row r="87">
          <cell r="AL87" t="str">
            <v>Jean-Philippe MULLER</v>
          </cell>
          <cell r="BD87">
            <v>2023</v>
          </cell>
        </row>
        <row r="88">
          <cell r="AL88" t="str">
            <v>Stéphane NAVARRO</v>
          </cell>
          <cell r="BD88">
            <v>2022</v>
          </cell>
          <cell r="BM88" t="str">
            <v>menu</v>
          </cell>
        </row>
        <row r="89">
          <cell r="AL89" t="str">
            <v>Marielle PABOIS</v>
          </cell>
          <cell r="BD89">
            <v>2021</v>
          </cell>
          <cell r="BJ89" t="str">
            <v>menu</v>
          </cell>
          <cell r="BM89" t="str">
            <v>Brevet</v>
          </cell>
        </row>
        <row r="90">
          <cell r="AL90" t="str">
            <v>Philippe RAMEL</v>
          </cell>
          <cell r="BD90">
            <v>2020</v>
          </cell>
          <cell r="BJ90" t="str">
            <v>Afghanistan-Afghanistan</v>
          </cell>
          <cell r="BM90" t="str">
            <v>BEP / CAP</v>
          </cell>
        </row>
        <row r="91">
          <cell r="AL91" t="str">
            <v>Patrick REYNOUDT</v>
          </cell>
          <cell r="BD91">
            <v>2019</v>
          </cell>
          <cell r="BJ91" t="str">
            <v>Afrique du Sud-South Africa</v>
          </cell>
          <cell r="BM91" t="str">
            <v xml:space="preserve">Niveau Bac  </v>
          </cell>
        </row>
        <row r="92">
          <cell r="AB92" t="str">
            <v>menu</v>
          </cell>
          <cell r="AL92" t="str">
            <v>Brigitte RIVET</v>
          </cell>
          <cell r="BD92">
            <v>2018</v>
          </cell>
          <cell r="BJ92" t="str">
            <v>Albanie-Albania</v>
          </cell>
          <cell r="BM92" t="str">
            <v>BACCALAUREAT</v>
          </cell>
        </row>
        <row r="93">
          <cell r="AB93" t="str">
            <v>Réalisation Projets &amp; Services</v>
          </cell>
          <cell r="AL93" t="str">
            <v>Jean-Bernard RODRIGUEZ</v>
          </cell>
          <cell r="BD93">
            <v>2017</v>
          </cell>
          <cell r="BJ93" t="str">
            <v>Algérie-Algeria</v>
          </cell>
          <cell r="BM93" t="str">
            <v>BAC + 2 / DUT / BTS</v>
          </cell>
        </row>
        <row r="94">
          <cell r="AB94" t="str">
            <v>Conseil en Management</v>
          </cell>
          <cell r="AL94" t="str">
            <v>Olivier ROUBERTIE</v>
          </cell>
          <cell r="BD94">
            <v>2016</v>
          </cell>
          <cell r="BJ94" t="str">
            <v>Allemagne-Germany</v>
          </cell>
          <cell r="BM94" t="str">
            <v>BAC + 3 / Licence / Bachelor</v>
          </cell>
        </row>
        <row r="95">
          <cell r="AB95" t="str">
            <v>Conseil en Solution &amp; Digital</v>
          </cell>
          <cell r="AL95" t="str">
            <v>Frédéric SILVE</v>
          </cell>
          <cell r="BD95">
            <v>2015</v>
          </cell>
          <cell r="BJ95" t="str">
            <v>Angleterre-England</v>
          </cell>
          <cell r="BM95" t="str">
            <v xml:space="preserve">BAC + 4 / Master 1 </v>
          </cell>
        </row>
        <row r="96">
          <cell r="AB96" t="str">
            <v>Conseil &amp; Expertise Technique</v>
          </cell>
          <cell r="AL96" t="str">
            <v>Olivier SOMNARD</v>
          </cell>
          <cell r="BD96">
            <v>2014</v>
          </cell>
          <cell r="BJ96" t="str">
            <v>Angola-Angola</v>
          </cell>
          <cell r="BM96" t="str">
            <v>BAC +5 / Master 2 / Diplôme d'ingénieur &amp; commerce</v>
          </cell>
        </row>
        <row r="97">
          <cell r="AB97" t="str">
            <v>Gestion Projets &amp; Services</v>
          </cell>
          <cell r="AL97" t="str">
            <v>Olivier SPREAFICO</v>
          </cell>
          <cell r="BD97">
            <v>2013</v>
          </cell>
          <cell r="BJ97" t="str">
            <v>Anguilla-Anguilla</v>
          </cell>
          <cell r="BM97" t="str">
            <v xml:space="preserve">BAC + 6 / MBA / Mastère spécialisé </v>
          </cell>
        </row>
        <row r="98">
          <cell r="AB98" t="str">
            <v>Management Général</v>
          </cell>
          <cell r="AL98" t="str">
            <v>Didier THEROND</v>
          </cell>
          <cell r="BD98">
            <v>2012</v>
          </cell>
          <cell r="BJ98" t="str">
            <v>Antarctique-Antarctica</v>
          </cell>
          <cell r="BM98" t="str">
            <v>BAC + 8 / Doctorant / PHD</v>
          </cell>
        </row>
        <row r="99">
          <cell r="AB99" t="str">
            <v>Sans famille</v>
          </cell>
          <cell r="AL99" t="str">
            <v>Xavier TORPE</v>
          </cell>
          <cell r="BD99">
            <v>2011</v>
          </cell>
          <cell r="BJ99" t="str">
            <v>Antigua-et-Barbuda-Antigua and Barbuda</v>
          </cell>
        </row>
        <row r="100">
          <cell r="AL100" t="str">
            <v>Xavier VALAT</v>
          </cell>
          <cell r="BD100">
            <v>2010</v>
          </cell>
          <cell r="BJ100" t="str">
            <v>Antilles néerlandaises-Netherlands Antilles</v>
          </cell>
        </row>
        <row r="101">
          <cell r="AL101" t="str">
            <v>Thierry VANDENBROUCKE</v>
          </cell>
          <cell r="BD101">
            <v>2009</v>
          </cell>
          <cell r="BJ101" t="str">
            <v>Arabie saoudite-Saudi Arabia</v>
          </cell>
        </row>
        <row r="102">
          <cell r="AL102" t="str">
            <v>Hervé YSNEL</v>
          </cell>
          <cell r="BD102">
            <v>2008</v>
          </cell>
          <cell r="BJ102" t="str">
            <v>Archipel Aland-Aland Islands</v>
          </cell>
        </row>
        <row r="103">
          <cell r="BD103">
            <v>2007</v>
          </cell>
          <cell r="BJ103" t="str">
            <v>Argentine-Argentina</v>
          </cell>
        </row>
        <row r="104">
          <cell r="BD104">
            <v>2006</v>
          </cell>
          <cell r="BJ104" t="str">
            <v>Arménie-Armenia</v>
          </cell>
        </row>
        <row r="105">
          <cell r="BD105">
            <v>2005</v>
          </cell>
          <cell r="BJ105" t="str">
            <v>Aruba-Aruba</v>
          </cell>
        </row>
        <row r="106">
          <cell r="BD106">
            <v>2004</v>
          </cell>
          <cell r="BJ106" t="str">
            <v>Australie-Australia</v>
          </cell>
        </row>
        <row r="107">
          <cell r="BD107">
            <v>2003</v>
          </cell>
          <cell r="BJ107" t="str">
            <v>Autriche-Austria</v>
          </cell>
        </row>
        <row r="108">
          <cell r="BD108">
            <v>2002</v>
          </cell>
          <cell r="BJ108" t="str">
            <v>Azerbaïdjan-Azerbaijan</v>
          </cell>
        </row>
        <row r="109">
          <cell r="BD109">
            <v>2001</v>
          </cell>
          <cell r="BJ109" t="str">
            <v>Bahamas-Bahamas</v>
          </cell>
        </row>
        <row r="110">
          <cell r="BD110">
            <v>2000</v>
          </cell>
          <cell r="BJ110" t="str">
            <v>Bahreïn-Bahrain</v>
          </cell>
        </row>
        <row r="111">
          <cell r="BJ111" t="str">
            <v>Bangladesh-Bangladesh</v>
          </cell>
        </row>
        <row r="112">
          <cell r="BJ112" t="str">
            <v>Barbade-Barbados</v>
          </cell>
        </row>
        <row r="113">
          <cell r="BJ113" t="str">
            <v>Bélarus-Belarus</v>
          </cell>
        </row>
        <row r="114">
          <cell r="F114" t="str">
            <v>menu</v>
          </cell>
          <cell r="BJ114" t="str">
            <v>Belgique-Belgium</v>
          </cell>
        </row>
        <row r="115">
          <cell r="F115" t="str">
            <v>PPP Profit Participation Plan</v>
          </cell>
          <cell r="BJ115" t="str">
            <v>Belize-Belize</v>
          </cell>
        </row>
        <row r="116">
          <cell r="F116" t="str">
            <v>BDIP Business Dev. Incentive Plan</v>
          </cell>
          <cell r="BJ116" t="str">
            <v>Bénin-Benin</v>
          </cell>
        </row>
        <row r="117">
          <cell r="F117" t="str">
            <v>Non applicable - Not applicable</v>
          </cell>
          <cell r="BJ117" t="str">
            <v>Bermudes-Bermuda</v>
          </cell>
        </row>
        <row r="118">
          <cell r="BJ118" t="str">
            <v>Bhoutan-Bhutan</v>
          </cell>
        </row>
        <row r="119">
          <cell r="BJ119" t="str">
            <v>Bolivie-Bolivia</v>
          </cell>
        </row>
        <row r="120">
          <cell r="F120" t="str">
            <v>menu</v>
          </cell>
          <cell r="BJ120" t="str">
            <v>Bonaire, St Eustatius et Saba-Bonaire, Sint Eustatius &amp; Saba</v>
          </cell>
        </row>
        <row r="121">
          <cell r="F121" t="str">
            <v>FRA01 - France</v>
          </cell>
          <cell r="BJ121" t="str">
            <v>Bosnie-Herzégovine-Bosnia and Herzegovina</v>
          </cell>
        </row>
        <row r="122">
          <cell r="F122" t="str">
            <v>FRA02 - France - Alsace/Moselle</v>
          </cell>
          <cell r="BJ122" t="str">
            <v>Botswana-Botswana</v>
          </cell>
        </row>
        <row r="123">
          <cell r="BJ123" t="str">
            <v>Brésil-Brazil</v>
          </cell>
        </row>
        <row r="124">
          <cell r="BJ124" t="str">
            <v>Brunéi Darussalam-Brunei Darussalam</v>
          </cell>
        </row>
        <row r="125">
          <cell r="BJ125" t="str">
            <v>Bulgarie-Bulgaria</v>
          </cell>
        </row>
        <row r="126">
          <cell r="BJ126" t="str">
            <v>Burkina Faso-Burkina Faso</v>
          </cell>
        </row>
        <row r="127">
          <cell r="BJ127" t="str">
            <v>Burundi-Burundi</v>
          </cell>
        </row>
        <row r="128">
          <cell r="BJ128" t="str">
            <v>Cambodge-Cambodia</v>
          </cell>
        </row>
        <row r="129">
          <cell r="BJ129" t="str">
            <v>Cameroun-Cameroon</v>
          </cell>
        </row>
        <row r="130">
          <cell r="BJ130" t="str">
            <v>Canada-Canada</v>
          </cell>
        </row>
        <row r="131">
          <cell r="BJ131" t="str">
            <v>Cap-Vert-Cape Verde</v>
          </cell>
        </row>
        <row r="132">
          <cell r="BJ132" t="str">
            <v>Chili-Chile</v>
          </cell>
        </row>
        <row r="133">
          <cell r="BJ133" t="str">
            <v>Chypre-Cyprus</v>
          </cell>
        </row>
        <row r="134">
          <cell r="BJ134" t="str">
            <v>Colombie-Colombia</v>
          </cell>
        </row>
        <row r="135">
          <cell r="BJ135" t="str">
            <v>Comores-Comoros</v>
          </cell>
        </row>
        <row r="136">
          <cell r="BJ136" t="str">
            <v>Congo-Congo</v>
          </cell>
        </row>
        <row r="137">
          <cell r="BJ137" t="str">
            <v>Corée du Sud-Korea, Republic of</v>
          </cell>
        </row>
        <row r="138">
          <cell r="BJ138" t="str">
            <v>Costa Rica-Costa Rica</v>
          </cell>
        </row>
        <row r="139">
          <cell r="BJ139" t="str">
            <v>Côte d'Ivoire-Cote D'Ivoire</v>
          </cell>
        </row>
        <row r="140">
          <cell r="BJ140" t="str">
            <v>Croatie-Croatia</v>
          </cell>
        </row>
        <row r="141">
          <cell r="BJ141" t="str">
            <v>Cuba-Cuba</v>
          </cell>
        </row>
        <row r="142">
          <cell r="BJ142" t="str">
            <v>Curaçao-Curacao</v>
          </cell>
        </row>
        <row r="143">
          <cell r="BJ143" t="str">
            <v>Danemark-Denmark</v>
          </cell>
        </row>
        <row r="144">
          <cell r="BJ144" t="str">
            <v>Djibouti-Djibouti</v>
          </cell>
        </row>
        <row r="145">
          <cell r="BJ145" t="str">
            <v>Dominique-Dominica</v>
          </cell>
        </row>
        <row r="146">
          <cell r="BJ146" t="str">
            <v>Écosse-Scotland</v>
          </cell>
        </row>
        <row r="147">
          <cell r="BJ147" t="str">
            <v>Égypte-Egypt</v>
          </cell>
        </row>
        <row r="148">
          <cell r="BJ148" t="str">
            <v>El Salvador-El Salvador</v>
          </cell>
        </row>
        <row r="149">
          <cell r="BJ149" t="str">
            <v>Émirats arabes unis-United Arab Emirates</v>
          </cell>
        </row>
        <row r="150">
          <cell r="BJ150" t="str">
            <v>Équateur-Ecuador</v>
          </cell>
        </row>
        <row r="151">
          <cell r="BJ151" t="str">
            <v>Érythrée-Eritrea</v>
          </cell>
        </row>
        <row r="152">
          <cell r="BJ152" t="str">
            <v>Espagne-Spain</v>
          </cell>
        </row>
        <row r="153">
          <cell r="BJ153" t="str">
            <v>Estonie-Estonia</v>
          </cell>
        </row>
        <row r="154">
          <cell r="BJ154" t="str">
            <v>États-Unis-United States</v>
          </cell>
        </row>
        <row r="155">
          <cell r="BJ155" t="str">
            <v>Éthiopie-Ethiopia</v>
          </cell>
        </row>
        <row r="156">
          <cell r="BJ156" t="str">
            <v>Ex-Rép. yougoslave Macédoine-Fmr Yugoslav Rep of Macedonia</v>
          </cell>
        </row>
        <row r="157">
          <cell r="BJ157" t="str">
            <v>Fédération de Russie-Russian Federation</v>
          </cell>
        </row>
        <row r="158">
          <cell r="BJ158" t="str">
            <v>Fidji-Fiji</v>
          </cell>
        </row>
        <row r="159">
          <cell r="BJ159" t="str">
            <v>Finlande-Finland</v>
          </cell>
        </row>
        <row r="160">
          <cell r="BJ160" t="str">
            <v>France-France</v>
          </cell>
        </row>
        <row r="161">
          <cell r="BJ161" t="str">
            <v>Gabon-Gabon</v>
          </cell>
        </row>
        <row r="162">
          <cell r="BJ162" t="str">
            <v>Gambie-Gambia</v>
          </cell>
        </row>
        <row r="163">
          <cell r="BJ163" t="str">
            <v>Géorgie Sud -îles Sandwich Sud-Sth Georgia &amp; Sth Sandwich Is</v>
          </cell>
        </row>
        <row r="164">
          <cell r="BJ164" t="str">
            <v>Géorgie-Georgia</v>
          </cell>
        </row>
        <row r="165">
          <cell r="BJ165" t="str">
            <v>Ghana-Ghana</v>
          </cell>
        </row>
        <row r="166">
          <cell r="BJ166" t="str">
            <v>Gibraltar-Gibraltar</v>
          </cell>
        </row>
        <row r="167">
          <cell r="BJ167" t="str">
            <v>Grèce-Greece</v>
          </cell>
        </row>
        <row r="168">
          <cell r="BJ168" t="str">
            <v>Grenade-Grenada</v>
          </cell>
        </row>
        <row r="169">
          <cell r="BJ169" t="str">
            <v>Groenland-Greenland</v>
          </cell>
        </row>
        <row r="170">
          <cell r="BJ170" t="str">
            <v>Guadeloupe-Guadeloupe</v>
          </cell>
        </row>
        <row r="171">
          <cell r="BJ171" t="str">
            <v>Guam-Guam</v>
          </cell>
        </row>
        <row r="172">
          <cell r="BJ172" t="str">
            <v>Guatemala-Guatemala</v>
          </cell>
        </row>
        <row r="173">
          <cell r="BJ173" t="str">
            <v>Guernsey-Guernsey</v>
          </cell>
        </row>
        <row r="174">
          <cell r="BJ174" t="str">
            <v>Guinée équatoriale-Equatorial Guinea</v>
          </cell>
        </row>
        <row r="175">
          <cell r="BJ175" t="str">
            <v>Guinée-Bissau-Guinea-Bissau</v>
          </cell>
        </row>
        <row r="176">
          <cell r="BJ176" t="str">
            <v>Guinée-Guinea</v>
          </cell>
        </row>
        <row r="177">
          <cell r="BJ177" t="str">
            <v>Guyane française-French Guiana</v>
          </cell>
        </row>
        <row r="178">
          <cell r="BJ178" t="str">
            <v>Guyane-Guyana</v>
          </cell>
        </row>
        <row r="179">
          <cell r="BJ179" t="str">
            <v>Haïti-Haiti</v>
          </cell>
        </row>
        <row r="180">
          <cell r="BJ180" t="str">
            <v>Honduras-Honduras</v>
          </cell>
        </row>
        <row r="181">
          <cell r="BJ181" t="str">
            <v>Hong Kong-Hong Kong</v>
          </cell>
        </row>
        <row r="182">
          <cell r="BJ182" t="str">
            <v>Hongrie-Hungary</v>
          </cell>
        </row>
        <row r="183">
          <cell r="BJ183" t="str">
            <v>île Bouvet-Bouvet Island</v>
          </cell>
        </row>
        <row r="184">
          <cell r="BJ184" t="str">
            <v>île Christmas-Christmas Island</v>
          </cell>
        </row>
        <row r="185">
          <cell r="BJ185" t="str">
            <v>Île de la Réunion-Reunion</v>
          </cell>
        </row>
        <row r="186">
          <cell r="BJ186" t="str">
            <v>Île de Man-Isle of Man</v>
          </cell>
        </row>
        <row r="187">
          <cell r="BJ187" t="str">
            <v>Île Maurice-Mauritius</v>
          </cell>
        </row>
        <row r="188">
          <cell r="BJ188" t="str">
            <v>Île Nioué-Niue</v>
          </cell>
        </row>
        <row r="189">
          <cell r="BJ189" t="str">
            <v>Île Norfolk-Norfolk Island</v>
          </cell>
        </row>
        <row r="190">
          <cell r="BJ190" t="str">
            <v>Île Pitcairn-Pitcairn</v>
          </cell>
        </row>
        <row r="191">
          <cell r="BJ191" t="str">
            <v>îles Cayman-Cayman Islands</v>
          </cell>
        </row>
        <row r="192">
          <cell r="BJ192" t="str">
            <v>îles Cocos (Keeling)-Cocos (Keeling) Islands</v>
          </cell>
        </row>
        <row r="193">
          <cell r="BJ193" t="str">
            <v>îles Cook-Cook Islands</v>
          </cell>
        </row>
        <row r="194">
          <cell r="BJ194" t="str">
            <v>îles Falkland (Malvinas)-Falkland Islands (Malvinas)</v>
          </cell>
        </row>
        <row r="195">
          <cell r="BJ195" t="str">
            <v>îles Féroé-Faroe Islands</v>
          </cell>
        </row>
        <row r="196">
          <cell r="BJ196" t="str">
            <v>îles Heard et McDonald-Heard and McDonald Islands</v>
          </cell>
        </row>
        <row r="197">
          <cell r="BJ197" t="str">
            <v>Îles Mariannes du Nord-Northern Mariana Islands</v>
          </cell>
        </row>
        <row r="198">
          <cell r="BJ198" t="str">
            <v>Îles Marshall-Marshall Islands</v>
          </cell>
        </row>
        <row r="199">
          <cell r="BJ199" t="str">
            <v>Îles mineures des États-Unis-US Minor Outlying Islands</v>
          </cell>
        </row>
        <row r="200">
          <cell r="BJ200" t="str">
            <v>Îles Salomon-Solomon Islands</v>
          </cell>
        </row>
        <row r="201">
          <cell r="BJ201" t="str">
            <v>îles Svalbard et Jan Mayen-Svalbard and Jan Mayen</v>
          </cell>
        </row>
        <row r="202">
          <cell r="BJ202" t="str">
            <v>Îles Tokélaous-Tokelau</v>
          </cell>
        </row>
        <row r="203">
          <cell r="BJ203" t="str">
            <v>Îles Turks et Caicos-Turks and Caicos Islands</v>
          </cell>
        </row>
        <row r="204">
          <cell r="BJ204" t="str">
            <v>Îles Vierges américaines-Virgin Islands (U.S.)</v>
          </cell>
        </row>
        <row r="205">
          <cell r="BJ205" t="str">
            <v>Îles Vierges britanniques-Virgin Islands (British)</v>
          </cell>
        </row>
        <row r="206">
          <cell r="BJ206" t="str">
            <v>Îles Wallis et Futuna-Wallis and Futuna Islands</v>
          </cell>
        </row>
        <row r="207">
          <cell r="BJ207" t="str">
            <v>Inde-India</v>
          </cell>
        </row>
        <row r="208">
          <cell r="BJ208" t="str">
            <v>Indonésie-Indonesia</v>
          </cell>
        </row>
        <row r="209">
          <cell r="BJ209" t="str">
            <v>Iraq-Iraq</v>
          </cell>
        </row>
        <row r="210">
          <cell r="BJ210" t="str">
            <v>Irlande du Nord-Northern Ireland</v>
          </cell>
        </row>
        <row r="211">
          <cell r="BJ211" t="str">
            <v>Irlande-Ireland</v>
          </cell>
        </row>
        <row r="212">
          <cell r="BJ212" t="str">
            <v>Islande-Iceland</v>
          </cell>
        </row>
        <row r="213">
          <cell r="BJ213" t="str">
            <v>Israël-Israel</v>
          </cell>
        </row>
        <row r="214">
          <cell r="BJ214" t="str">
            <v>Italie-Italy</v>
          </cell>
        </row>
        <row r="215">
          <cell r="BJ215" t="str">
            <v>Jamaïque-Jamaica</v>
          </cell>
        </row>
        <row r="216">
          <cell r="BJ216" t="str">
            <v>Japon-Japan</v>
          </cell>
        </row>
        <row r="217">
          <cell r="BJ217" t="str">
            <v>Jersey-Jersey</v>
          </cell>
        </row>
        <row r="218">
          <cell r="BJ218" t="str">
            <v>Jordanie-Jordan</v>
          </cell>
        </row>
        <row r="219">
          <cell r="BJ219" t="str">
            <v>Kazakhstan-Kazakhstan</v>
          </cell>
        </row>
        <row r="220">
          <cell r="BJ220" t="str">
            <v>Kenya-Kenya</v>
          </cell>
        </row>
        <row r="221">
          <cell r="BJ221" t="str">
            <v>Kirghizistan-Kyrgyzstan</v>
          </cell>
        </row>
        <row r="222">
          <cell r="BJ222" t="str">
            <v>Kiribati-Kiribati</v>
          </cell>
        </row>
        <row r="223">
          <cell r="BJ223" t="str">
            <v>Kosovo-Kosovo</v>
          </cell>
        </row>
        <row r="224">
          <cell r="BJ224" t="str">
            <v>Koweït-Kuwait</v>
          </cell>
        </row>
        <row r="225">
          <cell r="BJ225" t="str">
            <v>Lesotho-Lesotho</v>
          </cell>
        </row>
        <row r="226">
          <cell r="BJ226" t="str">
            <v>Lettonie-Latvia</v>
          </cell>
        </row>
        <row r="227">
          <cell r="BJ227" t="str">
            <v>Liban-Lebanon</v>
          </cell>
        </row>
        <row r="228">
          <cell r="BJ228" t="str">
            <v>Libéria-Liberia</v>
          </cell>
        </row>
        <row r="229">
          <cell r="BJ229" t="str">
            <v>Libye-Libyan Arab Jamahiriya</v>
          </cell>
        </row>
        <row r="230">
          <cell r="BJ230" t="str">
            <v>Liechtenstein-Liechtenstein</v>
          </cell>
        </row>
        <row r="231">
          <cell r="BJ231" t="str">
            <v>Lituanie-Lithuania</v>
          </cell>
        </row>
        <row r="232">
          <cell r="BJ232" t="str">
            <v>Luxembourg-Luxembourg</v>
          </cell>
        </row>
        <row r="233">
          <cell r="BJ233" t="str">
            <v>Macao-Macao</v>
          </cell>
        </row>
        <row r="234">
          <cell r="BJ234" t="str">
            <v>Madagascar-Madagascar</v>
          </cell>
        </row>
        <row r="235">
          <cell r="BJ235" t="str">
            <v>Malaisie-Malaysia</v>
          </cell>
        </row>
        <row r="236">
          <cell r="BJ236" t="str">
            <v>Malawi-Malawi</v>
          </cell>
        </row>
        <row r="237">
          <cell r="BJ237" t="str">
            <v>Maldives-Maldives</v>
          </cell>
        </row>
        <row r="238">
          <cell r="BJ238" t="str">
            <v>Mali-Mali</v>
          </cell>
        </row>
        <row r="239">
          <cell r="BJ239" t="str">
            <v>Malte-Malta</v>
          </cell>
        </row>
        <row r="240">
          <cell r="BJ240" t="str">
            <v>Maroc-Morocco</v>
          </cell>
        </row>
        <row r="241">
          <cell r="BJ241" t="str">
            <v>Martinique-Martinique</v>
          </cell>
        </row>
        <row r="242">
          <cell r="BJ242" t="str">
            <v>Mauritanie-Mauritania</v>
          </cell>
        </row>
        <row r="243">
          <cell r="BJ243" t="str">
            <v>Mayotte-Mayotte</v>
          </cell>
        </row>
        <row r="244">
          <cell r="BJ244" t="str">
            <v>Mexique-Mexico</v>
          </cell>
        </row>
        <row r="245">
          <cell r="BJ245" t="str">
            <v>Micronésie, États fédérés de-Micronesia, Federated States</v>
          </cell>
        </row>
        <row r="246">
          <cell r="BJ246" t="str">
            <v>Moldavie, République de-Moldova, Republic of</v>
          </cell>
        </row>
        <row r="247">
          <cell r="BJ247" t="str">
            <v>Monaco, Principauté de-Monaco</v>
          </cell>
        </row>
        <row r="248">
          <cell r="BJ248" t="str">
            <v>Mongolie-Mongolia</v>
          </cell>
        </row>
        <row r="249">
          <cell r="BJ249" t="str">
            <v>Montserrat-Montserrat</v>
          </cell>
        </row>
        <row r="250">
          <cell r="BJ250" t="str">
            <v>Mozambique-Mozambique</v>
          </cell>
        </row>
        <row r="251">
          <cell r="BJ251" t="str">
            <v>Myanmar-Myanmar</v>
          </cell>
        </row>
        <row r="252">
          <cell r="BJ252" t="str">
            <v>Namibie-Namibia</v>
          </cell>
        </row>
        <row r="253">
          <cell r="BJ253" t="str">
            <v>Nauru-Nauru</v>
          </cell>
        </row>
        <row r="254">
          <cell r="BJ254" t="str">
            <v>Népal-Nepal</v>
          </cell>
        </row>
        <row r="255">
          <cell r="BJ255" t="str">
            <v>Nicaragua-Nicaragua</v>
          </cell>
        </row>
        <row r="256">
          <cell r="BJ256" t="str">
            <v>Nigéria-Nigeria</v>
          </cell>
        </row>
        <row r="257">
          <cell r="BJ257" t="str">
            <v>Niger-Niger</v>
          </cell>
        </row>
        <row r="258">
          <cell r="BJ258" t="str">
            <v>Norvège-Norway</v>
          </cell>
        </row>
        <row r="259">
          <cell r="BJ259" t="str">
            <v>Nouvelle-Calédonie-New Caledonia</v>
          </cell>
        </row>
        <row r="260">
          <cell r="BJ260" t="str">
            <v>Nouvelle-Zélande-New Zealand</v>
          </cell>
        </row>
        <row r="261">
          <cell r="BJ261" t="str">
            <v>Oman-Oman</v>
          </cell>
        </row>
        <row r="262">
          <cell r="BJ262" t="str">
            <v>Ouganda-Uganda</v>
          </cell>
        </row>
        <row r="263">
          <cell r="BJ263" t="str">
            <v>Ouzbékistan-Uzbekistan</v>
          </cell>
        </row>
        <row r="264">
          <cell r="BJ264" t="str">
            <v>Pakistan-Pakistan</v>
          </cell>
        </row>
        <row r="265">
          <cell r="BJ265" t="str">
            <v>Palaos-Palau</v>
          </cell>
        </row>
        <row r="266">
          <cell r="BJ266" t="str">
            <v>Panama-Panama</v>
          </cell>
        </row>
        <row r="267">
          <cell r="BJ267" t="str">
            <v>Papouasie-Nouvelle-Guinée-Papua New Guinea</v>
          </cell>
        </row>
        <row r="268">
          <cell r="BJ268" t="str">
            <v>Paraguay-Paraguay</v>
          </cell>
        </row>
        <row r="269">
          <cell r="BJ269" t="str">
            <v>Pays de Galles-Wales</v>
          </cell>
        </row>
        <row r="270">
          <cell r="BJ270" t="str">
            <v>Pays-Bas-Netherlands</v>
          </cell>
        </row>
        <row r="271">
          <cell r="BJ271" t="str">
            <v>Pérou-Peru</v>
          </cell>
        </row>
        <row r="272">
          <cell r="BJ272" t="str">
            <v>Philippines-Philippines</v>
          </cell>
        </row>
        <row r="273">
          <cell r="BJ273" t="str">
            <v>Pologne-Poland</v>
          </cell>
        </row>
        <row r="274">
          <cell r="BJ274" t="str">
            <v>Polynésie française-French Polynesia</v>
          </cell>
        </row>
        <row r="275">
          <cell r="BJ275" t="str">
            <v>Porto Rico-Puerto Rico</v>
          </cell>
        </row>
        <row r="276">
          <cell r="BJ276" t="str">
            <v>Portugal-Portugal</v>
          </cell>
        </row>
        <row r="277">
          <cell r="BJ277" t="str">
            <v>Principauté d'Andorre-Andorra</v>
          </cell>
        </row>
        <row r="278">
          <cell r="BJ278" t="str">
            <v>Qatar-Qatar</v>
          </cell>
        </row>
        <row r="279">
          <cell r="BJ279" t="str">
            <v>Rép. populaire démocr. Corée-Korea, Democratic People's Rep</v>
          </cell>
        </row>
        <row r="280">
          <cell r="BJ280" t="str">
            <v>Rép. populaire démocr. du Laos-Lao People's Democratic Rep</v>
          </cell>
        </row>
        <row r="281">
          <cell r="BJ281" t="str">
            <v>République arabe syrienne-Syrian Arab Republic</v>
          </cell>
        </row>
        <row r="282">
          <cell r="BJ282" t="str">
            <v>République centrafricaine-Central African Republic</v>
          </cell>
        </row>
        <row r="283">
          <cell r="BJ283" t="str">
            <v>République de Serbie-Republic of Serbia</v>
          </cell>
        </row>
        <row r="284">
          <cell r="BJ284" t="str">
            <v>République démocratique Congo-Congo, The Democratic Republic</v>
          </cell>
        </row>
        <row r="285">
          <cell r="BJ285" t="str">
            <v>République des Seychelles-Seychelles</v>
          </cell>
        </row>
        <row r="286">
          <cell r="BJ286" t="str">
            <v>République dominicaine-Dominican Republic</v>
          </cell>
        </row>
        <row r="287">
          <cell r="BJ287" t="str">
            <v>République du Monténégro-Republic of Montenegro</v>
          </cell>
        </row>
        <row r="288">
          <cell r="BJ288" t="str">
            <v>République islamique d'Iran-Iran (Islamic Republic Of)</v>
          </cell>
        </row>
        <row r="289">
          <cell r="BJ289" t="str">
            <v>République populaire de Chine-China</v>
          </cell>
        </row>
        <row r="290">
          <cell r="BJ290" t="str">
            <v>République tchèque-Czech Republic</v>
          </cell>
        </row>
        <row r="291">
          <cell r="BJ291" t="str">
            <v>Roumanie-Romania</v>
          </cell>
        </row>
        <row r="292">
          <cell r="BJ292" t="str">
            <v>Royaume-Uni-United Kingdom</v>
          </cell>
        </row>
        <row r="293">
          <cell r="BJ293" t="str">
            <v>Rwanda-Rwanda</v>
          </cell>
        </row>
        <row r="294">
          <cell r="BJ294" t="str">
            <v>Sahara occidental-Western Sahara</v>
          </cell>
        </row>
        <row r="295">
          <cell r="BJ295" t="str">
            <v>Saint-Barthélemy-Saint Barthelemy</v>
          </cell>
        </row>
        <row r="296">
          <cell r="BJ296" t="str">
            <v>Sainte-Hélène-Saint Helena</v>
          </cell>
        </row>
        <row r="297">
          <cell r="BJ297" t="str">
            <v>Sainte-Lucie-Saint Lucia</v>
          </cell>
        </row>
        <row r="298">
          <cell r="BJ298" t="str">
            <v>Saint-Kitts-et-Nevis-Saint Kitts and Nevis</v>
          </cell>
        </row>
        <row r="299">
          <cell r="BJ299" t="str">
            <v>Saint-Marin-San Marino</v>
          </cell>
        </row>
        <row r="300">
          <cell r="BJ300" t="str">
            <v>Saint-Martin (côté néerland.)-Sint Maarten (Dutch part)</v>
          </cell>
        </row>
        <row r="301">
          <cell r="BJ301" t="str">
            <v>Saint-Martin-Saint Martin</v>
          </cell>
        </row>
        <row r="302">
          <cell r="BJ302" t="str">
            <v>Samoa américaines-American Samoa</v>
          </cell>
        </row>
        <row r="303">
          <cell r="BJ303" t="str">
            <v>Samoa-Samoa</v>
          </cell>
        </row>
        <row r="304">
          <cell r="BJ304" t="str">
            <v>Sao Tomé-et-Principe-Sao Tome and Principe</v>
          </cell>
        </row>
        <row r="305">
          <cell r="BJ305" t="str">
            <v>Sénégal-Senegal</v>
          </cell>
        </row>
        <row r="306">
          <cell r="BJ306" t="str">
            <v>Sierra Leone-Sierra Leone</v>
          </cell>
        </row>
        <row r="307">
          <cell r="BJ307" t="str">
            <v>Singapour-Singapore</v>
          </cell>
        </row>
        <row r="308">
          <cell r="BJ308" t="str">
            <v>Slovaquie-Slovakia</v>
          </cell>
        </row>
        <row r="309">
          <cell r="BJ309" t="str">
            <v>Slovénie-Slovenia</v>
          </cell>
        </row>
        <row r="310">
          <cell r="BJ310" t="str">
            <v>Somalie-Somalia</v>
          </cell>
        </row>
        <row r="311">
          <cell r="BJ311" t="str">
            <v>Soudan du Sud-South Sudan</v>
          </cell>
        </row>
        <row r="312">
          <cell r="BJ312" t="str">
            <v>Soudan-Sudan</v>
          </cell>
        </row>
        <row r="313">
          <cell r="BJ313" t="str">
            <v>Sri Lanka-Sri Lanka</v>
          </cell>
        </row>
        <row r="314">
          <cell r="BJ314" t="str">
            <v>St-Pierre-et-Miquelon-Saint Pierre and Miquelon</v>
          </cell>
        </row>
        <row r="315">
          <cell r="BJ315" t="str">
            <v>St-Vincent-et-les Grenadines-St Vincent and the Grenadines</v>
          </cell>
        </row>
        <row r="316">
          <cell r="BJ316" t="str">
            <v>Suède-Sweden</v>
          </cell>
        </row>
        <row r="317">
          <cell r="BJ317" t="str">
            <v>Suisse-Switzerland</v>
          </cell>
        </row>
        <row r="318">
          <cell r="BJ318" t="str">
            <v>Suriname-Suriname</v>
          </cell>
        </row>
        <row r="319">
          <cell r="BJ319" t="str">
            <v>Swaziland-Swaziland</v>
          </cell>
        </row>
        <row r="320">
          <cell r="BJ320" t="str">
            <v>Tadjikistan-Tajikistan</v>
          </cell>
        </row>
        <row r="321">
          <cell r="BJ321" t="str">
            <v>Taïwan-Taiwan</v>
          </cell>
        </row>
        <row r="322">
          <cell r="BJ322" t="str">
            <v>Tanzanie, République-Unie de-Tanzania, United Republic of</v>
          </cell>
        </row>
        <row r="323">
          <cell r="BJ323" t="str">
            <v>Tchad-Chad</v>
          </cell>
        </row>
        <row r="324">
          <cell r="BJ324" t="str">
            <v>Terr. brit. de l'océan Indien-British Indian Ocean Territory</v>
          </cell>
        </row>
        <row r="325">
          <cell r="BJ325" t="str">
            <v>Terres australes françaises-French Southern Territories</v>
          </cell>
        </row>
        <row r="326">
          <cell r="BJ326" t="str">
            <v>Territoire palestinien occupé-Palestinian Territory, Occupie</v>
          </cell>
        </row>
        <row r="327">
          <cell r="BJ327" t="str">
            <v>Thaïlande-Thailand</v>
          </cell>
        </row>
        <row r="328">
          <cell r="BJ328" t="str">
            <v>Timor-Leste-East Timor</v>
          </cell>
        </row>
        <row r="329">
          <cell r="BJ329" t="str">
            <v>Togo-Togo</v>
          </cell>
        </row>
        <row r="330">
          <cell r="BJ330" t="str">
            <v>Tonga-Tonga</v>
          </cell>
        </row>
        <row r="331">
          <cell r="BJ331" t="str">
            <v>Trinité-et-Tobago-Trinidad and Tobago</v>
          </cell>
        </row>
        <row r="332">
          <cell r="BJ332" t="str">
            <v>Tunisie-Tunisia</v>
          </cell>
        </row>
        <row r="333">
          <cell r="BJ333" t="str">
            <v>Turkménistan-Turkmenistan</v>
          </cell>
        </row>
        <row r="334">
          <cell r="BJ334" t="str">
            <v>Turquie-Turkey</v>
          </cell>
        </row>
        <row r="335">
          <cell r="BJ335" t="str">
            <v>Tuvalu-Tuvalu</v>
          </cell>
        </row>
        <row r="336">
          <cell r="BJ336" t="str">
            <v>Ukraine-Ukraine</v>
          </cell>
        </row>
        <row r="337">
          <cell r="BJ337" t="str">
            <v>Uruguay-Uruguay</v>
          </cell>
        </row>
        <row r="338">
          <cell r="BJ338" t="str">
            <v>Vanuatu-Vanuatu</v>
          </cell>
        </row>
        <row r="339">
          <cell r="BJ339" t="str">
            <v>Vatican (Saint-Siège)-Holy See (Vatican City State)</v>
          </cell>
        </row>
        <row r="340">
          <cell r="BJ340" t="str">
            <v>Venezuela-Venezuela</v>
          </cell>
        </row>
        <row r="341">
          <cell r="BJ341" t="str">
            <v>Vietnam-Viet Nam</v>
          </cell>
        </row>
        <row r="342">
          <cell r="BJ342" t="str">
            <v>Yémen-Yemen</v>
          </cell>
        </row>
        <row r="343">
          <cell r="BJ343" t="str">
            <v>Yougoslavie-Yugoslavia</v>
          </cell>
        </row>
        <row r="344">
          <cell r="BJ344" t="str">
            <v>Zambie-Zambia</v>
          </cell>
        </row>
        <row r="345">
          <cell r="BJ345" t="str">
            <v>Zimbabwe-Zimbabwe</v>
          </cell>
        </row>
      </sheetData>
      <sheetData sheetId="5">
        <row r="2">
          <cell r="G2" t="str">
            <v>menu</v>
          </cell>
        </row>
        <row r="3">
          <cell r="G3" t="str">
            <v>70 – Stage Bac+4</v>
          </cell>
        </row>
        <row r="4">
          <cell r="G4" t="str">
            <v>71 – Stage Bac+5</v>
          </cell>
        </row>
        <row r="5">
          <cell r="G5" t="str">
            <v>72 – Stage DUT/2ième année post bac</v>
          </cell>
        </row>
        <row r="6">
          <cell r="G6" t="str">
            <v>73 – Stage Licence</v>
          </cell>
        </row>
        <row r="7">
          <cell r="G7" t="str">
            <v>74 – Année de césure</v>
          </cell>
        </row>
        <row r="8">
          <cell r="G8" t="str">
            <v>75 – Stagiaire POEI</v>
          </cell>
        </row>
        <row r="9">
          <cell r="G9" t="str">
            <v>76 – Stage Pré-Bac</v>
          </cell>
        </row>
        <row r="10">
          <cell r="G10" t="str">
            <v xml:space="preserve">77 – Stage AFPA </v>
          </cell>
        </row>
        <row r="58">
          <cell r="D58" t="str">
            <v>menu</v>
          </cell>
        </row>
        <row r="59">
          <cell r="D59" t="str">
            <v>001 Trainee (Stagiaire) (DIR)</v>
          </cell>
        </row>
        <row r="60">
          <cell r="D60" t="str">
            <v>006 Trainee (Alternance hors UDEV) (DIR)</v>
          </cell>
        </row>
        <row r="61">
          <cell r="D61" t="str">
            <v>007 Trainee (Stagiaire) (ADM)</v>
          </cell>
        </row>
        <row r="62">
          <cell r="D62" t="str">
            <v>141 SERVICE OPERATOR (DIR)</v>
          </cell>
        </row>
        <row r="63">
          <cell r="D63" t="str">
            <v>142 SENIOR SERVICES OPERATOR (DIR)</v>
          </cell>
        </row>
        <row r="64">
          <cell r="D64" t="str">
            <v>201 CONSULTANT (DIR)</v>
          </cell>
        </row>
        <row r="65">
          <cell r="D65" t="str">
            <v>202 SENIOR CONSULTANT (DIR)</v>
          </cell>
        </row>
        <row r="66">
          <cell r="D66" t="str">
            <v>210 TRAINEE - U'DEV Alternant (DIR)</v>
          </cell>
        </row>
        <row r="67">
          <cell r="D67" t="str">
            <v>251 BUSINESS  CONSULTANT (DIR)</v>
          </cell>
        </row>
        <row r="68">
          <cell r="D68" t="str">
            <v>252 SENIOR BUSINESS CONSULTANT (DIR)</v>
          </cell>
        </row>
        <row r="69">
          <cell r="D69" t="str">
            <v>253 Business Consulting Manager (MGM)</v>
          </cell>
        </row>
        <row r="70">
          <cell r="D70" t="str">
            <v>401 CHEF DE SERVICE CONSEIL Prestation
de services (Delivery) / Manager Consulting Delivery (DIR)</v>
          </cell>
        </row>
        <row r="71">
          <cell r="D71" t="str">
            <v>402 CHEF DE SERVICE CONSEIL Expert / Manager Consulting Expert (DIR)</v>
          </cell>
        </row>
        <row r="72">
          <cell r="D72" t="str">
            <v>406 Manager Corporate Services (MGM)</v>
          </cell>
        </row>
        <row r="73">
          <cell r="D73" t="str">
            <v>407 Manager Corporate Services –Expert (MGM)</v>
          </cell>
        </row>
        <row r="74">
          <cell r="D74" t="str">
            <v>410 DIRECTEUR(TRICE)-CONSEIL (DIR)</v>
          </cell>
        </row>
        <row r="75">
          <cell r="D75" t="str">
            <v>411 DIRECTEUR(TRICE)-CONSEIL (DIR) (Expert)</v>
          </cell>
        </row>
        <row r="76">
          <cell r="D76" t="str">
            <v>416 Director Corporate Services (MGM)</v>
          </cell>
        </row>
        <row r="77">
          <cell r="D77" t="str">
            <v>417 Director Corporate Services – Expert (MGM)</v>
          </cell>
        </row>
        <row r="78">
          <cell r="D78" t="str">
            <v>421 DIRECTEUR(TRICE), SERV.- CONS. (MGM)</v>
          </cell>
        </row>
        <row r="79">
          <cell r="D79" t="str">
            <v>501 VICE-PRESIDENT(E)-CONSEIL (DIR)</v>
          </cell>
        </row>
        <row r="80">
          <cell r="D80" t="str">
            <v>502 VICE-PRESIDENT(E)-CONSEIL (SDM) (DIR)</v>
          </cell>
        </row>
        <row r="81">
          <cell r="D81" t="str">
            <v>504 VICE – PRESIDENT (E) – Conseils Secteur  (MGM)</v>
          </cell>
        </row>
        <row r="82">
          <cell r="D82" t="str">
            <v>506 Vice President Corporate Services (MGM)</v>
          </cell>
        </row>
        <row r="83">
          <cell r="D83" t="str">
            <v>507 Vice President Corporate Services – Expert (MGM)</v>
          </cell>
        </row>
        <row r="84">
          <cell r="D84" t="str">
            <v>508 Senior Vice-President Consulting Services (MGM)</v>
          </cell>
        </row>
        <row r="85">
          <cell r="D85" t="str">
            <v>511 VP, SERVICES-CONSEILS (MGM)</v>
          </cell>
        </row>
        <row r="86">
          <cell r="D86" t="str">
            <v>512 Vice Président Senior (MGM)</v>
          </cell>
        </row>
        <row r="87">
          <cell r="D87" t="str">
            <v>641 Assistant (ADM)</v>
          </cell>
        </row>
        <row r="88">
          <cell r="D88" t="str">
            <v>661 Consultant (ADM)</v>
          </cell>
        </row>
        <row r="89">
          <cell r="D89" t="str">
            <v>681 Senior Consultant (ADM)</v>
          </cell>
        </row>
        <row r="90">
          <cell r="D90" t="str">
            <v>691 BD REPRESENTATIVE (ADM)</v>
          </cell>
        </row>
        <row r="91">
          <cell r="D91" t="str">
            <v>700 - Manager consulting internal  (MGM)</v>
          </cell>
        </row>
        <row r="92">
          <cell r="D92" t="str">
            <v>701 DIRECTOR CONSULTING INTERNAL (MGM)</v>
          </cell>
        </row>
        <row r="93">
          <cell r="D93" t="str">
            <v>711 BD DIRECTOR (MGM)</v>
          </cell>
        </row>
        <row r="94">
          <cell r="D94" t="str">
            <v>841 Vice President Business Engineering (MGM)</v>
          </cell>
        </row>
        <row r="163">
          <cell r="D163" t="str">
            <v>menu</v>
          </cell>
        </row>
        <row r="164">
          <cell r="D164" t="str">
            <v>CR - Carte résident</v>
          </cell>
        </row>
        <row r="165">
          <cell r="D165" t="str">
            <v>CS2 - Carte de séjour -Etudiant</v>
          </cell>
        </row>
        <row r="166">
          <cell r="D166" t="str">
            <v>CS4 - Carte de séjour - salarié ou travailleurs temporaire</v>
          </cell>
        </row>
        <row r="167">
          <cell r="D167" t="str">
            <v>CS5 - CS-Travailleurs temporaire</v>
          </cell>
        </row>
        <row r="168">
          <cell r="D168" t="str">
            <v>CS7 - CS - Echange jeune prof</v>
          </cell>
        </row>
        <row r="169">
          <cell r="D169" t="str">
            <v>CS8 - CS - Vie privée &amp; familiale</v>
          </cell>
        </row>
        <row r="170">
          <cell r="D170" t="str">
            <v>CS9 - C.S. rech emploi ou créa entp</v>
          </cell>
        </row>
        <row r="171">
          <cell r="D171" t="str">
            <v>CSA - APS - Etudiant</v>
          </cell>
        </row>
        <row r="172">
          <cell r="D172" t="str">
            <v>CSB1 - CS-Passeport Talent CBE</v>
          </cell>
        </row>
        <row r="173">
          <cell r="D173" t="str">
            <v>CSB2 - CS-Passeport Talent salarié qualifié/ ent innov</v>
          </cell>
        </row>
        <row r="174">
          <cell r="D174" t="str">
            <v>CSB3 - CS -Passeport Talent famille</v>
          </cell>
        </row>
        <row r="175">
          <cell r="D175" t="str">
            <v>CSD1 - Certif de rés. Algérien - Salarié</v>
          </cell>
        </row>
        <row r="176">
          <cell r="D176" t="str">
            <v>CSD2 - Certif de rés. Algérien - Vie privée familiale</v>
          </cell>
        </row>
        <row r="177">
          <cell r="D177" t="str">
            <v>CSD3 - Certif de rés. Algérien - Etudiant</v>
          </cell>
        </row>
        <row r="178">
          <cell r="A178" t="str">
            <v>menu</v>
          </cell>
          <cell r="D178" t="str">
            <v>CSD4 - Certif de rés. Algérien - Résident</v>
          </cell>
        </row>
        <row r="179">
          <cell r="A179" t="str">
            <v xml:space="preserve">01 - Formation n'allant pas au-delà de la scolarité obligatoire (16 ans) </v>
          </cell>
          <cell r="D179" t="str">
            <v>CSE - CS - Stagiaire</v>
          </cell>
        </row>
        <row r="180">
          <cell r="A180" t="str">
            <v xml:space="preserve">02 - Formation d'une durée maximale d'un an après le collège </v>
          </cell>
          <cell r="D180" t="str">
            <v>RS1 - Récépissé Dde c.s. - salarié</v>
          </cell>
        </row>
        <row r="181">
          <cell r="A181" t="str">
            <v>03 - CAP ou BEP</v>
          </cell>
          <cell r="D181" t="str">
            <v>RS2 - Récépissé Dde c.s. - Etudiant</v>
          </cell>
        </row>
        <row r="182">
          <cell r="A182" t="str">
            <v>04 - Bac, brevet de technicien ou du brevet professionnel</v>
          </cell>
          <cell r="D182" t="str">
            <v>RS3  - Récépissé Dde c.s. - Rech emploi</v>
          </cell>
        </row>
        <row r="183">
          <cell r="A183" t="str">
            <v>05 - Bac+2 : licence 2, BTS, DUT, etc.</v>
          </cell>
          <cell r="D183" t="str">
            <v>V1  - Visa- Etudiant</v>
          </cell>
        </row>
        <row r="184">
          <cell r="A184" t="str">
            <v>06 - Bac+3 et bac+4 : licence 3, licence pro, master 1, etc.</v>
          </cell>
          <cell r="D184" t="str">
            <v xml:space="preserve">V2 - Visa Employé </v>
          </cell>
        </row>
        <row r="185">
          <cell r="A185" t="str">
            <v>07 - Bac+5 : master 2, diplôme d'ingénieur, etc.</v>
          </cell>
          <cell r="D185" t="str">
            <v>V3 - Visa - Stagiaire</v>
          </cell>
        </row>
        <row r="186">
          <cell r="A186" t="str">
            <v>08 - Bac+8 : doctorat, habilitation à diriger des recherches</v>
          </cell>
          <cell r="D186" t="str">
            <v>V4 - Visa- Passeport Talent</v>
          </cell>
        </row>
      </sheetData>
      <sheetData sheetId="6">
        <row r="3">
          <cell r="I3">
            <v>1</v>
          </cell>
          <cell r="AK3" t="str">
            <v>Non applicable – uniquement pour les stagiaires</v>
          </cell>
          <cell r="BB3" t="str">
            <v>Accroissement temporaire d'activite - Temporary increase in activity</v>
          </cell>
          <cell r="BC3" t="str">
            <v>Accroissement temporaire d'activite</v>
          </cell>
        </row>
        <row r="4">
          <cell r="I4">
            <v>2</v>
          </cell>
          <cell r="AK4" t="str">
            <v>cadre coef 95 / position 1.1</v>
          </cell>
          <cell r="AL4">
            <v>95</v>
          </cell>
          <cell r="AM4">
            <v>1.1000000000000001</v>
          </cell>
          <cell r="BB4" t="str">
            <v xml:space="preserve">Remplacement d'un salarie absent - Replacement of an absent employee </v>
          </cell>
          <cell r="BC4" t="str">
            <v>Remplacement d'un salarie absent</v>
          </cell>
        </row>
        <row r="5">
          <cell r="I5">
            <v>3</v>
          </cell>
          <cell r="AK5" t="str">
            <v>cadre coef 100 / position 1.2</v>
          </cell>
          <cell r="AL5">
            <v>100</v>
          </cell>
          <cell r="AM5">
            <v>1.2</v>
          </cell>
          <cell r="BB5" t="str">
            <v>Contrat apprentissage</v>
          </cell>
          <cell r="BC5" t="str">
            <v>Contrat apprentissage</v>
          </cell>
        </row>
        <row r="6">
          <cell r="I6">
            <v>4</v>
          </cell>
          <cell r="AK6" t="str">
            <v>cadre coef 105 / position 2.10</v>
          </cell>
          <cell r="AL6">
            <v>105</v>
          </cell>
          <cell r="AM6">
            <v>2.1</v>
          </cell>
          <cell r="BB6" t="str">
            <v>Contrat professionnalisation</v>
          </cell>
          <cell r="BC6" t="str">
            <v>Contrat professionnalisation</v>
          </cell>
        </row>
        <row r="7">
          <cell r="I7">
            <v>5</v>
          </cell>
          <cell r="AK7" t="str">
            <v>cadre coef 115 / position 2.11</v>
          </cell>
          <cell r="AL7">
            <v>115</v>
          </cell>
          <cell r="AM7">
            <v>2.11</v>
          </cell>
          <cell r="BB7" t="str">
            <v xml:space="preserve">CDD été - Student fixed term contract </v>
          </cell>
          <cell r="BC7" t="str">
            <v>CDD été</v>
          </cell>
        </row>
        <row r="8">
          <cell r="I8">
            <v>6</v>
          </cell>
          <cell r="AK8" t="str">
            <v>cadre coef 120 / position 2.12</v>
          </cell>
          <cell r="AL8">
            <v>120</v>
          </cell>
          <cell r="AM8">
            <v>2.12</v>
          </cell>
        </row>
        <row r="9">
          <cell r="I9">
            <v>7</v>
          </cell>
          <cell r="AK9" t="str">
            <v>cadre coef 130 / position 2.2</v>
          </cell>
          <cell r="AL9">
            <v>130</v>
          </cell>
          <cell r="AM9">
            <v>2.2000000000000002</v>
          </cell>
        </row>
        <row r="10">
          <cell r="I10">
            <v>8</v>
          </cell>
          <cell r="AK10" t="str">
            <v>cadre coef 150 / position 2.3</v>
          </cell>
          <cell r="AL10">
            <v>150</v>
          </cell>
          <cell r="AM10">
            <v>2.2999999999999998</v>
          </cell>
        </row>
        <row r="11">
          <cell r="I11">
            <v>9</v>
          </cell>
          <cell r="AK11" t="str">
            <v>cadre coef 170 / position 3.1</v>
          </cell>
          <cell r="AL11">
            <v>170</v>
          </cell>
          <cell r="AM11">
            <v>3.1</v>
          </cell>
        </row>
        <row r="12">
          <cell r="I12">
            <v>10</v>
          </cell>
          <cell r="R12" t="str">
            <v>menu</v>
          </cell>
          <cell r="AK12" t="str">
            <v>cadre coef 190 / position 3.1</v>
          </cell>
          <cell r="AL12">
            <v>190</v>
          </cell>
          <cell r="AM12">
            <v>3.1</v>
          </cell>
        </row>
        <row r="13">
          <cell r="I13">
            <v>11</v>
          </cell>
          <cell r="R13" t="str">
            <v>Nouvelle demande de CDD = New request for Fixed Term contract</v>
          </cell>
          <cell r="S13" t="str">
            <v>Nouvelle demande de CDD</v>
          </cell>
          <cell r="AK13" t="str">
            <v>cadre coef 200 / position 3.1</v>
          </cell>
          <cell r="AL13">
            <v>200</v>
          </cell>
          <cell r="AM13">
            <v>3.1</v>
          </cell>
        </row>
        <row r="14">
          <cell r="I14">
            <v>12</v>
          </cell>
          <cell r="R14" t="str">
            <v>Demande de 1er renouvellement de CDD = Request for 1st extension or 1st renewal of Fixed Term Contract</v>
          </cell>
          <cell r="S14" t="str">
            <v>Demande de renouvellement de CDD</v>
          </cell>
          <cell r="AK14" t="str">
            <v>cadre coef 210 / position 3.2</v>
          </cell>
          <cell r="AL14">
            <v>210</v>
          </cell>
          <cell r="AM14">
            <v>3.2</v>
          </cell>
        </row>
        <row r="15">
          <cell r="I15">
            <v>13</v>
          </cell>
          <cell r="R15" t="str">
            <v>Demande de 2ème renouvellement de CDD = Request for 2nd extension or 2nd renewal of Fixed Term Contract</v>
          </cell>
          <cell r="AK15" t="str">
            <v>cadre coef 270 / position 3.3</v>
          </cell>
          <cell r="AL15">
            <v>270</v>
          </cell>
          <cell r="AM15">
            <v>3.3</v>
          </cell>
        </row>
        <row r="16">
          <cell r="I16">
            <v>14</v>
          </cell>
          <cell r="AK16" t="str">
            <v>cadre coef 290</v>
          </cell>
          <cell r="AL16">
            <v>290</v>
          </cell>
        </row>
        <row r="17">
          <cell r="I17">
            <v>15</v>
          </cell>
          <cell r="AK17" t="str">
            <v>employé coef 220 / position 1.3.1</v>
          </cell>
          <cell r="AL17">
            <v>220</v>
          </cell>
          <cell r="AM17" t="str">
            <v>1.3.1</v>
          </cell>
        </row>
        <row r="18">
          <cell r="I18">
            <v>16</v>
          </cell>
          <cell r="AK18" t="str">
            <v>employé coef 230 / position 1.3.2</v>
          </cell>
          <cell r="AL18">
            <v>230</v>
          </cell>
          <cell r="AM18" t="str">
            <v>1.3.2</v>
          </cell>
        </row>
        <row r="19">
          <cell r="I19">
            <v>17</v>
          </cell>
          <cell r="AK19" t="str">
            <v>employé coef 240 / position 1.4.1</v>
          </cell>
          <cell r="AL19">
            <v>240</v>
          </cell>
          <cell r="AM19" t="str">
            <v>1.4.1</v>
          </cell>
        </row>
        <row r="20">
          <cell r="I20">
            <v>18</v>
          </cell>
          <cell r="O20" t="str">
            <v>Temps complet - Full Time</v>
          </cell>
          <cell r="P20" t="str">
            <v>Temps complet</v>
          </cell>
          <cell r="AK20" t="str">
            <v>employé coef 250 / position 1.4.2</v>
          </cell>
          <cell r="AL20">
            <v>250</v>
          </cell>
          <cell r="AM20" t="str">
            <v>1.4.2</v>
          </cell>
        </row>
        <row r="21">
          <cell r="I21">
            <v>19</v>
          </cell>
          <cell r="O21" t="str">
            <v>Temps partiel - Part Time</v>
          </cell>
          <cell r="P21" t="str">
            <v>Temps partiel</v>
          </cell>
          <cell r="AK21" t="str">
            <v>employé coef 275 / position 2.1</v>
          </cell>
          <cell r="AL21">
            <v>275</v>
          </cell>
          <cell r="AM21">
            <v>2.1</v>
          </cell>
        </row>
        <row r="22">
          <cell r="I22">
            <v>20</v>
          </cell>
          <cell r="AK22" t="str">
            <v>employé coef 310 / position 2.2</v>
          </cell>
          <cell r="AL22">
            <v>310</v>
          </cell>
          <cell r="AM22">
            <v>2.2000000000000002</v>
          </cell>
        </row>
        <row r="23">
          <cell r="I23">
            <v>21</v>
          </cell>
          <cell r="AK23" t="str">
            <v>employé coef 355 / position 2.3</v>
          </cell>
          <cell r="AL23">
            <v>355</v>
          </cell>
          <cell r="AM23">
            <v>2.2999999999999998</v>
          </cell>
        </row>
        <row r="24">
          <cell r="I24">
            <v>22</v>
          </cell>
          <cell r="AK24" t="str">
            <v>employé coef 400 / position 3.1</v>
          </cell>
          <cell r="AL24">
            <v>400</v>
          </cell>
          <cell r="AM24">
            <v>3.1</v>
          </cell>
        </row>
        <row r="25">
          <cell r="I25">
            <v>23</v>
          </cell>
          <cell r="Q25" t="str">
            <v>janvier - January</v>
          </cell>
          <cell r="R25" t="str">
            <v>janvier</v>
          </cell>
          <cell r="AK25" t="str">
            <v>employé coef 450 / position 3.2</v>
          </cell>
          <cell r="AL25">
            <v>450</v>
          </cell>
          <cell r="AM25">
            <v>3.2</v>
          </cell>
        </row>
        <row r="26">
          <cell r="I26">
            <v>24</v>
          </cell>
          <cell r="Q26" t="str">
            <v>février - February</v>
          </cell>
          <cell r="R26" t="str">
            <v>février</v>
          </cell>
          <cell r="AK26" t="str">
            <v>employé coef 500 / position 3.3</v>
          </cell>
          <cell r="AL26">
            <v>500</v>
          </cell>
          <cell r="AM26">
            <v>3.3</v>
          </cell>
        </row>
        <row r="27">
          <cell r="I27">
            <v>25</v>
          </cell>
          <cell r="Q27" t="str">
            <v>mars - March</v>
          </cell>
          <cell r="R27" t="str">
            <v>mars</v>
          </cell>
        </row>
        <row r="28">
          <cell r="I28">
            <v>26</v>
          </cell>
          <cell r="Q28" t="str">
            <v>avril - April</v>
          </cell>
          <cell r="R28" t="str">
            <v>avril</v>
          </cell>
        </row>
        <row r="29">
          <cell r="I29">
            <v>27</v>
          </cell>
          <cell r="Q29" t="str">
            <v>mai - May</v>
          </cell>
          <cell r="R29" t="str">
            <v>mai</v>
          </cell>
        </row>
        <row r="30">
          <cell r="I30">
            <v>28</v>
          </cell>
          <cell r="Q30" t="str">
            <v>juin - June</v>
          </cell>
          <cell r="R30" t="str">
            <v>juin</v>
          </cell>
        </row>
        <row r="31">
          <cell r="I31">
            <v>29</v>
          </cell>
          <cell r="Q31" t="str">
            <v>juillet - July</v>
          </cell>
          <cell r="R31" t="str">
            <v>juillet</v>
          </cell>
        </row>
        <row r="32">
          <cell r="I32">
            <v>30</v>
          </cell>
          <cell r="Q32" t="str">
            <v>août - August</v>
          </cell>
          <cell r="R32" t="str">
            <v>août</v>
          </cell>
        </row>
        <row r="33">
          <cell r="I33">
            <v>31</v>
          </cell>
          <cell r="Q33" t="str">
            <v>septembre - September</v>
          </cell>
          <cell r="R33" t="str">
            <v>septembre</v>
          </cell>
        </row>
        <row r="34">
          <cell r="Q34" t="str">
            <v>octobre - October</v>
          </cell>
          <cell r="R34" t="str">
            <v>octobre</v>
          </cell>
        </row>
        <row r="35">
          <cell r="Q35" t="str">
            <v>novembre - November</v>
          </cell>
          <cell r="R35" t="str">
            <v>novembre</v>
          </cell>
        </row>
        <row r="36">
          <cell r="Q36" t="str">
            <v>décembre - December</v>
          </cell>
          <cell r="R36" t="str">
            <v>décembre</v>
          </cell>
        </row>
        <row r="39">
          <cell r="Q39" t="str">
            <v>janvier - January</v>
          </cell>
          <cell r="R39" t="str">
            <v>January</v>
          </cell>
        </row>
        <row r="40">
          <cell r="Q40" t="str">
            <v>février - February</v>
          </cell>
          <cell r="R40" t="str">
            <v>February</v>
          </cell>
        </row>
        <row r="41">
          <cell r="Q41" t="str">
            <v>mars - March</v>
          </cell>
          <cell r="R41" t="str">
            <v>March</v>
          </cell>
        </row>
        <row r="42">
          <cell r="Q42" t="str">
            <v>avril - April</v>
          </cell>
          <cell r="R42" t="str">
            <v>April</v>
          </cell>
        </row>
        <row r="43">
          <cell r="Q43" t="str">
            <v>mai - May</v>
          </cell>
          <cell r="R43" t="str">
            <v>May</v>
          </cell>
        </row>
        <row r="44">
          <cell r="Q44" t="str">
            <v>juin - June</v>
          </cell>
          <cell r="R44" t="str">
            <v>June</v>
          </cell>
        </row>
        <row r="45">
          <cell r="Q45" t="str">
            <v>juillet - July</v>
          </cell>
          <cell r="R45" t="str">
            <v>July</v>
          </cell>
        </row>
        <row r="46">
          <cell r="Q46" t="str">
            <v>août - August</v>
          </cell>
          <cell r="R46" t="str">
            <v>August</v>
          </cell>
        </row>
        <row r="47">
          <cell r="Q47" t="str">
            <v>septembre - September</v>
          </cell>
          <cell r="R47" t="str">
            <v>September</v>
          </cell>
        </row>
        <row r="48">
          <cell r="Q48" t="str">
            <v>octobre - October</v>
          </cell>
          <cell r="R48" t="str">
            <v>October</v>
          </cell>
        </row>
        <row r="49">
          <cell r="Q49" t="str">
            <v>novembre - November</v>
          </cell>
          <cell r="R49" t="str">
            <v>November</v>
          </cell>
        </row>
        <row r="50">
          <cell r="Q50" t="str">
            <v>décembre - December</v>
          </cell>
          <cell r="R50" t="str">
            <v>December</v>
          </cell>
        </row>
        <row r="102">
          <cell r="AC102" t="str">
            <v>Sans indemnite - Without allowance</v>
          </cell>
          <cell r="AD102" t="str">
            <v>Sans indemnite</v>
          </cell>
        </row>
        <row r="103">
          <cell r="AC103" t="str">
            <v>Indemnite mensuelle - Monthly</v>
          </cell>
          <cell r="AD103" t="str">
            <v>Indemnite mensuelle</v>
          </cell>
        </row>
        <row r="109">
          <cell r="AC109" t="str">
            <v>Titre Restaurants (TR) - Meal Ticket</v>
          </cell>
          <cell r="AD109" t="str">
            <v>Titre Restaurants (TR)</v>
          </cell>
        </row>
        <row r="110">
          <cell r="AC110" t="str">
            <v>Non Applicable - Not Applicable</v>
          </cell>
          <cell r="AD110" t="str">
            <v>Non Applicable</v>
          </cell>
        </row>
        <row r="181">
          <cell r="AY181" t="str">
            <v>URSAFF NAME</v>
          </cell>
          <cell r="AZ181" t="str">
            <v>URSSAF NUMBER</v>
          </cell>
        </row>
        <row r="182">
          <cell r="AY182" t="str">
            <v>de Courbevoie</v>
          </cell>
          <cell r="AZ182" t="str">
            <v>116000001489543338</v>
          </cell>
        </row>
        <row r="183">
          <cell r="AY183" t="str">
            <v>de Courbevoie</v>
          </cell>
          <cell r="AZ183" t="str">
            <v>116000001489543403</v>
          </cell>
        </row>
        <row r="184">
          <cell r="AY184" t="str">
            <v xml:space="preserve">de Lyon </v>
          </cell>
          <cell r="AZ184" t="str">
            <v>116000001489543429</v>
          </cell>
        </row>
        <row r="185">
          <cell r="AY185" t="str">
            <v>d'Aix en Provence</v>
          </cell>
          <cell r="AZ185" t="str">
            <v>116000001489212054</v>
          </cell>
        </row>
        <row r="186">
          <cell r="AY186" t="str">
            <v>d'Amiens</v>
          </cell>
          <cell r="AZ186" t="str">
            <v>116000001489214332</v>
          </cell>
        </row>
        <row r="187">
          <cell r="AY187" t="str">
            <v>de Toulouse</v>
          </cell>
          <cell r="AZ187" t="str">
            <v>116000001489212237</v>
          </cell>
        </row>
        <row r="188">
          <cell r="AY188" t="str">
            <v>de Brest</v>
          </cell>
          <cell r="AZ188" t="str">
            <v>116000001489212062</v>
          </cell>
        </row>
        <row r="189">
          <cell r="AY189" t="str">
            <v>de Nantes</v>
          </cell>
          <cell r="AZ189" t="str">
            <v>116000001489212039</v>
          </cell>
        </row>
        <row r="190">
          <cell r="AY190" t="str">
            <v>de Montpellier</v>
          </cell>
          <cell r="AZ190" t="str">
            <v>116000001489212260</v>
          </cell>
        </row>
        <row r="191">
          <cell r="AY191" t="str">
            <v>de Montpellier</v>
          </cell>
          <cell r="AZ191" t="str">
            <v>116000001489212260</v>
          </cell>
        </row>
        <row r="192">
          <cell r="AY192" t="str">
            <v>de Clermont Ferrand</v>
          </cell>
          <cell r="AZ192" t="str">
            <v>116000001489212021</v>
          </cell>
        </row>
        <row r="193">
          <cell r="AY193" t="str">
            <v>de Grenoble</v>
          </cell>
          <cell r="AZ193" t="str">
            <v>116000001489212245</v>
          </cell>
        </row>
        <row r="194">
          <cell r="AY194" t="str">
            <v>de Strasbourg</v>
          </cell>
          <cell r="AZ194" t="str">
            <v>116000001489212047</v>
          </cell>
        </row>
        <row r="195">
          <cell r="AY195" t="str">
            <v>de  Bordeaux</v>
          </cell>
          <cell r="AZ195" t="str">
            <v>116000001489212286</v>
          </cell>
        </row>
        <row r="196">
          <cell r="AZ196" t="str">
            <v>116000001489212013</v>
          </cell>
        </row>
        <row r="197">
          <cell r="AZ197" t="str">
            <v>116000001489207468</v>
          </cell>
        </row>
        <row r="198">
          <cell r="AZ198" t="str">
            <v>116000001489207492</v>
          </cell>
        </row>
        <row r="199">
          <cell r="AY199" t="str">
            <v>d'Orléans</v>
          </cell>
          <cell r="AZ199" t="str">
            <v>116000001489212070</v>
          </cell>
        </row>
        <row r="200">
          <cell r="AY200" t="str">
            <v>de Lille</v>
          </cell>
          <cell r="AZ200" t="str">
            <v>116000001489212013</v>
          </cell>
        </row>
        <row r="201">
          <cell r="AY201" t="str">
            <v xml:space="preserve">de Lyon </v>
          </cell>
          <cell r="AZ201" t="str">
            <v>116000001489212278</v>
          </cell>
        </row>
        <row r="202">
          <cell r="AY202" t="str">
            <v>de Niort</v>
          </cell>
          <cell r="AZ202" t="str">
            <v>116000001489207443</v>
          </cell>
        </row>
        <row r="203">
          <cell r="AY203" t="str">
            <v>d'Orléans</v>
          </cell>
          <cell r="AZ203" t="str">
            <v>116000001489212252</v>
          </cell>
        </row>
        <row r="204">
          <cell r="AY204" t="str">
            <v>de Pau</v>
          </cell>
          <cell r="AZ204" t="str">
            <v>116000001489207385</v>
          </cell>
        </row>
        <row r="205">
          <cell r="AY205" t="str">
            <v>de Rennes</v>
          </cell>
          <cell r="AZ205" t="str">
            <v>116000001489207427</v>
          </cell>
        </row>
        <row r="206">
          <cell r="AY206" t="str">
            <v>de Valbonne</v>
          </cell>
          <cell r="AZ206" t="str">
            <v>116000001489543379</v>
          </cell>
        </row>
        <row r="207">
          <cell r="AY207" t="str">
            <v>de Courbevoie</v>
          </cell>
        </row>
        <row r="208">
          <cell r="AY208" t="str">
            <v>de Saint Denis</v>
          </cell>
        </row>
        <row r="209">
          <cell r="AY209" t="str">
            <v>de Courbevoie</v>
          </cell>
        </row>
        <row r="276">
          <cell r="A276" t="str">
            <v>Oui - Yes</v>
          </cell>
          <cell r="B276" t="str">
            <v xml:space="preserve">Oui </v>
          </cell>
        </row>
        <row r="277">
          <cell r="A277" t="str">
            <v>Non- No</v>
          </cell>
          <cell r="B277" t="str">
            <v>Non</v>
          </cell>
        </row>
        <row r="278">
          <cell r="A278" t="str">
            <v>Non Applicable - Not Applicable</v>
          </cell>
          <cell r="B278" t="str">
            <v xml:space="preserve">Non Applicable </v>
          </cell>
        </row>
        <row r="281">
          <cell r="A281" t="str">
            <v>Oui - Yes</v>
          </cell>
          <cell r="B281" t="str">
            <v xml:space="preserve">Oui </v>
          </cell>
        </row>
        <row r="282">
          <cell r="A282" t="str">
            <v>Non - No</v>
          </cell>
          <cell r="B282" t="str">
            <v>Non</v>
          </cell>
        </row>
        <row r="287">
          <cell r="AO287" t="str">
            <v>menu</v>
          </cell>
        </row>
        <row r="288">
          <cell r="AO288" t="str">
            <v>I</v>
          </cell>
        </row>
        <row r="289">
          <cell r="AO289" t="str">
            <v>II</v>
          </cell>
        </row>
        <row r="290">
          <cell r="AO290" t="str">
            <v>III</v>
          </cell>
        </row>
        <row r="291">
          <cell r="AO291" t="str">
            <v>IV</v>
          </cell>
        </row>
        <row r="292">
          <cell r="AO292" t="str">
            <v>V</v>
          </cell>
        </row>
        <row r="293">
          <cell r="AO293" t="str">
            <v>VI</v>
          </cell>
        </row>
        <row r="294">
          <cell r="AO294" t="str">
            <v>VII</v>
          </cell>
        </row>
        <row r="295">
          <cell r="AO295" t="str">
            <v xml:space="preserve">Hors Cible </v>
          </cell>
        </row>
        <row r="347">
          <cell r="K347" t="str">
            <v>menu</v>
          </cell>
        </row>
        <row r="348">
          <cell r="K348" t="str">
            <v>Bids</v>
          </cell>
          <cell r="L348" t="str">
            <v>Bids</v>
          </cell>
        </row>
        <row r="349">
          <cell r="K349" t="str">
            <v>Marketing</v>
          </cell>
          <cell r="L349" t="str">
            <v>Marketing</v>
          </cell>
        </row>
        <row r="350">
          <cell r="K350" t="str">
            <v>Delivery</v>
          </cell>
          <cell r="L350" t="str">
            <v>Delivery</v>
          </cell>
        </row>
        <row r="351">
          <cell r="K351" t="str">
            <v>Legal</v>
          </cell>
          <cell r="L351" t="str">
            <v>Legal</v>
          </cell>
        </row>
        <row r="352">
          <cell r="K352" t="str">
            <v>Procurement</v>
          </cell>
          <cell r="L352" t="str">
            <v>Procurement</v>
          </cell>
        </row>
        <row r="353">
          <cell r="K353" t="str">
            <v>Quality Assurance</v>
          </cell>
          <cell r="L353" t="str">
            <v>Quality Assurance</v>
          </cell>
        </row>
        <row r="354">
          <cell r="K354" t="str">
            <v>Sales</v>
          </cell>
          <cell r="L354" t="str">
            <v>Sales</v>
          </cell>
        </row>
        <row r="355">
          <cell r="K355" t="str">
            <v>Management</v>
          </cell>
          <cell r="L355" t="str">
            <v>Management</v>
          </cell>
        </row>
        <row r="356">
          <cell r="K356" t="str">
            <v>Finance</v>
          </cell>
          <cell r="L356" t="str">
            <v>Finance</v>
          </cell>
        </row>
        <row r="357">
          <cell r="K357" t="str">
            <v>HR</v>
          </cell>
          <cell r="L357" t="str">
            <v>HR</v>
          </cell>
        </row>
        <row r="358">
          <cell r="K358" t="str">
            <v>RandD</v>
          </cell>
          <cell r="L358" t="str">
            <v>RandD</v>
          </cell>
        </row>
        <row r="359">
          <cell r="K359" t="str">
            <v>Facilities</v>
          </cell>
          <cell r="L359" t="str">
            <v>Facilities</v>
          </cell>
        </row>
        <row r="360">
          <cell r="K360" t="str">
            <v>ISD</v>
          </cell>
          <cell r="L360" t="str">
            <v>ISD</v>
          </cell>
        </row>
        <row r="1258">
          <cell r="K1258" t="str">
            <v>PPP - Plan de Participation aux Profits</v>
          </cell>
          <cell r="L1258" t="str">
            <v>PPP - Plan de Participation aux Profits</v>
          </cell>
        </row>
        <row r="1259">
          <cell r="K1259" t="str">
            <v>Prime sur objectifs pour SALES (filière SAM)</v>
          </cell>
          <cell r="L1259" t="str">
            <v>Prime sur objectifs pour SALES (filière SAM)</v>
          </cell>
        </row>
        <row r="1260">
          <cell r="K1260" t="str">
            <v>Non applicable - Not applicable</v>
          </cell>
          <cell r="L1260" t="str">
            <v>Non applicable</v>
          </cell>
        </row>
        <row r="2477">
          <cell r="K2477" t="str">
            <v>Partiellement - Partly</v>
          </cell>
          <cell r="L2477" t="str">
            <v>Partiellement</v>
          </cell>
        </row>
        <row r="2478">
          <cell r="K2478" t="str">
            <v>Totalement - Fully</v>
          </cell>
          <cell r="L2478" t="str">
            <v>Totalement</v>
          </cell>
        </row>
      </sheetData>
      <sheetData sheetId="7">
        <row r="3">
          <cell r="E3" t="str">
            <v>menu</v>
          </cell>
        </row>
        <row r="4">
          <cell r="E4" t="str">
            <v>Ain</v>
          </cell>
        </row>
        <row r="5">
          <cell r="E5" t="str">
            <v>Aisne</v>
          </cell>
        </row>
        <row r="6">
          <cell r="E6" t="str">
            <v>Allier</v>
          </cell>
        </row>
        <row r="7">
          <cell r="E7" t="str">
            <v>Alpes de Haute Provence</v>
          </cell>
        </row>
        <row r="8">
          <cell r="E8" t="str">
            <v>Hautes Alpes</v>
          </cell>
        </row>
        <row r="9">
          <cell r="E9" t="str">
            <v>Alpes Maritimes</v>
          </cell>
        </row>
        <row r="10">
          <cell r="E10" t="str">
            <v>Ardeche</v>
          </cell>
        </row>
        <row r="11">
          <cell r="E11" t="str">
            <v>Ardennes</v>
          </cell>
        </row>
        <row r="12">
          <cell r="E12" t="str">
            <v>Ariege</v>
          </cell>
        </row>
        <row r="13">
          <cell r="E13" t="str">
            <v>Aube</v>
          </cell>
        </row>
        <row r="14">
          <cell r="E14" t="str">
            <v>Aude</v>
          </cell>
        </row>
        <row r="15">
          <cell r="E15" t="str">
            <v>Aveyron</v>
          </cell>
        </row>
        <row r="16">
          <cell r="E16" t="str">
            <v>Bouches-du-Rhône</v>
          </cell>
        </row>
        <row r="17">
          <cell r="E17" t="str">
            <v>Calvados</v>
          </cell>
        </row>
        <row r="18">
          <cell r="E18" t="str">
            <v>Cantal</v>
          </cell>
        </row>
        <row r="19">
          <cell r="E19" t="str">
            <v>Charente</v>
          </cell>
        </row>
        <row r="20">
          <cell r="E20" t="str">
            <v>Charente-Maritime</v>
          </cell>
        </row>
        <row r="21">
          <cell r="E21" t="str">
            <v>Cher</v>
          </cell>
          <cell r="H21" t="str">
            <v>menu</v>
          </cell>
        </row>
        <row r="22">
          <cell r="E22" t="str">
            <v>Corrèze</v>
          </cell>
          <cell r="H22" t="str">
            <v xml:space="preserve">Business Consulting </v>
          </cell>
        </row>
        <row r="23">
          <cell r="E23" t="str">
            <v>Corse</v>
          </cell>
          <cell r="H23" t="str">
            <v>CPG Retail Manufacturing</v>
          </cell>
        </row>
        <row r="24">
          <cell r="E24" t="str">
            <v>Côte-d'Or</v>
          </cell>
          <cell r="H24" t="str">
            <v>Energy &amp; Utilities /Telecoms</v>
          </cell>
        </row>
        <row r="25">
          <cell r="E25" t="str">
            <v>Côtes-d'Armor</v>
          </cell>
          <cell r="H25" t="str">
            <v>Financial Services / Infrastructure Services</v>
          </cell>
        </row>
        <row r="26">
          <cell r="E26" t="str">
            <v>Creuse</v>
          </cell>
          <cell r="H26" t="str">
            <v>Global Delivery Center</v>
          </cell>
        </row>
        <row r="27">
          <cell r="E27" t="str">
            <v>Dordogne</v>
          </cell>
          <cell r="H27" t="str">
            <v>Grand Est</v>
          </cell>
        </row>
        <row r="28">
          <cell r="E28" t="str">
            <v>Doubs</v>
          </cell>
          <cell r="H28" t="str">
            <v>Grand Ouest</v>
          </cell>
        </row>
        <row r="29">
          <cell r="E29" t="str">
            <v>Drôme</v>
          </cell>
          <cell r="H29" t="str">
            <v>ICE</v>
          </cell>
        </row>
        <row r="30">
          <cell r="E30" t="str">
            <v>Eure</v>
          </cell>
          <cell r="H30" t="str">
            <v>Nord</v>
          </cell>
        </row>
        <row r="31">
          <cell r="E31" t="str">
            <v>Eure-et-Loir</v>
          </cell>
          <cell r="H31" t="str">
            <v>Public Sector / HR / Transportation</v>
          </cell>
        </row>
        <row r="32">
          <cell r="E32" t="str">
            <v>Finistère</v>
          </cell>
          <cell r="H32" t="str">
            <v>Grand Sud</v>
          </cell>
        </row>
        <row r="33">
          <cell r="E33" t="str">
            <v>Corse-du-Sud</v>
          </cell>
        </row>
        <row r="34">
          <cell r="E34" t="str">
            <v>Haute-Corse</v>
          </cell>
        </row>
        <row r="35">
          <cell r="E35" t="str">
            <v>Gard</v>
          </cell>
        </row>
        <row r="36">
          <cell r="E36" t="str">
            <v>Haute-Garonne</v>
          </cell>
        </row>
        <row r="37">
          <cell r="E37" t="str">
            <v>Gers</v>
          </cell>
        </row>
        <row r="38">
          <cell r="E38" t="str">
            <v>Gironde</v>
          </cell>
        </row>
        <row r="39">
          <cell r="E39" t="str">
            <v>Hérault</v>
          </cell>
        </row>
        <row r="40">
          <cell r="E40" t="str">
            <v>Ille-et-Vilaine</v>
          </cell>
        </row>
        <row r="41">
          <cell r="E41" t="str">
            <v>Indre</v>
          </cell>
        </row>
        <row r="42">
          <cell r="E42" t="str">
            <v>Indre-et-Loire</v>
          </cell>
        </row>
        <row r="43">
          <cell r="E43" t="str">
            <v>Isère</v>
          </cell>
        </row>
        <row r="44">
          <cell r="E44" t="str">
            <v>Jura</v>
          </cell>
        </row>
        <row r="45">
          <cell r="E45" t="str">
            <v>Landes</v>
          </cell>
        </row>
        <row r="46">
          <cell r="E46" t="str">
            <v>Loir-et-Cher</v>
          </cell>
        </row>
        <row r="47">
          <cell r="E47" t="str">
            <v>Loire</v>
          </cell>
        </row>
        <row r="48">
          <cell r="E48" t="str">
            <v>Haute-Loire</v>
          </cell>
        </row>
        <row r="49">
          <cell r="E49" t="str">
            <v>Loire-Atlantique</v>
          </cell>
        </row>
        <row r="50">
          <cell r="E50" t="str">
            <v>Loiret</v>
          </cell>
        </row>
        <row r="51">
          <cell r="E51" t="str">
            <v>Lot</v>
          </cell>
        </row>
        <row r="52">
          <cell r="E52" t="str">
            <v>Lot-et-Garonne</v>
          </cell>
        </row>
        <row r="53">
          <cell r="E53" t="str">
            <v>Lozère</v>
          </cell>
        </row>
        <row r="54">
          <cell r="E54" t="str">
            <v>Maine-et-Loire</v>
          </cell>
        </row>
        <row r="55">
          <cell r="E55" t="str">
            <v>Manche</v>
          </cell>
        </row>
        <row r="56">
          <cell r="E56" t="str">
            <v>Marne</v>
          </cell>
        </row>
        <row r="57">
          <cell r="E57" t="str">
            <v>Haute-Marne</v>
          </cell>
        </row>
        <row r="58">
          <cell r="E58" t="str">
            <v>Mayenne</v>
          </cell>
        </row>
        <row r="59">
          <cell r="E59" t="str">
            <v>Meurthe-et-Moselle</v>
          </cell>
        </row>
        <row r="60">
          <cell r="E60" t="str">
            <v>Meuse</v>
          </cell>
        </row>
        <row r="61">
          <cell r="E61" t="str">
            <v>Morbihan</v>
          </cell>
        </row>
        <row r="62">
          <cell r="E62" t="str">
            <v>Moselle</v>
          </cell>
        </row>
        <row r="63">
          <cell r="E63" t="str">
            <v>Nièvre</v>
          </cell>
        </row>
        <row r="64">
          <cell r="E64" t="str">
            <v>Nord</v>
          </cell>
        </row>
        <row r="65">
          <cell r="E65" t="str">
            <v>Oise</v>
          </cell>
        </row>
        <row r="66">
          <cell r="E66" t="str">
            <v>Orne</v>
          </cell>
        </row>
        <row r="67">
          <cell r="E67" t="str">
            <v>Pas-de-Calais</v>
          </cell>
        </row>
        <row r="68">
          <cell r="E68" t="str">
            <v>Puy-de-Dôme</v>
          </cell>
        </row>
        <row r="69">
          <cell r="E69" t="str">
            <v>Pyrénées-Atlantiques</v>
          </cell>
        </row>
        <row r="70">
          <cell r="E70" t="str">
            <v>Hautes-Pyrénées</v>
          </cell>
        </row>
        <row r="71">
          <cell r="E71" t="str">
            <v>Pyrénées-Orientales</v>
          </cell>
        </row>
        <row r="72">
          <cell r="E72" t="str">
            <v>Bas-Rhin</v>
          </cell>
        </row>
        <row r="73">
          <cell r="E73" t="str">
            <v>Haut-Rhin</v>
          </cell>
        </row>
        <row r="74">
          <cell r="E74" t="str">
            <v>Rhône</v>
          </cell>
        </row>
        <row r="75">
          <cell r="E75" t="str">
            <v>Haute-Saône</v>
          </cell>
        </row>
        <row r="76">
          <cell r="E76" t="str">
            <v>Saône-et-Loire</v>
          </cell>
        </row>
        <row r="77">
          <cell r="E77" t="str">
            <v>Sarthe</v>
          </cell>
        </row>
        <row r="78">
          <cell r="E78" t="str">
            <v>Savoie</v>
          </cell>
        </row>
        <row r="79">
          <cell r="E79" t="str">
            <v>Haute-Savoie</v>
          </cell>
        </row>
        <row r="80">
          <cell r="E80" t="str">
            <v>Paris</v>
          </cell>
        </row>
        <row r="81">
          <cell r="E81" t="str">
            <v>Seine-Maritime</v>
          </cell>
        </row>
        <row r="82">
          <cell r="E82" t="str">
            <v>Seine-et-Marne</v>
          </cell>
        </row>
        <row r="83">
          <cell r="E83" t="str">
            <v>Yvelines</v>
          </cell>
        </row>
        <row r="84">
          <cell r="E84" t="str">
            <v>Deux-Sevres</v>
          </cell>
        </row>
        <row r="85">
          <cell r="E85" t="str">
            <v>Somme</v>
          </cell>
        </row>
        <row r="86">
          <cell r="E86" t="str">
            <v>Tarn</v>
          </cell>
        </row>
        <row r="87">
          <cell r="E87" t="str">
            <v>Tarn-et-Garonne</v>
          </cell>
        </row>
        <row r="88">
          <cell r="E88" t="str">
            <v>Var</v>
          </cell>
        </row>
        <row r="89">
          <cell r="E89" t="str">
            <v>Vaucluse</v>
          </cell>
        </row>
        <row r="90">
          <cell r="E90" t="str">
            <v>Vendée</v>
          </cell>
        </row>
        <row r="91">
          <cell r="E91" t="str">
            <v>Vienne</v>
          </cell>
        </row>
        <row r="92">
          <cell r="E92" t="str">
            <v>Haute-Vienne</v>
          </cell>
        </row>
        <row r="93">
          <cell r="E93" t="str">
            <v>Vosges</v>
          </cell>
        </row>
        <row r="94">
          <cell r="E94" t="str">
            <v>Yonne</v>
          </cell>
        </row>
        <row r="95">
          <cell r="E95" t="str">
            <v>Territoire de Belfort</v>
          </cell>
        </row>
        <row r="96">
          <cell r="E96" t="str">
            <v>Essonne</v>
          </cell>
        </row>
        <row r="97">
          <cell r="E97" t="str">
            <v>Hauts-de-Seine</v>
          </cell>
        </row>
        <row r="98">
          <cell r="E98" t="str">
            <v>Seine-Saint-Denis</v>
          </cell>
        </row>
        <row r="99">
          <cell r="E99" t="str">
            <v>Val-de-Marne</v>
          </cell>
        </row>
        <row r="100">
          <cell r="E100" t="str">
            <v>Val-d'Oise</v>
          </cell>
        </row>
        <row r="101">
          <cell r="E101" t="str">
            <v>Guadeloupe</v>
          </cell>
        </row>
        <row r="102">
          <cell r="E102" t="str">
            <v>Martinique</v>
          </cell>
        </row>
        <row r="103">
          <cell r="E103" t="str">
            <v>Guyane</v>
          </cell>
        </row>
        <row r="104">
          <cell r="E104" t="str">
            <v>Réunion</v>
          </cell>
        </row>
        <row r="105">
          <cell r="E105" t="str">
            <v>Saint-Pierre-et-Miquelon</v>
          </cell>
        </row>
        <row r="106">
          <cell r="E106" t="str">
            <v>Terres australes françaises</v>
          </cell>
        </row>
        <row r="107">
          <cell r="E107" t="str">
            <v>Mayotte</v>
          </cell>
        </row>
        <row r="108">
          <cell r="E108" t="str">
            <v>Wallis-et-Futuna</v>
          </cell>
        </row>
        <row r="109">
          <cell r="E109" t="str">
            <v>Polynésie française</v>
          </cell>
        </row>
        <row r="110">
          <cell r="E110" t="str">
            <v>Nouvelle-Calédonie</v>
          </cell>
        </row>
        <row r="111">
          <cell r="E111" t="str">
            <v>Étranger (hors France)</v>
          </cell>
        </row>
      </sheetData>
      <sheetData sheetId="8">
        <row r="163">
          <cell r="A163" t="str">
            <v>menu</v>
          </cell>
        </row>
        <row r="164">
          <cell r="A164">
            <v>1</v>
          </cell>
        </row>
        <row r="165">
          <cell r="A165">
            <v>1.1000000000000001</v>
          </cell>
        </row>
        <row r="166">
          <cell r="A166">
            <v>1.2</v>
          </cell>
        </row>
        <row r="167">
          <cell r="A167">
            <v>1.3</v>
          </cell>
        </row>
        <row r="168">
          <cell r="A168">
            <v>2</v>
          </cell>
        </row>
        <row r="169">
          <cell r="A169">
            <v>3</v>
          </cell>
        </row>
        <row r="170">
          <cell r="A170">
            <v>4</v>
          </cell>
        </row>
        <row r="171">
          <cell r="A171">
            <v>5</v>
          </cell>
        </row>
        <row r="172">
          <cell r="A172">
            <v>6</v>
          </cell>
        </row>
        <row r="173">
          <cell r="A173">
            <v>7</v>
          </cell>
        </row>
        <row r="174">
          <cell r="A174">
            <v>8</v>
          </cell>
        </row>
        <row r="175">
          <cell r="A175">
            <v>9</v>
          </cell>
        </row>
        <row r="176">
          <cell r="A176">
            <v>10</v>
          </cell>
        </row>
        <row r="177">
          <cell r="A177">
            <v>11</v>
          </cell>
        </row>
        <row r="178">
          <cell r="A178">
            <v>12</v>
          </cell>
        </row>
        <row r="179">
          <cell r="A179">
            <v>13</v>
          </cell>
        </row>
        <row r="268">
          <cell r="A268" t="str">
            <v>menu</v>
          </cell>
        </row>
        <row r="269">
          <cell r="A269" t="str">
            <v>Analyste</v>
          </cell>
        </row>
        <row r="270">
          <cell r="A270" t="str">
            <v>Agent(e) de Support Junior</v>
          </cell>
        </row>
        <row r="271">
          <cell r="A271" t="str">
            <v>Agent(e) de Support</v>
          </cell>
        </row>
        <row r="272">
          <cell r="A272" t="str">
            <v>Chargé(e) de Projets</v>
          </cell>
        </row>
        <row r="273">
          <cell r="A273" t="str">
            <v>Chargé(e) des Services Applicatifs</v>
          </cell>
        </row>
        <row r="274">
          <cell r="A274" t="str">
            <v>Chef(fe) de Projets</v>
          </cell>
        </row>
        <row r="275">
          <cell r="A275" t="str">
            <v>Chef(fe) des Services Applicatifs</v>
          </cell>
        </row>
        <row r="276">
          <cell r="A276" t="str">
            <v>Consultant(e) Digital &amp; Data</v>
          </cell>
        </row>
        <row r="277">
          <cell r="A277" t="str">
            <v>Consultant(e) Fonctionnel &amp; Méthodologie</v>
          </cell>
        </row>
        <row r="278">
          <cell r="A278" t="str">
            <v>Consultant(e) Junior Digital &amp; Data</v>
          </cell>
        </row>
        <row r="279">
          <cell r="A279" t="str">
            <v>Consultant(e) Junior Fonctionnel &amp; Méthodologie</v>
          </cell>
        </row>
        <row r="280">
          <cell r="A280" t="str">
            <v>Consultant(e) Junior en Management</v>
          </cell>
        </row>
        <row r="281">
          <cell r="A281" t="str">
            <v>Consultant(e) Junior en Management Débutant</v>
          </cell>
        </row>
        <row r="282">
          <cell r="A282" t="str">
            <v xml:space="preserve">Consultant(e) Junior Solution </v>
          </cell>
        </row>
        <row r="283">
          <cell r="A283" t="str">
            <v>Consultant(e) en Management</v>
          </cell>
        </row>
        <row r="284">
          <cell r="A284" t="str">
            <v>Consultant(e) Senior Digital &amp; Data</v>
          </cell>
        </row>
        <row r="285">
          <cell r="A285" t="str">
            <v>Consultant(e) Senior Fonctionnel &amp; Méthodologie</v>
          </cell>
        </row>
        <row r="286">
          <cell r="A286" t="str">
            <v>Consultant(e) Sénior en Management</v>
          </cell>
        </row>
        <row r="287">
          <cell r="A287" t="str">
            <v>Consultant(e) Senior Solution</v>
          </cell>
        </row>
        <row r="288">
          <cell r="A288" t="str">
            <v>Consultant(e) Solution</v>
          </cell>
        </row>
        <row r="289">
          <cell r="A289" t="str">
            <v>Développeur(euse)</v>
          </cell>
        </row>
        <row r="290">
          <cell r="A290" t="str">
            <v>Développeur(euse) Junior</v>
          </cell>
        </row>
        <row r="291">
          <cell r="A291" t="str">
            <v>Directeur(trice) Conseil Delivery</v>
          </cell>
        </row>
        <row r="292">
          <cell r="A292" t="str">
            <v>Directeur(trice) Conseil Expert</v>
          </cell>
        </row>
        <row r="293">
          <cell r="A293" t="str">
            <v>Directeur(trice) Conseil Expert Senior</v>
          </cell>
        </row>
        <row r="294">
          <cell r="A294" t="str">
            <v>Directeur(trice) Services Conseils</v>
          </cell>
        </row>
        <row r="295">
          <cell r="A295" t="str">
            <v>Directeur(trice) de Projets</v>
          </cell>
        </row>
        <row r="296">
          <cell r="A296" t="str">
            <v>Directeur(trice) de Projet Sénior</v>
          </cell>
        </row>
        <row r="297">
          <cell r="A297" t="str">
            <v>Directeur(trice) des Services Applicatifs Sénior</v>
          </cell>
        </row>
        <row r="298">
          <cell r="A298" t="str">
            <v>Directeur(trice) des Services Applicatifs</v>
          </cell>
        </row>
        <row r="299">
          <cell r="A299" t="str">
            <v xml:space="preserve">Expert(e) technique Junior </v>
          </cell>
        </row>
        <row r="300">
          <cell r="A300" t="str">
            <v>Expert(e) technique Junior Archi. applicative &amp; dév</v>
          </cell>
        </row>
        <row r="301">
          <cell r="A301" t="str">
            <v>Expert(e)  technique Junior Infra/Sécu/Réseau</v>
          </cell>
        </row>
        <row r="302">
          <cell r="A302" t="str">
            <v>Expert(e) Technique Senior</v>
          </cell>
        </row>
        <row r="303">
          <cell r="A303" t="str">
            <v>Expert(e) Technique Senior Archi. applicative &amp; dév</v>
          </cell>
        </row>
        <row r="304">
          <cell r="A304" t="str">
            <v>Expert(e) Technique Senior  Infra/Sécu/Réseau</v>
          </cell>
        </row>
        <row r="305">
          <cell r="A305" t="str">
            <v>Expert(e) technique</v>
          </cell>
        </row>
        <row r="306">
          <cell r="A306" t="str">
            <v>Expert(e) Technique Architecture applicative &amp; dév</v>
          </cell>
        </row>
        <row r="307">
          <cell r="A307" t="str">
            <v>Expert(e) technique Infra/Sécu/Réseau</v>
          </cell>
        </row>
        <row r="308">
          <cell r="A308" t="str">
            <v>Ingénieur(e) en Technologie de l’Information</v>
          </cell>
        </row>
        <row r="309">
          <cell r="A309" t="str">
            <v>Ingénieur(e) en Technologie de l’Information Junior</v>
          </cell>
        </row>
        <row r="310">
          <cell r="A310" t="str">
            <v>Ingénieur(e) Support Junior</v>
          </cell>
        </row>
        <row r="311">
          <cell r="A311" t="str">
            <v>Ingénieur(e) Technique Junior</v>
          </cell>
        </row>
        <row r="312">
          <cell r="A312" t="str">
            <v>Ingénieur(e) Support</v>
          </cell>
        </row>
        <row r="313">
          <cell r="A313" t="str">
            <v>Ingénieur(e) Technique</v>
          </cell>
        </row>
        <row r="314">
          <cell r="A314" t="str">
            <v>Manager Digital &amp; Data</v>
          </cell>
        </row>
        <row r="315">
          <cell r="A315" t="str">
            <v>Manager Fonctionnel &amp; Méthodologie</v>
          </cell>
        </row>
        <row r="316">
          <cell r="A316" t="str">
            <v>Manager Conseil en Management</v>
          </cell>
        </row>
        <row r="317">
          <cell r="A317" t="str">
            <v xml:space="preserve">Manager de Projet </v>
          </cell>
        </row>
        <row r="318">
          <cell r="A318" t="str">
            <v xml:space="preserve">Manager des Services Applicatifs
</v>
          </cell>
        </row>
        <row r="319">
          <cell r="A319" t="str">
            <v>Manager Solution</v>
          </cell>
        </row>
        <row r="320">
          <cell r="A320" t="str">
            <v>Manager technique Architecture applicative &amp; dév</v>
          </cell>
        </row>
        <row r="321">
          <cell r="A321" t="str">
            <v xml:space="preserve">Manager Technique Infra/Sécu/Réseau
</v>
          </cell>
        </row>
        <row r="322">
          <cell r="A322" t="str">
            <v>Stagiaire</v>
          </cell>
        </row>
        <row r="323">
          <cell r="A323" t="str">
            <v>Technicien(ne) informatique Junior</v>
          </cell>
        </row>
        <row r="324">
          <cell r="A324" t="str">
            <v>Technicien(ne) Support Junior</v>
          </cell>
        </row>
        <row r="325">
          <cell r="A325" t="str">
            <v>Technicien(ne) Support Expert Junior</v>
          </cell>
        </row>
        <row r="326">
          <cell r="A326" t="str">
            <v>Technicien(ne) Testeur Junior</v>
          </cell>
        </row>
        <row r="327">
          <cell r="A327" t="str">
            <v>Technicien(ne) Support</v>
          </cell>
        </row>
        <row r="328">
          <cell r="A328" t="str">
            <v>Technicien(ne) Support Expert</v>
          </cell>
        </row>
        <row r="329">
          <cell r="A329" t="str">
            <v>Technicien(ne) Testeur</v>
          </cell>
        </row>
        <row r="330">
          <cell r="A330" t="str">
            <v>Testeur/testeuse Junior</v>
          </cell>
        </row>
        <row r="331">
          <cell r="A331" t="str">
            <v>Testeur(euse)</v>
          </cell>
        </row>
        <row r="332">
          <cell r="A332" t="str">
            <v>Vice-président(e) Senior</v>
          </cell>
        </row>
        <row r="333">
          <cell r="A333" t="str">
            <v>Vice-président(e) Conseil Delivery</v>
          </cell>
        </row>
        <row r="334">
          <cell r="A334" t="str">
            <v>Vice-président(e) conseil Expert</v>
          </cell>
        </row>
        <row r="335">
          <cell r="A335" t="str">
            <v>Vice-président(e) Conseil Secteur</v>
          </cell>
        </row>
        <row r="336">
          <cell r="A336" t="str">
            <v>Vice-président(e) Services Conseils</v>
          </cell>
        </row>
        <row r="337">
          <cell r="A337" t="str">
            <v>Vice-président(e) Services Conseil Secteur</v>
          </cell>
        </row>
        <row r="341">
          <cell r="A341" t="str">
            <v>menu</v>
          </cell>
        </row>
        <row r="342">
          <cell r="A342" t="str">
            <v>Archi &amp; Expertises Tech</v>
          </cell>
        </row>
        <row r="343">
          <cell r="A343" t="str">
            <v>Archi Applicative &amp; Dév</v>
          </cell>
        </row>
        <row r="344">
          <cell r="A344" t="str">
            <v>Archi&amp;Expertises Tech</v>
          </cell>
        </row>
        <row r="345">
          <cell r="A345" t="str">
            <v>Digital &amp; Data</v>
          </cell>
        </row>
        <row r="346">
          <cell r="A346" t="str">
            <v>Fonctionnel &amp; Méthodologie</v>
          </cell>
        </row>
        <row r="347">
          <cell r="A347" t="str">
            <v>Gestion de Projet</v>
          </cell>
        </row>
        <row r="348">
          <cell r="A348" t="str">
            <v>Gestion des Services</v>
          </cell>
        </row>
        <row r="349">
          <cell r="A349" t="str">
            <v>Infra, Réseau &amp; Sécurité</v>
          </cell>
        </row>
        <row r="350">
          <cell r="A350" t="str">
            <v>Sans Domaine d'expertise</v>
          </cell>
        </row>
        <row r="351">
          <cell r="A351" t="str">
            <v>Solution</v>
          </cell>
        </row>
        <row r="382">
          <cell r="AA382" t="str">
            <v>641 Assistant (ADM)</v>
          </cell>
          <cell r="AB382" t="str">
            <v>661 Consultant (ADM)</v>
          </cell>
          <cell r="AC382" t="str">
            <v>681 Senior Consultant (ADM)</v>
          </cell>
          <cell r="AD382" t="str">
            <v>691 BD REPRESENTATIVE (ADM)</v>
          </cell>
          <cell r="AE382" t="str">
            <v>701 DIRECTOR CONSULTING INTERNAL (MGM)</v>
          </cell>
        </row>
        <row r="383">
          <cell r="AA383" t="str">
            <v>35H</v>
          </cell>
          <cell r="AB383" t="str">
            <v>35H</v>
          </cell>
          <cell r="AC383" t="str">
            <v>35H</v>
          </cell>
          <cell r="AD383" t="str">
            <v>35H</v>
          </cell>
          <cell r="AE383" t="str">
            <v>35H</v>
          </cell>
        </row>
        <row r="384">
          <cell r="AA384" t="str">
            <v>37H</v>
          </cell>
          <cell r="AB384" t="str">
            <v>37H</v>
          </cell>
          <cell r="AC384" t="str">
            <v>37H</v>
          </cell>
          <cell r="AD384" t="str">
            <v>37H</v>
          </cell>
          <cell r="AE384" t="str">
            <v>37H</v>
          </cell>
        </row>
        <row r="385">
          <cell r="AA385" t="str">
            <v>37H</v>
          </cell>
          <cell r="AB385" t="str">
            <v>37H</v>
          </cell>
          <cell r="AC385" t="str">
            <v>37H</v>
          </cell>
          <cell r="AD385" t="str">
            <v>37H</v>
          </cell>
          <cell r="AE385" t="str">
            <v>37H</v>
          </cell>
        </row>
        <row r="386">
          <cell r="AA386" t="str">
            <v>37H</v>
          </cell>
          <cell r="AB386" t="str">
            <v>37H</v>
          </cell>
          <cell r="AC386" t="str">
            <v>37H</v>
          </cell>
          <cell r="AD386" t="str">
            <v>37H</v>
          </cell>
          <cell r="AE386" t="str">
            <v>37H</v>
          </cell>
        </row>
        <row r="387">
          <cell r="AA387" t="str">
            <v>37H</v>
          </cell>
          <cell r="AB387" t="str">
            <v>37H</v>
          </cell>
          <cell r="AC387" t="str">
            <v>37H</v>
          </cell>
          <cell r="AD387" t="str">
            <v>37H</v>
          </cell>
          <cell r="AE387" t="str">
            <v>37H</v>
          </cell>
        </row>
        <row r="388">
          <cell r="AA388" t="str">
            <v>37H</v>
          </cell>
          <cell r="AB388" t="str">
            <v>37H</v>
          </cell>
          <cell r="AC388" t="str">
            <v>37H</v>
          </cell>
          <cell r="AD388" t="str">
            <v>37H</v>
          </cell>
          <cell r="AE388" t="str">
            <v>37H</v>
          </cell>
        </row>
        <row r="389">
          <cell r="AA389" t="str">
            <v>38H</v>
          </cell>
          <cell r="AB389" t="str">
            <v>38H</v>
          </cell>
          <cell r="AC389" t="str">
            <v>38H</v>
          </cell>
          <cell r="AD389" t="str">
            <v>38H</v>
          </cell>
          <cell r="AE389" t="str">
            <v>38H</v>
          </cell>
        </row>
        <row r="390">
          <cell r="AA390" t="str">
            <v>38H</v>
          </cell>
          <cell r="AB390" t="str">
            <v>38H</v>
          </cell>
          <cell r="AC390" t="str">
            <v>38H</v>
          </cell>
          <cell r="AD390" t="str">
            <v>38H</v>
          </cell>
          <cell r="AE390" t="str">
            <v>38H</v>
          </cell>
        </row>
        <row r="391">
          <cell r="AA391" t="str">
            <v>40H</v>
          </cell>
          <cell r="AB391" t="str">
            <v>40H</v>
          </cell>
          <cell r="AC391" t="str">
            <v>40H</v>
          </cell>
          <cell r="AD391" t="str">
            <v>40H</v>
          </cell>
          <cell r="AE391" t="str">
            <v>40H</v>
          </cell>
        </row>
        <row r="392">
          <cell r="AA392" t="str">
            <v>40H</v>
          </cell>
          <cell r="AB392" t="str">
            <v>40H</v>
          </cell>
          <cell r="AC392" t="str">
            <v>40H</v>
          </cell>
          <cell r="AD392" t="str">
            <v>40H</v>
          </cell>
          <cell r="AE392" t="str">
            <v>40H</v>
          </cell>
        </row>
        <row r="393">
          <cell r="AA393" t="str">
            <v>40H</v>
          </cell>
          <cell r="AB393" t="str">
            <v>40H</v>
          </cell>
          <cell r="AC393" t="str">
            <v>40H</v>
          </cell>
          <cell r="AD393" t="str">
            <v>40H</v>
          </cell>
          <cell r="AE393" t="str">
            <v>40H</v>
          </cell>
        </row>
        <row r="394">
          <cell r="AA394" t="str">
            <v>40H</v>
          </cell>
          <cell r="AB394" t="str">
            <v>40H</v>
          </cell>
          <cell r="AC394" t="str">
            <v>40H</v>
          </cell>
          <cell r="AD394" t="str">
            <v>40H</v>
          </cell>
          <cell r="AE394" t="str">
            <v>40H</v>
          </cell>
        </row>
        <row r="395">
          <cell r="AA395" t="str">
            <v>40H</v>
          </cell>
          <cell r="AB395" t="str">
            <v>40H</v>
          </cell>
          <cell r="AC395" t="str">
            <v>40H</v>
          </cell>
          <cell r="AD395" t="str">
            <v>40H</v>
          </cell>
          <cell r="AE395" t="str">
            <v>40H</v>
          </cell>
        </row>
        <row r="396">
          <cell r="AA396" t="str">
            <v>40H</v>
          </cell>
          <cell r="AB396" t="str">
            <v>40H</v>
          </cell>
          <cell r="AC396" t="str">
            <v>40H</v>
          </cell>
          <cell r="AD396" t="str">
            <v>40H</v>
          </cell>
          <cell r="AE396" t="str">
            <v>40H</v>
          </cell>
        </row>
        <row r="397">
          <cell r="AA397" t="str">
            <v>37H</v>
          </cell>
          <cell r="AB397" t="str">
            <v>37H</v>
          </cell>
          <cell r="AC397" t="str">
            <v>37H</v>
          </cell>
          <cell r="AD397" t="str">
            <v>37H</v>
          </cell>
          <cell r="AE397" t="str">
            <v>37H</v>
          </cell>
        </row>
        <row r="398">
          <cell r="AA398" t="str">
            <v>37H</v>
          </cell>
          <cell r="AB398" t="str">
            <v>37H</v>
          </cell>
          <cell r="AC398" t="str">
            <v>37H</v>
          </cell>
          <cell r="AD398" t="str">
            <v>37H</v>
          </cell>
          <cell r="AE398" t="str">
            <v>37H</v>
          </cell>
        </row>
        <row r="399">
          <cell r="AA399" t="str">
            <v>37H</v>
          </cell>
          <cell r="AB399" t="str">
            <v>37H</v>
          </cell>
          <cell r="AC399" t="str">
            <v>37H</v>
          </cell>
          <cell r="AD399" t="str">
            <v>37H</v>
          </cell>
          <cell r="AE399" t="str">
            <v>37H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DF Version History"/>
      <sheetName val="Revision History"/>
      <sheetName val="Sheet1"/>
      <sheetName val="Sheet3"/>
      <sheetName val="Final PSA drop Down"/>
      <sheetName val="DROP DOWN PSA"/>
      <sheetName val="drop douwn"/>
      <sheetName val="Sheet2"/>
      <sheetName val="Recruitment"/>
      <sheetName val="Règles reprise ancienneté"/>
      <sheetName val="RULES JOB CODE BU SI&amp;C"/>
      <sheetName val="RULE JOB CODE FGDC&amp;ICE"/>
      <sheetName val="RULE JOB CODE CORPO"/>
      <sheetName val="Data Entry"/>
      <sheetName val="CDF Data"/>
      <sheetName val="Seniority Date et Contract VF"/>
      <sheetName val="Probation Period et Contract VF"/>
      <sheetName val="SMART HIRE ONBOARDING"/>
      <sheetName val="Complete Personal and Job Data"/>
      <sheetName val="Complete Additional Pages"/>
      <sheetName val="Hiring Action Reason"/>
    </sheetNames>
    <sheetDataSet>
      <sheetData sheetId="0"/>
      <sheetData sheetId="1"/>
      <sheetData sheetId="2"/>
      <sheetData sheetId="3"/>
      <sheetData sheetId="4">
        <row r="1">
          <cell r="BL1" t="str">
            <v>day - jour</v>
          </cell>
          <cell r="BM1" t="str">
            <v>month - mois</v>
          </cell>
          <cell r="BN1" t="str">
            <v>Année - year</v>
          </cell>
          <cell r="BO1" t="str">
            <v>Année - year</v>
          </cell>
        </row>
        <row r="2">
          <cell r="H2" t="str">
            <v>menu</v>
          </cell>
          <cell r="BJ2" t="str">
            <v>menu</v>
          </cell>
          <cell r="BL2">
            <v>1</v>
          </cell>
          <cell r="BM2" t="str">
            <v>janvier - January</v>
          </cell>
          <cell r="BN2">
            <v>2030</v>
          </cell>
          <cell r="BO2">
            <v>2030</v>
          </cell>
        </row>
        <row r="3">
          <cell r="H3" t="str">
            <v>M.</v>
          </cell>
          <cell r="BJ3" t="str">
            <v>Yes - Oui</v>
          </cell>
          <cell r="BL3">
            <v>2</v>
          </cell>
          <cell r="BM3" t="str">
            <v>février - February</v>
          </cell>
          <cell r="BN3">
            <v>2029</v>
          </cell>
          <cell r="BO3">
            <v>2029</v>
          </cell>
        </row>
        <row r="4">
          <cell r="H4" t="str">
            <v>Mme.</v>
          </cell>
          <cell r="BJ4" t="str">
            <v>No - Non</v>
          </cell>
          <cell r="BL4">
            <v>3</v>
          </cell>
          <cell r="BM4" t="str">
            <v>mars - March</v>
          </cell>
          <cell r="BN4">
            <v>2028</v>
          </cell>
          <cell r="BO4">
            <v>2028</v>
          </cell>
        </row>
        <row r="5">
          <cell r="BL5">
            <v>4</v>
          </cell>
          <cell r="BM5" t="str">
            <v>avril - April</v>
          </cell>
          <cell r="BN5">
            <v>2027</v>
          </cell>
          <cell r="BO5">
            <v>2027</v>
          </cell>
        </row>
        <row r="6">
          <cell r="BL6">
            <v>5</v>
          </cell>
          <cell r="BM6" t="str">
            <v>mai - May</v>
          </cell>
          <cell r="BN6">
            <v>2026</v>
          </cell>
          <cell r="BO6">
            <v>2026</v>
          </cell>
        </row>
        <row r="7">
          <cell r="BL7">
            <v>6</v>
          </cell>
          <cell r="BM7" t="str">
            <v>juin - June</v>
          </cell>
          <cell r="BN7">
            <v>2025</v>
          </cell>
          <cell r="BO7">
            <v>2025</v>
          </cell>
        </row>
        <row r="8">
          <cell r="BL8">
            <v>7</v>
          </cell>
          <cell r="BM8" t="str">
            <v>juillet - July</v>
          </cell>
          <cell r="BN8">
            <v>2024</v>
          </cell>
          <cell r="BO8">
            <v>2024</v>
          </cell>
        </row>
        <row r="9">
          <cell r="BL9">
            <v>8</v>
          </cell>
          <cell r="BM9" t="str">
            <v>août - August</v>
          </cell>
          <cell r="BN9">
            <v>2023</v>
          </cell>
          <cell r="BO9">
            <v>2023</v>
          </cell>
        </row>
        <row r="10">
          <cell r="BL10">
            <v>9</v>
          </cell>
          <cell r="BM10" t="str">
            <v>septembre - September</v>
          </cell>
          <cell r="BN10">
            <v>2022</v>
          </cell>
          <cell r="BO10">
            <v>2022</v>
          </cell>
        </row>
        <row r="11">
          <cell r="BL11">
            <v>10</v>
          </cell>
          <cell r="BM11" t="str">
            <v>octobre - October</v>
          </cell>
          <cell r="BN11">
            <v>2021</v>
          </cell>
          <cell r="BO11">
            <v>2021</v>
          </cell>
        </row>
        <row r="12">
          <cell r="BL12">
            <v>11</v>
          </cell>
          <cell r="BM12" t="str">
            <v>novembre - November</v>
          </cell>
          <cell r="BN12">
            <v>2020</v>
          </cell>
          <cell r="BO12">
            <v>2020</v>
          </cell>
        </row>
        <row r="13">
          <cell r="BL13">
            <v>12</v>
          </cell>
          <cell r="BM13" t="str">
            <v>décembre - December</v>
          </cell>
          <cell r="BN13">
            <v>2019</v>
          </cell>
          <cell r="BO13">
            <v>2019</v>
          </cell>
        </row>
        <row r="14">
          <cell r="BL14">
            <v>13</v>
          </cell>
          <cell r="BN14">
            <v>2018</v>
          </cell>
          <cell r="BO14">
            <v>2018</v>
          </cell>
        </row>
        <row r="15">
          <cell r="BL15">
            <v>14</v>
          </cell>
          <cell r="BN15">
            <v>2017</v>
          </cell>
          <cell r="BO15">
            <v>2017</v>
          </cell>
        </row>
        <row r="16">
          <cell r="BL16">
            <v>15</v>
          </cell>
          <cell r="BN16">
            <v>2016</v>
          </cell>
          <cell r="BO16">
            <v>2016</v>
          </cell>
        </row>
        <row r="17">
          <cell r="BL17">
            <v>16</v>
          </cell>
          <cell r="BN17">
            <v>2015</v>
          </cell>
        </row>
        <row r="18">
          <cell r="BL18">
            <v>17</v>
          </cell>
          <cell r="BN18">
            <v>2014</v>
          </cell>
        </row>
        <row r="19">
          <cell r="BL19">
            <v>18</v>
          </cell>
          <cell r="BN19">
            <v>2013</v>
          </cell>
        </row>
        <row r="20">
          <cell r="BL20">
            <v>19</v>
          </cell>
          <cell r="BN20">
            <v>2012</v>
          </cell>
        </row>
        <row r="21">
          <cell r="BL21">
            <v>20</v>
          </cell>
          <cell r="BN21">
            <v>2011</v>
          </cell>
        </row>
        <row r="22">
          <cell r="BL22">
            <v>21</v>
          </cell>
          <cell r="BN22">
            <v>2010</v>
          </cell>
        </row>
        <row r="23">
          <cell r="BL23">
            <v>22</v>
          </cell>
          <cell r="BN23">
            <v>2009</v>
          </cell>
        </row>
        <row r="24">
          <cell r="BL24">
            <v>23</v>
          </cell>
          <cell r="BN24">
            <v>2008</v>
          </cell>
        </row>
        <row r="25">
          <cell r="BL25">
            <v>24</v>
          </cell>
          <cell r="BN25">
            <v>2007</v>
          </cell>
        </row>
        <row r="26">
          <cell r="BL26">
            <v>25</v>
          </cell>
          <cell r="BN26">
            <v>2006</v>
          </cell>
        </row>
        <row r="27">
          <cell r="BL27">
            <v>26</v>
          </cell>
          <cell r="BN27">
            <v>2005</v>
          </cell>
        </row>
        <row r="28">
          <cell r="BL28">
            <v>27</v>
          </cell>
          <cell r="BN28">
            <v>2004</v>
          </cell>
        </row>
        <row r="29">
          <cell r="BL29">
            <v>28</v>
          </cell>
          <cell r="BN29">
            <v>2003</v>
          </cell>
        </row>
        <row r="30">
          <cell r="BL30">
            <v>29</v>
          </cell>
          <cell r="BN30">
            <v>2002</v>
          </cell>
        </row>
        <row r="31">
          <cell r="BL31">
            <v>30</v>
          </cell>
          <cell r="BN31">
            <v>2001</v>
          </cell>
        </row>
        <row r="32">
          <cell r="BL32">
            <v>31</v>
          </cell>
          <cell r="BN32">
            <v>2000</v>
          </cell>
        </row>
        <row r="33">
          <cell r="BN33">
            <v>1999</v>
          </cell>
        </row>
        <row r="34">
          <cell r="AL34" t="str">
            <v>menu</v>
          </cell>
          <cell r="BN34">
            <v>1998</v>
          </cell>
        </row>
        <row r="35">
          <cell r="AL35" t="str">
            <v>Pierre BABINOT</v>
          </cell>
          <cell r="BN35">
            <v>1997</v>
          </cell>
        </row>
        <row r="36">
          <cell r="AL36" t="str">
            <v>Guillaume BAILLIEUX</v>
          </cell>
          <cell r="BN36">
            <v>1996</v>
          </cell>
        </row>
        <row r="37">
          <cell r="AL37" t="str">
            <v>HELENE BARRIOS-GAUTIER</v>
          </cell>
          <cell r="BN37">
            <v>1995</v>
          </cell>
        </row>
        <row r="38">
          <cell r="AL38" t="str">
            <v>Jean-Michel BATICLE</v>
          </cell>
          <cell r="BN38">
            <v>1994</v>
          </cell>
        </row>
        <row r="39">
          <cell r="AL39" t="str">
            <v>Karim BENYOUCEF</v>
          </cell>
          <cell r="AP39" t="str">
            <v>menu</v>
          </cell>
          <cell r="BN39">
            <v>1993</v>
          </cell>
        </row>
        <row r="40">
          <cell r="AL40" t="str">
            <v>Clément BERNARD</v>
          </cell>
          <cell r="AP40" t="str">
            <v>CSE CBC</v>
          </cell>
          <cell r="BN40">
            <v>1992</v>
          </cell>
        </row>
        <row r="41">
          <cell r="AL41" t="str">
            <v>Florent BONNICHON</v>
          </cell>
          <cell r="AP41" t="str">
            <v>CSE CPGRM</v>
          </cell>
          <cell r="BN41">
            <v>1991</v>
          </cell>
        </row>
        <row r="42">
          <cell r="AL42" t="str">
            <v>Marc BORDET</v>
          </cell>
          <cell r="AP42" t="str">
            <v>CSE EUTM</v>
          </cell>
          <cell r="BN42">
            <v>1990</v>
          </cell>
        </row>
        <row r="43">
          <cell r="AL43" t="str">
            <v>Philippe BOURON</v>
          </cell>
          <cell r="AP43" t="str">
            <v>CSE FGDC</v>
          </cell>
          <cell r="BJ43" t="str">
            <v>menu</v>
          </cell>
          <cell r="BN43">
            <v>1989</v>
          </cell>
        </row>
        <row r="44">
          <cell r="AL44" t="str">
            <v>Jean-Pascal BOUTIER</v>
          </cell>
          <cell r="AP44" t="str">
            <v>CSE FS</v>
          </cell>
          <cell r="BJ44" t="str">
            <v>Non applicable – uniquement pour les stagiaires</v>
          </cell>
          <cell r="BN44">
            <v>1988</v>
          </cell>
        </row>
        <row r="45">
          <cell r="AL45" t="str">
            <v>Florent BOUVIER</v>
          </cell>
          <cell r="AP45" t="str">
            <v>CSE Grand Est</v>
          </cell>
          <cell r="BJ45" t="str">
            <v>cadre coef 95 / position 1.1</v>
          </cell>
          <cell r="BN45">
            <v>1987</v>
          </cell>
        </row>
        <row r="46">
          <cell r="AL46" t="str">
            <v>Cyril BRICOUT</v>
          </cell>
          <cell r="AP46" t="str">
            <v>CSE Grand Ouest</v>
          </cell>
          <cell r="BJ46" t="str">
            <v>cadre coef 100 / position 1.2</v>
          </cell>
        </row>
        <row r="47">
          <cell r="AL47" t="str">
            <v>Philippe CALVET</v>
          </cell>
          <cell r="AP47" t="str">
            <v>CSE Grand Sud</v>
          </cell>
          <cell r="BJ47" t="str">
            <v>cadre coef 105 / position 2.1</v>
          </cell>
        </row>
        <row r="48">
          <cell r="AL48" t="str">
            <v>Yann CARCEL</v>
          </cell>
          <cell r="AP48" t="str">
            <v>CSE Nord</v>
          </cell>
          <cell r="BJ48" t="str">
            <v>cadre coef 115 / position 2.1</v>
          </cell>
        </row>
        <row r="49">
          <cell r="AL49" t="str">
            <v>Arnaud CARTIGNY</v>
          </cell>
          <cell r="AP49" t="str">
            <v>CSE SHAPSHA</v>
          </cell>
          <cell r="BJ49" t="str">
            <v>cadre coef 120 / position 2.1</v>
          </cell>
        </row>
        <row r="50">
          <cell r="AL50" t="str">
            <v>Claude CHAZELLE</v>
          </cell>
          <cell r="AP50" t="str">
            <v>CSE TPSHR</v>
          </cell>
          <cell r="BJ50" t="str">
            <v>cadre coef 130 / position 2.2</v>
          </cell>
        </row>
        <row r="51">
          <cell r="AL51" t="str">
            <v>Marie-Laure DALIGAUX</v>
          </cell>
          <cell r="BJ51" t="str">
            <v>cadre coef 150 / position 2.3</v>
          </cell>
        </row>
        <row r="52">
          <cell r="AL52" t="str">
            <v>Lionel DELAIR</v>
          </cell>
          <cell r="BJ52" t="str">
            <v>cadre coef 170 / position 3.1</v>
          </cell>
        </row>
        <row r="53">
          <cell r="AL53" t="str">
            <v>Samuel DHULU</v>
          </cell>
          <cell r="BJ53" t="str">
            <v>cadre coef 190 / position 3.1</v>
          </cell>
        </row>
        <row r="54">
          <cell r="AL54" t="str">
            <v>Marc DIEPPEDALE</v>
          </cell>
          <cell r="BJ54" t="str">
            <v>cadre coef 200 / position 3.1</v>
          </cell>
        </row>
        <row r="55">
          <cell r="AL55" t="str">
            <v>Christine DOLLFUS</v>
          </cell>
          <cell r="BJ55" t="str">
            <v>cadre coef 210 / position 3.2</v>
          </cell>
        </row>
        <row r="56">
          <cell r="AL56" t="str">
            <v>Ludovic DUSAUTOIR</v>
          </cell>
          <cell r="BJ56" t="str">
            <v>cadre coef 270 / position 3.3</v>
          </cell>
        </row>
        <row r="57">
          <cell r="AL57" t="str">
            <v>Sébastien ENSENAT</v>
          </cell>
          <cell r="BJ57" t="str">
            <v>cadre coef 290</v>
          </cell>
        </row>
        <row r="58">
          <cell r="AL58" t="str">
            <v>Olivier FOIX</v>
          </cell>
          <cell r="BJ58" t="str">
            <v>employé coef 220 / position 1.3.1</v>
          </cell>
        </row>
        <row r="59">
          <cell r="AL59" t="str">
            <v>Corinne FORTUNY</v>
          </cell>
          <cell r="BJ59" t="str">
            <v>employé coef 230 / position 1.3.2</v>
          </cell>
        </row>
        <row r="60">
          <cell r="AL60" t="str">
            <v>Cédric FRANCIS</v>
          </cell>
          <cell r="BJ60" t="str">
            <v>employé coef 240 / position 1.4.1</v>
          </cell>
        </row>
        <row r="61">
          <cell r="AL61" t="str">
            <v>Philippe FRECHON</v>
          </cell>
          <cell r="BJ61" t="str">
            <v>employé coef 250 / position 1.4.2</v>
          </cell>
        </row>
        <row r="62">
          <cell r="AL62" t="str">
            <v>Benoît FROMENT</v>
          </cell>
          <cell r="BJ62" t="str">
            <v>employé coef 275 / position 2.1</v>
          </cell>
        </row>
        <row r="63">
          <cell r="AL63" t="str">
            <v>De GRANDMAISON</v>
          </cell>
          <cell r="BJ63" t="str">
            <v>employé coef 310 / position 2.2</v>
          </cell>
        </row>
        <row r="64">
          <cell r="AL64" t="str">
            <v>Karine GUERRE</v>
          </cell>
          <cell r="BJ64" t="str">
            <v>employé coef 355 / position 2.3</v>
          </cell>
        </row>
        <row r="65">
          <cell r="AL65" t="str">
            <v>Nathalie GUERRIN</v>
          </cell>
          <cell r="BJ65" t="str">
            <v>employé coef 400 / position 3.1</v>
          </cell>
        </row>
        <row r="66">
          <cell r="AL66" t="str">
            <v>Florent GUYENNET</v>
          </cell>
          <cell r="BJ66" t="str">
            <v>employé coef 450 / position 3.2</v>
          </cell>
        </row>
        <row r="67">
          <cell r="AL67" t="str">
            <v>Vincent HACQUES</v>
          </cell>
          <cell r="BJ67" t="str">
            <v>employé coef 500 / position 3.3</v>
          </cell>
        </row>
        <row r="68">
          <cell r="AL68" t="str">
            <v>Jean-Charles HENRY</v>
          </cell>
        </row>
        <row r="69">
          <cell r="AL69" t="str">
            <v>Christophe HOREL</v>
          </cell>
        </row>
        <row r="70">
          <cell r="AL70" t="str">
            <v>Christophe HUSSON</v>
          </cell>
        </row>
        <row r="71">
          <cell r="AL71" t="str">
            <v>Olivier JOLLY</v>
          </cell>
        </row>
        <row r="72">
          <cell r="AL72" t="str">
            <v>David KIRCHHOFFER</v>
          </cell>
        </row>
        <row r="73">
          <cell r="AL73" t="str">
            <v>Sylvain LADURÉE</v>
          </cell>
        </row>
        <row r="74">
          <cell r="AL74" t="str">
            <v>Gilles LE FRANC</v>
          </cell>
        </row>
        <row r="75">
          <cell r="AL75" t="str">
            <v>Benoit LEBOUCHER</v>
          </cell>
        </row>
        <row r="76">
          <cell r="AL76" t="str">
            <v>Daniel LECERF</v>
          </cell>
        </row>
        <row r="77">
          <cell r="AL77" t="str">
            <v>Sébastien LIONET</v>
          </cell>
        </row>
        <row r="78">
          <cell r="AL78" t="str">
            <v>François LOHEAC</v>
          </cell>
        </row>
        <row r="79">
          <cell r="AL79" t="str">
            <v>Christophe MAILLET</v>
          </cell>
          <cell r="BD79" t="str">
            <v>Année - year</v>
          </cell>
        </row>
        <row r="80">
          <cell r="AL80" t="str">
            <v>Michel MALHOMME</v>
          </cell>
          <cell r="BD80">
            <v>2030</v>
          </cell>
        </row>
        <row r="81">
          <cell r="AL81" t="str">
            <v>Denis MARCHESNAY</v>
          </cell>
          <cell r="BD81">
            <v>2029</v>
          </cell>
        </row>
        <row r="82">
          <cell r="AL82" t="str">
            <v>Isabelle MARECHAL</v>
          </cell>
          <cell r="BD82">
            <v>2028</v>
          </cell>
        </row>
        <row r="83">
          <cell r="AL83" t="str">
            <v>Pierre-Dominique MARTIN</v>
          </cell>
          <cell r="BD83">
            <v>2027</v>
          </cell>
        </row>
        <row r="84">
          <cell r="AL84" t="str">
            <v>Lionel MERY</v>
          </cell>
          <cell r="BD84">
            <v>2026</v>
          </cell>
        </row>
        <row r="85">
          <cell r="AL85" t="str">
            <v>Sassan MOHSENI</v>
          </cell>
          <cell r="BD85">
            <v>2025</v>
          </cell>
        </row>
        <row r="86">
          <cell r="AL86" t="str">
            <v>Jean-Philippe MULLER</v>
          </cell>
          <cell r="BD86">
            <v>2024</v>
          </cell>
        </row>
        <row r="87">
          <cell r="AL87" t="str">
            <v>Stéphane NAVARRO</v>
          </cell>
          <cell r="BD87">
            <v>2023</v>
          </cell>
        </row>
        <row r="88">
          <cell r="AL88" t="str">
            <v>Marielle PABOIS</v>
          </cell>
          <cell r="BD88">
            <v>2022</v>
          </cell>
          <cell r="BM88" t="str">
            <v>menu</v>
          </cell>
        </row>
        <row r="89">
          <cell r="AL89" t="str">
            <v>Philippe RAMEL</v>
          </cell>
          <cell r="BD89">
            <v>2021</v>
          </cell>
          <cell r="BJ89" t="str">
            <v>menu</v>
          </cell>
          <cell r="BM89" t="str">
            <v>Brevet</v>
          </cell>
        </row>
        <row r="90">
          <cell r="AL90" t="str">
            <v>Patrick REYNOUDT</v>
          </cell>
          <cell r="BD90">
            <v>2020</v>
          </cell>
          <cell r="BJ90" t="str">
            <v>Afghanistan-Afghanistan</v>
          </cell>
          <cell r="BM90" t="str">
            <v>BEP / CAP</v>
          </cell>
        </row>
        <row r="91">
          <cell r="AL91" t="str">
            <v>Brigitte RIVET</v>
          </cell>
          <cell r="BD91">
            <v>2019</v>
          </cell>
          <cell r="BJ91" t="str">
            <v>Afrique du Sud-South Africa</v>
          </cell>
          <cell r="BM91" t="str">
            <v xml:space="preserve">Niveau Bac  </v>
          </cell>
        </row>
        <row r="92">
          <cell r="AB92" t="str">
            <v>menu</v>
          </cell>
          <cell r="AL92" t="str">
            <v>Jean-Bernard RODRIGUEZ</v>
          </cell>
          <cell r="BD92">
            <v>2018</v>
          </cell>
          <cell r="BJ92" t="str">
            <v>Albanie-Albania</v>
          </cell>
          <cell r="BM92" t="str">
            <v>BACCALAUREAT</v>
          </cell>
        </row>
        <row r="93">
          <cell r="AB93" t="str">
            <v>Réalisation Projets &amp; Services</v>
          </cell>
          <cell r="AL93" t="str">
            <v>Olivier ROUBERTIE</v>
          </cell>
          <cell r="BD93">
            <v>2017</v>
          </cell>
          <cell r="BJ93" t="str">
            <v>Algérie-Algeria</v>
          </cell>
          <cell r="BM93" t="str">
            <v>BAC + 2 / DUT / BTS</v>
          </cell>
        </row>
        <row r="94">
          <cell r="AB94" t="str">
            <v>Conseil en Management</v>
          </cell>
          <cell r="AL94" t="str">
            <v>Frédéric SILVE</v>
          </cell>
          <cell r="BD94">
            <v>2016</v>
          </cell>
          <cell r="BJ94" t="str">
            <v>Allemagne-Germany</v>
          </cell>
          <cell r="BM94" t="str">
            <v>BAC + 3 / Licence / Bachelor</v>
          </cell>
        </row>
        <row r="95">
          <cell r="AB95" t="str">
            <v>Conseil en Solution &amp; Digital</v>
          </cell>
          <cell r="AL95" t="str">
            <v>Olivier SOMNARD</v>
          </cell>
          <cell r="BD95">
            <v>2015</v>
          </cell>
          <cell r="BJ95" t="str">
            <v>Angleterre-England</v>
          </cell>
          <cell r="BM95" t="str">
            <v xml:space="preserve">BAC + 4 / Master 1 </v>
          </cell>
        </row>
        <row r="96">
          <cell r="AB96" t="str">
            <v>Conseil &amp; Expertise Technique</v>
          </cell>
          <cell r="AL96" t="str">
            <v>Olivier SPREAFICO</v>
          </cell>
          <cell r="BD96">
            <v>2014</v>
          </cell>
          <cell r="BJ96" t="str">
            <v>Angola-Angola</v>
          </cell>
          <cell r="BM96" t="str">
            <v>BAC +5 / Master 2 / Diplôme d'ingénieur &amp; commerce</v>
          </cell>
        </row>
        <row r="97">
          <cell r="AB97" t="str">
            <v>Gestion Projets &amp; Services</v>
          </cell>
          <cell r="AL97" t="str">
            <v>Didier THEROND</v>
          </cell>
          <cell r="BD97">
            <v>2013</v>
          </cell>
          <cell r="BJ97" t="str">
            <v>Anguilla-Anguilla</v>
          </cell>
          <cell r="BM97" t="str">
            <v xml:space="preserve">BAC + 6 / MBA / Mastère spécialisé </v>
          </cell>
        </row>
        <row r="98">
          <cell r="AB98" t="str">
            <v>Management Général</v>
          </cell>
          <cell r="AL98" t="str">
            <v>Xavier TORPE</v>
          </cell>
          <cell r="BD98">
            <v>2012</v>
          </cell>
          <cell r="BJ98" t="str">
            <v>Antarctique-Antarctica</v>
          </cell>
          <cell r="BM98" t="str">
            <v>BAC + 8 / Doctorant / PHD</v>
          </cell>
        </row>
        <row r="99">
          <cell r="AB99" t="str">
            <v>Sans famille</v>
          </cell>
          <cell r="AL99" t="str">
            <v>Xavier VALAT</v>
          </cell>
          <cell r="BD99">
            <v>2011</v>
          </cell>
          <cell r="BJ99" t="str">
            <v>Antigua-et-Barbuda-Antigua and Barbuda</v>
          </cell>
        </row>
        <row r="100">
          <cell r="AL100" t="str">
            <v>Thierry VANDENBROUCKE</v>
          </cell>
          <cell r="BD100">
            <v>2010</v>
          </cell>
          <cell r="BJ100" t="str">
            <v>Antilles néerlandaises-Netherlands Antilles</v>
          </cell>
        </row>
        <row r="101">
          <cell r="AL101" t="str">
            <v>Hervé YSNEL</v>
          </cell>
          <cell r="BD101">
            <v>2009</v>
          </cell>
          <cell r="BJ101" t="str">
            <v>Arabie saoudite-Saudi Arabia</v>
          </cell>
        </row>
        <row r="102">
          <cell r="BD102">
            <v>2008</v>
          </cell>
          <cell r="BJ102" t="str">
            <v>Archipel Aland-Aland Islands</v>
          </cell>
        </row>
        <row r="103">
          <cell r="BD103">
            <v>2007</v>
          </cell>
          <cell r="BJ103" t="str">
            <v>Argentine-Argentina</v>
          </cell>
        </row>
        <row r="104">
          <cell r="BD104">
            <v>2006</v>
          </cell>
          <cell r="BJ104" t="str">
            <v>Arménie-Armenia</v>
          </cell>
        </row>
        <row r="105">
          <cell r="BD105">
            <v>2005</v>
          </cell>
          <cell r="BJ105" t="str">
            <v>Aruba-Aruba</v>
          </cell>
        </row>
        <row r="106">
          <cell r="BD106">
            <v>2004</v>
          </cell>
          <cell r="BJ106" t="str">
            <v>Australie-Australia</v>
          </cell>
        </row>
        <row r="107">
          <cell r="BD107">
            <v>2003</v>
          </cell>
          <cell r="BJ107" t="str">
            <v>Autriche-Austria</v>
          </cell>
        </row>
        <row r="108">
          <cell r="BD108">
            <v>2002</v>
          </cell>
          <cell r="BJ108" t="str">
            <v>Azerbaïdjan-Azerbaijan</v>
          </cell>
        </row>
        <row r="109">
          <cell r="BD109">
            <v>2001</v>
          </cell>
          <cell r="BJ109" t="str">
            <v>Bahamas-Bahamas</v>
          </cell>
        </row>
        <row r="110">
          <cell r="BD110">
            <v>2000</v>
          </cell>
          <cell r="BJ110" t="str">
            <v>Bahreïn-Bahrain</v>
          </cell>
        </row>
        <row r="111">
          <cell r="BJ111" t="str">
            <v>Bangladesh-Bangladesh</v>
          </cell>
        </row>
        <row r="112">
          <cell r="BJ112" t="str">
            <v>Barbade-Barbados</v>
          </cell>
        </row>
        <row r="113">
          <cell r="BJ113" t="str">
            <v>Bélarus-Belarus</v>
          </cell>
        </row>
        <row r="114">
          <cell r="F114" t="str">
            <v>menu</v>
          </cell>
          <cell r="BJ114" t="str">
            <v>Belgique-Belgium</v>
          </cell>
        </row>
        <row r="115">
          <cell r="F115" t="str">
            <v>PPP Profit Participation Plan</v>
          </cell>
          <cell r="BJ115" t="str">
            <v>Belize-Belize</v>
          </cell>
        </row>
        <row r="116">
          <cell r="F116" t="str">
            <v>BDIP Business Dev. Incentive Plan</v>
          </cell>
          <cell r="BJ116" t="str">
            <v>Bénin-Benin</v>
          </cell>
        </row>
        <row r="117">
          <cell r="F117" t="str">
            <v>Non applicable - Not applicable</v>
          </cell>
          <cell r="BJ117" t="str">
            <v>Bermudes-Bermuda</v>
          </cell>
        </row>
        <row r="118">
          <cell r="BJ118" t="str">
            <v>Bhoutan-Bhutan</v>
          </cell>
        </row>
        <row r="119">
          <cell r="BJ119" t="str">
            <v>Bolivie-Bolivia</v>
          </cell>
        </row>
        <row r="120">
          <cell r="F120" t="str">
            <v>menu</v>
          </cell>
          <cell r="BJ120" t="str">
            <v>Bonaire, St Eustatius et Saba-Bonaire, Sint Eustatius &amp; Saba</v>
          </cell>
        </row>
        <row r="121">
          <cell r="F121" t="str">
            <v>FRA01 - France</v>
          </cell>
          <cell r="BJ121" t="str">
            <v>Bosnie-Herzégovine-Bosnia and Herzegovina</v>
          </cell>
        </row>
        <row r="122">
          <cell r="F122" t="str">
            <v>FRA02 - France - Alsace/Moselle</v>
          </cell>
          <cell r="BJ122" t="str">
            <v>Botswana-Botswana</v>
          </cell>
        </row>
        <row r="123">
          <cell r="BJ123" t="str">
            <v>Brésil-Brazil</v>
          </cell>
        </row>
        <row r="124">
          <cell r="BJ124" t="str">
            <v>Brunéi Darussalam-Brunei Darussalam</v>
          </cell>
        </row>
        <row r="125">
          <cell r="BJ125" t="str">
            <v>Bulgarie-Bulgaria</v>
          </cell>
        </row>
        <row r="126">
          <cell r="BJ126" t="str">
            <v>Burkina Faso-Burkina Faso</v>
          </cell>
        </row>
        <row r="127">
          <cell r="BJ127" t="str">
            <v>Burundi-Burundi</v>
          </cell>
        </row>
        <row r="128">
          <cell r="BJ128" t="str">
            <v>Cambodge-Cambodia</v>
          </cell>
        </row>
        <row r="129">
          <cell r="BJ129" t="str">
            <v>Cameroun-Cameroon</v>
          </cell>
        </row>
        <row r="130">
          <cell r="BJ130" t="str">
            <v>Canada-Canada</v>
          </cell>
        </row>
        <row r="131">
          <cell r="BJ131" t="str">
            <v>Cap-Vert-Cape Verde</v>
          </cell>
        </row>
        <row r="132">
          <cell r="BJ132" t="str">
            <v>Chili-Chile</v>
          </cell>
        </row>
        <row r="133">
          <cell r="BJ133" t="str">
            <v>Chypre-Cyprus</v>
          </cell>
        </row>
        <row r="134">
          <cell r="BJ134" t="str">
            <v>Colombie-Colombia</v>
          </cell>
        </row>
        <row r="135">
          <cell r="BJ135" t="str">
            <v>Comores-Comoros</v>
          </cell>
        </row>
        <row r="136">
          <cell r="BJ136" t="str">
            <v>Congo-Congo</v>
          </cell>
        </row>
        <row r="137">
          <cell r="BJ137" t="str">
            <v>Corée du Sud-Korea, Republic of</v>
          </cell>
        </row>
        <row r="138">
          <cell r="BJ138" t="str">
            <v>Costa Rica-Costa Rica</v>
          </cell>
        </row>
        <row r="139">
          <cell r="BJ139" t="str">
            <v>Côte d'Ivoire-Cote D'Ivoire</v>
          </cell>
        </row>
        <row r="140">
          <cell r="BJ140" t="str">
            <v>Croatie-Croatia</v>
          </cell>
        </row>
        <row r="141">
          <cell r="BJ141" t="str">
            <v>Cuba-Cuba</v>
          </cell>
        </row>
        <row r="142">
          <cell r="BJ142" t="str">
            <v>Curaçao-Curacao</v>
          </cell>
        </row>
        <row r="143">
          <cell r="BJ143" t="str">
            <v>Danemark-Denmark</v>
          </cell>
        </row>
        <row r="144">
          <cell r="BJ144" t="str">
            <v>Djibouti-Djibouti</v>
          </cell>
        </row>
        <row r="145">
          <cell r="BJ145" t="str">
            <v>Dominique-Dominica</v>
          </cell>
        </row>
        <row r="146">
          <cell r="BJ146" t="str">
            <v>Écosse-Scotland</v>
          </cell>
        </row>
        <row r="147">
          <cell r="BJ147" t="str">
            <v>Égypte-Egypt</v>
          </cell>
        </row>
        <row r="148">
          <cell r="BJ148" t="str">
            <v>El Salvador-El Salvador</v>
          </cell>
        </row>
        <row r="149">
          <cell r="BJ149" t="str">
            <v>Émirats arabes unis-United Arab Emirates</v>
          </cell>
        </row>
        <row r="150">
          <cell r="BJ150" t="str">
            <v>Équateur-Ecuador</v>
          </cell>
        </row>
        <row r="151">
          <cell r="BJ151" t="str">
            <v>Érythrée-Eritrea</v>
          </cell>
        </row>
        <row r="152">
          <cell r="BJ152" t="str">
            <v>Espagne-Spain</v>
          </cell>
        </row>
        <row r="153">
          <cell r="BJ153" t="str">
            <v>Estonie-Estonia</v>
          </cell>
        </row>
        <row r="154">
          <cell r="BJ154" t="str">
            <v>États-Unis-United States</v>
          </cell>
        </row>
        <row r="155">
          <cell r="BJ155" t="str">
            <v>Éthiopie-Ethiopia</v>
          </cell>
        </row>
        <row r="156">
          <cell r="BJ156" t="str">
            <v>Ex-Rép. yougoslave Macédoine-Fmr Yugoslav Rep of Macedonia</v>
          </cell>
        </row>
        <row r="157">
          <cell r="BJ157" t="str">
            <v>Fédération de Russie-Russian Federation</v>
          </cell>
        </row>
        <row r="158">
          <cell r="BJ158" t="str">
            <v>Fidji-Fiji</v>
          </cell>
        </row>
        <row r="159">
          <cell r="BJ159" t="str">
            <v>Finlande-Finland</v>
          </cell>
        </row>
        <row r="160">
          <cell r="BJ160" t="str">
            <v>France-France</v>
          </cell>
        </row>
        <row r="161">
          <cell r="BJ161" t="str">
            <v>Gabon-Gabon</v>
          </cell>
        </row>
        <row r="162">
          <cell r="BJ162" t="str">
            <v>Gambie-Gambia</v>
          </cell>
        </row>
        <row r="163">
          <cell r="BJ163" t="str">
            <v>Géorgie Sud -îles Sandwich Sud-Sth Georgia &amp; Sth Sandwich Is</v>
          </cell>
        </row>
        <row r="164">
          <cell r="BJ164" t="str">
            <v>Géorgie-Georgia</v>
          </cell>
        </row>
        <row r="165">
          <cell r="BJ165" t="str">
            <v>Ghana-Ghana</v>
          </cell>
        </row>
        <row r="166">
          <cell r="BJ166" t="str">
            <v>Gibraltar-Gibraltar</v>
          </cell>
        </row>
        <row r="167">
          <cell r="BJ167" t="str">
            <v>Grèce-Greece</v>
          </cell>
        </row>
        <row r="168">
          <cell r="BJ168" t="str">
            <v>Grenade-Grenada</v>
          </cell>
        </row>
        <row r="169">
          <cell r="BJ169" t="str">
            <v>Groenland-Greenland</v>
          </cell>
        </row>
        <row r="170">
          <cell r="BJ170" t="str">
            <v>Guadeloupe-Guadeloupe</v>
          </cell>
        </row>
        <row r="171">
          <cell r="BJ171" t="str">
            <v>Guam-Guam</v>
          </cell>
        </row>
        <row r="172">
          <cell r="BJ172" t="str">
            <v>Guatemala-Guatemala</v>
          </cell>
        </row>
        <row r="173">
          <cell r="BJ173" t="str">
            <v>Guernsey-Guernsey</v>
          </cell>
        </row>
        <row r="174">
          <cell r="BJ174" t="str">
            <v>Guinée équatoriale-Equatorial Guinea</v>
          </cell>
        </row>
        <row r="175">
          <cell r="BJ175" t="str">
            <v>Guinée-Bissau-Guinea-Bissau</v>
          </cell>
        </row>
        <row r="176">
          <cell r="BJ176" t="str">
            <v>Guinée-Guinea</v>
          </cell>
        </row>
        <row r="177">
          <cell r="BJ177" t="str">
            <v>Guyane française-French Guiana</v>
          </cell>
        </row>
        <row r="178">
          <cell r="BJ178" t="str">
            <v>Guyane-Guyana</v>
          </cell>
        </row>
        <row r="179">
          <cell r="BJ179" t="str">
            <v>Haïti-Haiti</v>
          </cell>
        </row>
        <row r="180">
          <cell r="BJ180" t="str">
            <v>Honduras-Honduras</v>
          </cell>
        </row>
        <row r="181">
          <cell r="BJ181" t="str">
            <v>Hong Kong-Hong Kong</v>
          </cell>
        </row>
        <row r="182">
          <cell r="BJ182" t="str">
            <v>Hongrie-Hungary</v>
          </cell>
        </row>
        <row r="183">
          <cell r="BJ183" t="str">
            <v>île Bouvet-Bouvet Island</v>
          </cell>
        </row>
        <row r="184">
          <cell r="BJ184" t="str">
            <v>île Christmas-Christmas Island</v>
          </cell>
        </row>
        <row r="185">
          <cell r="BJ185" t="str">
            <v>Île de la Réunion-Reunion</v>
          </cell>
        </row>
        <row r="186">
          <cell r="BJ186" t="str">
            <v>Île de Man-Isle of Man</v>
          </cell>
        </row>
        <row r="187">
          <cell r="BJ187" t="str">
            <v>Île Maurice-Mauritius</v>
          </cell>
        </row>
        <row r="188">
          <cell r="BJ188" t="str">
            <v>Île Nioué-Niue</v>
          </cell>
        </row>
        <row r="189">
          <cell r="BJ189" t="str">
            <v>Île Norfolk-Norfolk Island</v>
          </cell>
        </row>
        <row r="190">
          <cell r="BJ190" t="str">
            <v>Île Pitcairn-Pitcairn</v>
          </cell>
        </row>
        <row r="191">
          <cell r="BJ191" t="str">
            <v>îles Cayman-Cayman Islands</v>
          </cell>
        </row>
        <row r="192">
          <cell r="BJ192" t="str">
            <v>îles Cocos (Keeling)-Cocos (Keeling) Islands</v>
          </cell>
        </row>
        <row r="193">
          <cell r="BJ193" t="str">
            <v>îles Cook-Cook Islands</v>
          </cell>
        </row>
        <row r="194">
          <cell r="BJ194" t="str">
            <v>îles Falkland (Malvinas)-Falkland Islands (Malvinas)</v>
          </cell>
        </row>
        <row r="195">
          <cell r="BJ195" t="str">
            <v>îles Féroé-Faroe Islands</v>
          </cell>
        </row>
        <row r="196">
          <cell r="BJ196" t="str">
            <v>îles Heard et McDonald-Heard and McDonald Islands</v>
          </cell>
        </row>
        <row r="197">
          <cell r="BJ197" t="str">
            <v>Îles Mariannes du Nord-Northern Mariana Islands</v>
          </cell>
        </row>
        <row r="198">
          <cell r="BJ198" t="str">
            <v>Îles Marshall-Marshall Islands</v>
          </cell>
        </row>
        <row r="199">
          <cell r="BJ199" t="str">
            <v>Îles mineures des États-Unis-US Minor Outlying Islands</v>
          </cell>
        </row>
        <row r="200">
          <cell r="BJ200" t="str">
            <v>Îles Salomon-Solomon Islands</v>
          </cell>
        </row>
        <row r="201">
          <cell r="BJ201" t="str">
            <v>îles Svalbard et Jan Mayen-Svalbard and Jan Mayen</v>
          </cell>
        </row>
        <row r="202">
          <cell r="BJ202" t="str">
            <v>Îles Tokélaous-Tokelau</v>
          </cell>
        </row>
        <row r="203">
          <cell r="BJ203" t="str">
            <v>Îles Turks et Caicos-Turks and Caicos Islands</v>
          </cell>
        </row>
        <row r="204">
          <cell r="BJ204" t="str">
            <v>Îles Vierges américaines-Virgin Islands (U.S.)</v>
          </cell>
        </row>
        <row r="205">
          <cell r="BJ205" t="str">
            <v>Îles Vierges britanniques-Virgin Islands (British)</v>
          </cell>
        </row>
        <row r="206">
          <cell r="BJ206" t="str">
            <v>Îles Wallis et Futuna-Wallis and Futuna Islands</v>
          </cell>
        </row>
        <row r="207">
          <cell r="BJ207" t="str">
            <v>Inde-India</v>
          </cell>
        </row>
        <row r="208">
          <cell r="BJ208" t="str">
            <v>Indonésie-Indonesia</v>
          </cell>
        </row>
        <row r="209">
          <cell r="BJ209" t="str">
            <v>Iraq-Iraq</v>
          </cell>
        </row>
        <row r="210">
          <cell r="BJ210" t="str">
            <v>Irlande du Nord-Northern Ireland</v>
          </cell>
        </row>
        <row r="211">
          <cell r="BJ211" t="str">
            <v>Irlande-Ireland</v>
          </cell>
        </row>
        <row r="212">
          <cell r="BJ212" t="str">
            <v>Islande-Iceland</v>
          </cell>
        </row>
        <row r="213">
          <cell r="BJ213" t="str">
            <v>Israël-Israel</v>
          </cell>
        </row>
        <row r="214">
          <cell r="BJ214" t="str">
            <v>Italie-Italy</v>
          </cell>
        </row>
        <row r="215">
          <cell r="BJ215" t="str">
            <v>Jamaïque-Jamaica</v>
          </cell>
        </row>
        <row r="216">
          <cell r="BJ216" t="str">
            <v>Japon-Japan</v>
          </cell>
        </row>
        <row r="217">
          <cell r="BJ217" t="str">
            <v>Jersey-Jersey</v>
          </cell>
        </row>
        <row r="218">
          <cell r="BJ218" t="str">
            <v>Jordanie-Jordan</v>
          </cell>
        </row>
        <row r="219">
          <cell r="BJ219" t="str">
            <v>Kazakhstan-Kazakhstan</v>
          </cell>
        </row>
        <row r="220">
          <cell r="BJ220" t="str">
            <v>Kenya-Kenya</v>
          </cell>
        </row>
        <row r="221">
          <cell r="BJ221" t="str">
            <v>Kirghizistan-Kyrgyzstan</v>
          </cell>
        </row>
        <row r="222">
          <cell r="BJ222" t="str">
            <v>Kiribati-Kiribati</v>
          </cell>
        </row>
        <row r="223">
          <cell r="BJ223" t="str">
            <v>Kosovo-Kosovo</v>
          </cell>
        </row>
        <row r="224">
          <cell r="BJ224" t="str">
            <v>Koweït-Kuwait</v>
          </cell>
        </row>
        <row r="225">
          <cell r="BJ225" t="str">
            <v>Lesotho-Lesotho</v>
          </cell>
        </row>
        <row r="226">
          <cell r="BJ226" t="str">
            <v>Lettonie-Latvia</v>
          </cell>
        </row>
        <row r="227">
          <cell r="BJ227" t="str">
            <v>Liban-Lebanon</v>
          </cell>
        </row>
        <row r="228">
          <cell r="BJ228" t="str">
            <v>Libéria-Liberia</v>
          </cell>
        </row>
        <row r="229">
          <cell r="BJ229" t="str">
            <v>Libye-Libyan Arab Jamahiriya</v>
          </cell>
        </row>
        <row r="230">
          <cell r="BJ230" t="str">
            <v>Liechtenstein-Liechtenstein</v>
          </cell>
        </row>
        <row r="231">
          <cell r="BJ231" t="str">
            <v>Lituanie-Lithuania</v>
          </cell>
        </row>
        <row r="232">
          <cell r="BJ232" t="str">
            <v>Luxembourg-Luxembourg</v>
          </cell>
        </row>
        <row r="233">
          <cell r="BJ233" t="str">
            <v>Macao-Macao</v>
          </cell>
        </row>
        <row r="234">
          <cell r="BJ234" t="str">
            <v>Madagascar-Madagascar</v>
          </cell>
        </row>
        <row r="235">
          <cell r="BJ235" t="str">
            <v>Malaisie-Malaysia</v>
          </cell>
        </row>
        <row r="236">
          <cell r="BJ236" t="str">
            <v>Malawi-Malawi</v>
          </cell>
        </row>
        <row r="237">
          <cell r="BJ237" t="str">
            <v>Maldives-Maldives</v>
          </cell>
        </row>
        <row r="238">
          <cell r="BJ238" t="str">
            <v>Mali-Mali</v>
          </cell>
        </row>
        <row r="239">
          <cell r="BJ239" t="str">
            <v>Malte-Malta</v>
          </cell>
        </row>
        <row r="240">
          <cell r="BJ240" t="str">
            <v>Maroc-Morocco</v>
          </cell>
        </row>
        <row r="241">
          <cell r="BJ241" t="str">
            <v>Martinique-Martinique</v>
          </cell>
        </row>
        <row r="242">
          <cell r="BJ242" t="str">
            <v>Mauritanie-Mauritania</v>
          </cell>
        </row>
        <row r="243">
          <cell r="BJ243" t="str">
            <v>Mayotte-Mayotte</v>
          </cell>
        </row>
        <row r="244">
          <cell r="BJ244" t="str">
            <v>Mexique-Mexico</v>
          </cell>
        </row>
        <row r="245">
          <cell r="BJ245" t="str">
            <v>Micronésie, États fédérés de-Micronesia, Federated States</v>
          </cell>
        </row>
        <row r="246">
          <cell r="BJ246" t="str">
            <v>Moldavie, République de-Moldova, Republic of</v>
          </cell>
        </row>
        <row r="247">
          <cell r="BJ247" t="str">
            <v>Monaco, Principauté de-Monaco</v>
          </cell>
        </row>
        <row r="248">
          <cell r="BJ248" t="str">
            <v>Mongolie-Mongolia</v>
          </cell>
        </row>
        <row r="249">
          <cell r="BJ249" t="str">
            <v>Montserrat-Montserrat</v>
          </cell>
        </row>
        <row r="250">
          <cell r="BJ250" t="str">
            <v>Mozambique-Mozambique</v>
          </cell>
        </row>
        <row r="251">
          <cell r="BJ251" t="str">
            <v>Myanmar-Myanmar</v>
          </cell>
        </row>
        <row r="252">
          <cell r="BJ252" t="str">
            <v>Namibie-Namibia</v>
          </cell>
        </row>
        <row r="253">
          <cell r="BJ253" t="str">
            <v>Nauru-Nauru</v>
          </cell>
        </row>
        <row r="254">
          <cell r="BJ254" t="str">
            <v>Népal-Nepal</v>
          </cell>
        </row>
        <row r="255">
          <cell r="BJ255" t="str">
            <v>Nicaragua-Nicaragua</v>
          </cell>
        </row>
        <row r="256">
          <cell r="BJ256" t="str">
            <v>Nigéria-Nigeria</v>
          </cell>
        </row>
        <row r="257">
          <cell r="BJ257" t="str">
            <v>Niger-Niger</v>
          </cell>
        </row>
        <row r="258">
          <cell r="BJ258" t="str">
            <v>Norvège-Norway</v>
          </cell>
        </row>
        <row r="259">
          <cell r="BJ259" t="str">
            <v>Nouvelle-Calédonie-New Caledonia</v>
          </cell>
        </row>
        <row r="260">
          <cell r="BJ260" t="str">
            <v>Nouvelle-Zélande-New Zealand</v>
          </cell>
        </row>
        <row r="261">
          <cell r="BJ261" t="str">
            <v>Oman-Oman</v>
          </cell>
        </row>
        <row r="262">
          <cell r="BJ262" t="str">
            <v>Ouganda-Uganda</v>
          </cell>
        </row>
        <row r="263">
          <cell r="BJ263" t="str">
            <v>Ouzbékistan-Uzbekistan</v>
          </cell>
        </row>
        <row r="264">
          <cell r="BJ264" t="str">
            <v>Pakistan-Pakistan</v>
          </cell>
        </row>
        <row r="265">
          <cell r="BJ265" t="str">
            <v>Palaos-Palau</v>
          </cell>
        </row>
        <row r="266">
          <cell r="BJ266" t="str">
            <v>Panama-Panama</v>
          </cell>
        </row>
        <row r="267">
          <cell r="BJ267" t="str">
            <v>Papouasie-Nouvelle-Guinée-Papua New Guinea</v>
          </cell>
        </row>
        <row r="268">
          <cell r="BJ268" t="str">
            <v>Paraguay-Paraguay</v>
          </cell>
        </row>
        <row r="269">
          <cell r="BJ269" t="str">
            <v>Pays de Galles-Wales</v>
          </cell>
        </row>
        <row r="270">
          <cell r="BJ270" t="str">
            <v>Pays-Bas-Netherlands</v>
          </cell>
        </row>
        <row r="271">
          <cell r="BJ271" t="str">
            <v>Pérou-Peru</v>
          </cell>
        </row>
        <row r="272">
          <cell r="BJ272" t="str">
            <v>Philippines-Philippines</v>
          </cell>
        </row>
        <row r="273">
          <cell r="BJ273" t="str">
            <v>Pologne-Poland</v>
          </cell>
        </row>
        <row r="274">
          <cell r="BJ274" t="str">
            <v>Polynésie française-French Polynesia</v>
          </cell>
        </row>
        <row r="275">
          <cell r="BJ275" t="str">
            <v>Porto Rico-Puerto Rico</v>
          </cell>
        </row>
        <row r="276">
          <cell r="BJ276" t="str">
            <v>Portugal-Portugal</v>
          </cell>
        </row>
        <row r="277">
          <cell r="BJ277" t="str">
            <v>Principauté d'Andorre-Andorra</v>
          </cell>
        </row>
        <row r="278">
          <cell r="BJ278" t="str">
            <v>Qatar-Qatar</v>
          </cell>
        </row>
        <row r="279">
          <cell r="BJ279" t="str">
            <v>Rép. populaire démocr. Corée-Korea, Democratic People's Rep</v>
          </cell>
        </row>
        <row r="280">
          <cell r="BJ280" t="str">
            <v>Rép. populaire démocr. du Laos-Lao People's Democratic Rep</v>
          </cell>
        </row>
        <row r="281">
          <cell r="BJ281" t="str">
            <v>République arabe syrienne-Syrian Arab Republic</v>
          </cell>
        </row>
        <row r="282">
          <cell r="BJ282" t="str">
            <v>République centrafricaine-Central African Republic</v>
          </cell>
        </row>
        <row r="283">
          <cell r="BJ283" t="str">
            <v>République de Serbie-Republic of Serbia</v>
          </cell>
        </row>
        <row r="284">
          <cell r="BJ284" t="str">
            <v>République démocratique Congo-Congo, The Democratic Republic</v>
          </cell>
        </row>
        <row r="285">
          <cell r="BJ285" t="str">
            <v>République des Seychelles-Seychelles</v>
          </cell>
        </row>
        <row r="286">
          <cell r="BJ286" t="str">
            <v>République dominicaine-Dominican Republic</v>
          </cell>
        </row>
        <row r="287">
          <cell r="BJ287" t="str">
            <v>République du Monténégro-Republic of Montenegro</v>
          </cell>
        </row>
        <row r="288">
          <cell r="BJ288" t="str">
            <v>République islamique d'Iran-Iran (Islamic Republic Of)</v>
          </cell>
        </row>
        <row r="289">
          <cell r="BJ289" t="str">
            <v>République populaire de Chine-China</v>
          </cell>
        </row>
        <row r="290">
          <cell r="BJ290" t="str">
            <v>République tchèque-Czech Republic</v>
          </cell>
        </row>
        <row r="291">
          <cell r="BJ291" t="str">
            <v>Roumanie-Romania</v>
          </cell>
        </row>
        <row r="292">
          <cell r="BJ292" t="str">
            <v>Royaume-Uni-United Kingdom</v>
          </cell>
        </row>
        <row r="293">
          <cell r="BJ293" t="str">
            <v>Rwanda-Rwanda</v>
          </cell>
        </row>
        <row r="294">
          <cell r="BJ294" t="str">
            <v>Sahara occidental-Western Sahara</v>
          </cell>
        </row>
        <row r="295">
          <cell r="BJ295" t="str">
            <v>Saint-Barthélemy-Saint Barthelemy</v>
          </cell>
        </row>
        <row r="296">
          <cell r="BJ296" t="str">
            <v>Sainte-Hélène-Saint Helena</v>
          </cell>
        </row>
        <row r="297">
          <cell r="BJ297" t="str">
            <v>Sainte-Lucie-Saint Lucia</v>
          </cell>
        </row>
        <row r="298">
          <cell r="BJ298" t="str">
            <v>Saint-Kitts-et-Nevis-Saint Kitts and Nevis</v>
          </cell>
        </row>
        <row r="299">
          <cell r="BJ299" t="str">
            <v>Saint-Marin-San Marino</v>
          </cell>
        </row>
        <row r="300">
          <cell r="BJ300" t="str">
            <v>Saint-Martin (côté néerland.)-Sint Maarten (Dutch part)</v>
          </cell>
        </row>
        <row r="301">
          <cell r="BJ301" t="str">
            <v>Saint-Martin-Saint Martin</v>
          </cell>
        </row>
        <row r="302">
          <cell r="BJ302" t="str">
            <v>Samoa américaines-American Samoa</v>
          </cell>
        </row>
        <row r="303">
          <cell r="BJ303" t="str">
            <v>Samoa-Samoa</v>
          </cell>
        </row>
        <row r="304">
          <cell r="BJ304" t="str">
            <v>Sao Tomé-et-Principe-Sao Tome and Principe</v>
          </cell>
        </row>
        <row r="305">
          <cell r="BJ305" t="str">
            <v>Sénégal-Senegal</v>
          </cell>
        </row>
        <row r="306">
          <cell r="BJ306" t="str">
            <v>Sierra Leone-Sierra Leone</v>
          </cell>
        </row>
        <row r="307">
          <cell r="BJ307" t="str">
            <v>Singapour-Singapore</v>
          </cell>
        </row>
        <row r="308">
          <cell r="BJ308" t="str">
            <v>Slovaquie-Slovakia</v>
          </cell>
        </row>
        <row r="309">
          <cell r="BJ309" t="str">
            <v>Slovénie-Slovenia</v>
          </cell>
        </row>
        <row r="310">
          <cell r="BJ310" t="str">
            <v>Somalie-Somalia</v>
          </cell>
        </row>
        <row r="311">
          <cell r="BJ311" t="str">
            <v>Soudan du Sud-South Sudan</v>
          </cell>
        </row>
        <row r="312">
          <cell r="BJ312" t="str">
            <v>Soudan-Sudan</v>
          </cell>
        </row>
        <row r="313">
          <cell r="BJ313" t="str">
            <v>Sri Lanka-Sri Lanka</v>
          </cell>
        </row>
        <row r="314">
          <cell r="BJ314" t="str">
            <v>St-Pierre-et-Miquelon-Saint Pierre and Miquelon</v>
          </cell>
        </row>
        <row r="315">
          <cell r="BJ315" t="str">
            <v>St-Vincent-et-les Grenadines-St Vincent and the Grenadines</v>
          </cell>
        </row>
        <row r="316">
          <cell r="BJ316" t="str">
            <v>Suède-Sweden</v>
          </cell>
        </row>
        <row r="317">
          <cell r="BJ317" t="str">
            <v>Suisse-Switzerland</v>
          </cell>
        </row>
        <row r="318">
          <cell r="BJ318" t="str">
            <v>Suriname-Suriname</v>
          </cell>
        </row>
        <row r="319">
          <cell r="BJ319" t="str">
            <v>Swaziland-Swaziland</v>
          </cell>
        </row>
        <row r="320">
          <cell r="BJ320" t="str">
            <v>Tadjikistan-Tajikistan</v>
          </cell>
        </row>
        <row r="321">
          <cell r="BJ321" t="str">
            <v>Taïwan-Taiwan</v>
          </cell>
        </row>
        <row r="322">
          <cell r="BJ322" t="str">
            <v>Tanzanie, République-Unie de-Tanzania, United Republic of</v>
          </cell>
        </row>
        <row r="323">
          <cell r="BJ323" t="str">
            <v>Tchad-Chad</v>
          </cell>
        </row>
        <row r="324">
          <cell r="BJ324" t="str">
            <v>Terr. brit. de l'océan Indien-British Indian Ocean Territory</v>
          </cell>
        </row>
        <row r="325">
          <cell r="BJ325" t="str">
            <v>Terres australes françaises-French Southern Territories</v>
          </cell>
        </row>
        <row r="326">
          <cell r="BJ326" t="str">
            <v>Territoire palestinien occupé-Palestinian Territory, Occupie</v>
          </cell>
        </row>
        <row r="327">
          <cell r="BJ327" t="str">
            <v>Thaïlande-Thailand</v>
          </cell>
        </row>
        <row r="328">
          <cell r="BJ328" t="str">
            <v>Timor-Leste-East Timor</v>
          </cell>
        </row>
        <row r="329">
          <cell r="BJ329" t="str">
            <v>Togo-Togo</v>
          </cell>
        </row>
        <row r="330">
          <cell r="BJ330" t="str">
            <v>Tonga-Tonga</v>
          </cell>
        </row>
        <row r="331">
          <cell r="BJ331" t="str">
            <v>Trinité-et-Tobago-Trinidad and Tobago</v>
          </cell>
        </row>
        <row r="332">
          <cell r="BJ332" t="str">
            <v>Tunisie-Tunisia</v>
          </cell>
        </row>
        <row r="333">
          <cell r="BJ333" t="str">
            <v>Turkménistan-Turkmenistan</v>
          </cell>
        </row>
        <row r="334">
          <cell r="BJ334" t="str">
            <v>Turquie-Turkey</v>
          </cell>
        </row>
        <row r="335">
          <cell r="BJ335" t="str">
            <v>Tuvalu-Tuvalu</v>
          </cell>
        </row>
        <row r="336">
          <cell r="BJ336" t="str">
            <v>Ukraine-Ukraine</v>
          </cell>
        </row>
        <row r="337">
          <cell r="BJ337" t="str">
            <v>Uruguay-Uruguay</v>
          </cell>
        </row>
        <row r="338">
          <cell r="BJ338" t="str">
            <v>Vanuatu-Vanuatu</v>
          </cell>
        </row>
        <row r="339">
          <cell r="BJ339" t="str">
            <v>Vatican (Saint-Siège)-Holy See (Vatican City State)</v>
          </cell>
        </row>
        <row r="340">
          <cell r="BJ340" t="str">
            <v>Venezuela-Venezuela</v>
          </cell>
        </row>
        <row r="341">
          <cell r="BJ341" t="str">
            <v>Vietnam-Viet Nam</v>
          </cell>
        </row>
        <row r="342">
          <cell r="BJ342" t="str">
            <v>Yémen-Yemen</v>
          </cell>
        </row>
        <row r="343">
          <cell r="BJ343" t="str">
            <v>Yougoslavie-Yugoslavia</v>
          </cell>
        </row>
        <row r="344">
          <cell r="BJ344" t="str">
            <v>Zambie-Zambia</v>
          </cell>
        </row>
        <row r="345">
          <cell r="BJ345" t="str">
            <v>Zimbabwe-Zimbabwe</v>
          </cell>
        </row>
      </sheetData>
      <sheetData sheetId="5">
        <row r="2">
          <cell r="G2" t="str">
            <v>menu</v>
          </cell>
        </row>
        <row r="3">
          <cell r="G3" t="str">
            <v>70 – Stage Bac+4</v>
          </cell>
        </row>
        <row r="4">
          <cell r="G4" t="str">
            <v>71 – Stage Bac+5</v>
          </cell>
        </row>
        <row r="5">
          <cell r="G5" t="str">
            <v>72 – Stage DUT/2ième année post bac</v>
          </cell>
        </row>
        <row r="6">
          <cell r="G6" t="str">
            <v>73 – Stage Licence</v>
          </cell>
        </row>
        <row r="7">
          <cell r="G7" t="str">
            <v>74 – Année de césure</v>
          </cell>
        </row>
        <row r="8">
          <cell r="G8" t="str">
            <v>75 – Stagiaire POEI</v>
          </cell>
        </row>
        <row r="9">
          <cell r="G9" t="str">
            <v>76 – Stage Pré-Bac</v>
          </cell>
        </row>
        <row r="10">
          <cell r="G10" t="str">
            <v xml:space="preserve">77 – Stage AFPA </v>
          </cell>
        </row>
        <row r="60">
          <cell r="D60" t="str">
            <v>menu</v>
          </cell>
        </row>
        <row r="61">
          <cell r="D61" t="str">
            <v>001 Trainee (Stagiaire) (DIR)</v>
          </cell>
        </row>
        <row r="62">
          <cell r="D62" t="str">
            <v>006 Trainee (Alternance hors UDEV) (DIR)</v>
          </cell>
        </row>
        <row r="63">
          <cell r="D63" t="str">
            <v>007 Trainee (Stagiaire) (ADM)</v>
          </cell>
        </row>
        <row r="64">
          <cell r="D64" t="str">
            <v>141 SERVICE OPERATOR (DIR)</v>
          </cell>
        </row>
        <row r="65">
          <cell r="D65" t="str">
            <v>142 SENIOR SERVICES OPERATOR (DIR)</v>
          </cell>
        </row>
        <row r="66">
          <cell r="D66" t="str">
            <v>201 CONSULTANT (DIR)</v>
          </cell>
        </row>
        <row r="67">
          <cell r="D67" t="str">
            <v>202 SENIOR CONSULTANT (DIR)</v>
          </cell>
        </row>
        <row r="68">
          <cell r="D68" t="str">
            <v>210 TRAINEE - U'DEV Alternant (DIR)</v>
          </cell>
        </row>
        <row r="69">
          <cell r="D69" t="str">
            <v>251 BUSINESS  CONSULTANT (DIR)</v>
          </cell>
        </row>
        <row r="70">
          <cell r="D70" t="str">
            <v>252 SENIOR BUSINESS CONSULTANT (DIR)</v>
          </cell>
        </row>
        <row r="71">
          <cell r="D71" t="str">
            <v>406 Manager Corporate Services (MGM)</v>
          </cell>
        </row>
        <row r="72">
          <cell r="D72" t="str">
            <v>407 Manager Corporate Services –Expert (MGM)</v>
          </cell>
        </row>
        <row r="73">
          <cell r="D73" t="str">
            <v>410 DIRECTEUR(TRICE)-CONSEIL (DIR)</v>
          </cell>
        </row>
        <row r="74">
          <cell r="D74" t="str">
            <v>411 DIRECTEUR(TRICE)-CONSEIL (DIR) (Expert)</v>
          </cell>
        </row>
        <row r="75">
          <cell r="D75" t="str">
            <v>416 Director Corporate Services (MGM)</v>
          </cell>
        </row>
        <row r="76">
          <cell r="D76" t="str">
            <v>417 Director Corporate Services – Expert (MGM)</v>
          </cell>
        </row>
        <row r="77">
          <cell r="D77" t="str">
            <v>421 DIRECTEUR(TRICE), SERV.- CONS. (MGM)</v>
          </cell>
        </row>
        <row r="78">
          <cell r="D78" t="str">
            <v>501 VICE-PRESIDENT(E)-CONSEIL (DIR)</v>
          </cell>
        </row>
        <row r="79">
          <cell r="D79" t="str">
            <v>502 VICE-PRESIDENT(E)-CONSEIL (SDM) (DIR)</v>
          </cell>
        </row>
        <row r="80">
          <cell r="D80" t="str">
            <v>504 VICE – PRESIDENT (E) – Conseils Secteur  (MGM)</v>
          </cell>
        </row>
        <row r="81">
          <cell r="D81" t="str">
            <v>506 Vice President Corporate Services (MGM)</v>
          </cell>
        </row>
        <row r="82">
          <cell r="D82" t="str">
            <v>507 Vice President Corporate Services – Expert (MGM)</v>
          </cell>
        </row>
        <row r="83">
          <cell r="D83" t="str">
            <v>508 VP, SERVICES-CONSEILS (Secteur) (MGM)</v>
          </cell>
        </row>
        <row r="84">
          <cell r="D84" t="str">
            <v>511 VP, SERVICES-CONSEILS (MGM)</v>
          </cell>
        </row>
        <row r="85">
          <cell r="D85" t="str">
            <v>512 Vice Président Senior (MGM)</v>
          </cell>
        </row>
        <row r="86">
          <cell r="D86" t="str">
            <v>641 Assistant (ADM)</v>
          </cell>
        </row>
        <row r="87">
          <cell r="D87" t="str">
            <v>661 Consultant (ADM)</v>
          </cell>
        </row>
        <row r="88">
          <cell r="D88" t="str">
            <v>681 Senior Consultant (ADM)</v>
          </cell>
        </row>
        <row r="89">
          <cell r="D89" t="str">
            <v>691 BD REPRESENTATIVE (ADM)</v>
          </cell>
        </row>
        <row r="90">
          <cell r="D90" t="str">
            <v>701 DIRECTOR CONSULTING INTERNAL (MGM)</v>
          </cell>
        </row>
        <row r="91">
          <cell r="D91" t="str">
            <v>711 BD DIRECTOR (MGM)</v>
          </cell>
        </row>
        <row r="92">
          <cell r="D92" t="str">
            <v>841 Vice President Business Engineering (MGM)</v>
          </cell>
        </row>
      </sheetData>
      <sheetData sheetId="6">
        <row r="3">
          <cell r="I3">
            <v>1</v>
          </cell>
          <cell r="AK3" t="str">
            <v>Non applicable – uniquement pour les stagiaires</v>
          </cell>
          <cell r="BB3" t="str">
            <v>Accroissement temporaire d'activite - Temporary increase in activity</v>
          </cell>
          <cell r="BC3" t="str">
            <v>Accroissement temporaire d'activite</v>
          </cell>
        </row>
        <row r="4">
          <cell r="I4">
            <v>2</v>
          </cell>
          <cell r="AK4" t="str">
            <v>cadre coef 95 / position 1.1</v>
          </cell>
          <cell r="AL4">
            <v>95</v>
          </cell>
          <cell r="AM4">
            <v>1.1000000000000001</v>
          </cell>
          <cell r="BB4" t="str">
            <v xml:space="preserve">Remplacement d'un salarie absent - Replacement of an absent employee </v>
          </cell>
          <cell r="BC4" t="str">
            <v>Remplacement d'un salarie absent</v>
          </cell>
        </row>
        <row r="5">
          <cell r="I5">
            <v>3</v>
          </cell>
          <cell r="AK5" t="str">
            <v>cadre coef 100 / position 1.2</v>
          </cell>
          <cell r="AL5">
            <v>100</v>
          </cell>
          <cell r="AM5">
            <v>1.2</v>
          </cell>
          <cell r="BB5" t="str">
            <v>Contrat apprentissage</v>
          </cell>
          <cell r="BC5" t="str">
            <v>Contrat apprentissage</v>
          </cell>
        </row>
        <row r="6">
          <cell r="I6">
            <v>4</v>
          </cell>
          <cell r="AK6" t="str">
            <v>cadre coef 105 / position 2.10</v>
          </cell>
          <cell r="AL6">
            <v>105</v>
          </cell>
          <cell r="AM6">
            <v>2.1</v>
          </cell>
          <cell r="BB6" t="str">
            <v>Contrat professionnalisation</v>
          </cell>
          <cell r="BC6" t="str">
            <v>Contrat professionnalisation</v>
          </cell>
        </row>
        <row r="7">
          <cell r="I7">
            <v>5</v>
          </cell>
          <cell r="AK7" t="str">
            <v>cadre coef 115 / position 2.11</v>
          </cell>
          <cell r="AL7">
            <v>115</v>
          </cell>
          <cell r="AM7">
            <v>2.11</v>
          </cell>
          <cell r="BB7" t="str">
            <v xml:space="preserve">CDD été - Student fixed term contract </v>
          </cell>
          <cell r="BC7" t="str">
            <v>CDD été</v>
          </cell>
        </row>
        <row r="8">
          <cell r="I8">
            <v>6</v>
          </cell>
          <cell r="AK8" t="str">
            <v>cadre coef 120 / position 2.12</v>
          </cell>
          <cell r="AL8">
            <v>120</v>
          </cell>
          <cell r="AM8">
            <v>2.12</v>
          </cell>
        </row>
        <row r="9">
          <cell r="I9">
            <v>7</v>
          </cell>
          <cell r="AK9" t="str">
            <v>cadre coef 130 / position 2.2</v>
          </cell>
          <cell r="AL9">
            <v>130</v>
          </cell>
          <cell r="AM9">
            <v>2.2000000000000002</v>
          </cell>
        </row>
        <row r="10">
          <cell r="I10">
            <v>8</v>
          </cell>
          <cell r="AK10" t="str">
            <v>cadre coef 150 / position 2.3</v>
          </cell>
          <cell r="AL10">
            <v>150</v>
          </cell>
          <cell r="AM10">
            <v>2.2999999999999998</v>
          </cell>
        </row>
        <row r="11">
          <cell r="I11">
            <v>9</v>
          </cell>
          <cell r="AK11" t="str">
            <v>cadre coef 170 / position 3.1</v>
          </cell>
          <cell r="AL11">
            <v>170</v>
          </cell>
          <cell r="AM11">
            <v>3.1</v>
          </cell>
        </row>
        <row r="12">
          <cell r="I12">
            <v>10</v>
          </cell>
          <cell r="R12" t="str">
            <v>menu</v>
          </cell>
          <cell r="AK12" t="str">
            <v>cadre coef 190 / position 3.1</v>
          </cell>
          <cell r="AL12">
            <v>190</v>
          </cell>
          <cell r="AM12">
            <v>3.1</v>
          </cell>
        </row>
        <row r="13">
          <cell r="I13">
            <v>11</v>
          </cell>
          <cell r="R13" t="str">
            <v>Nouvelle demande de CDD = New request for Fixed Term contract</v>
          </cell>
          <cell r="S13" t="str">
            <v>Nouvelle demande de CDD</v>
          </cell>
          <cell r="AK13" t="str">
            <v>cadre coef 200 / position 3.1</v>
          </cell>
          <cell r="AL13">
            <v>200</v>
          </cell>
          <cell r="AM13">
            <v>3.1</v>
          </cell>
        </row>
        <row r="14">
          <cell r="I14">
            <v>12</v>
          </cell>
          <cell r="R14" t="str">
            <v>Demande de 1er renouvellement de CDD = Request for 1st extension or 1st renewal of Fixed Term Contract</v>
          </cell>
          <cell r="S14" t="str">
            <v>Demande de renouvellement de CDD</v>
          </cell>
          <cell r="AK14" t="str">
            <v>cadre coef 210 / position 3.2</v>
          </cell>
          <cell r="AL14">
            <v>210</v>
          </cell>
          <cell r="AM14">
            <v>3.2</v>
          </cell>
        </row>
        <row r="15">
          <cell r="I15">
            <v>13</v>
          </cell>
          <cell r="R15" t="str">
            <v>Demande de 2ème renouvellement de CDD = Request for 2nd extension or 2nd renewal of Fixed Term Contract</v>
          </cell>
          <cell r="AK15" t="str">
            <v>cadre coef 270 / position 3.3</v>
          </cell>
          <cell r="AL15">
            <v>270</v>
          </cell>
          <cell r="AM15">
            <v>3.3</v>
          </cell>
        </row>
        <row r="16">
          <cell r="I16">
            <v>14</v>
          </cell>
          <cell r="AK16" t="str">
            <v>cadre coef 290</v>
          </cell>
          <cell r="AL16">
            <v>290</v>
          </cell>
        </row>
        <row r="17">
          <cell r="I17">
            <v>15</v>
          </cell>
          <cell r="AK17" t="str">
            <v>employé coef 220 / position 1.3.1</v>
          </cell>
          <cell r="AL17">
            <v>220</v>
          </cell>
          <cell r="AM17" t="str">
            <v>1.3.1</v>
          </cell>
        </row>
        <row r="18">
          <cell r="I18">
            <v>16</v>
          </cell>
          <cell r="AK18" t="str">
            <v>employé coef 230 / position 1.3.2</v>
          </cell>
          <cell r="AL18">
            <v>230</v>
          </cell>
          <cell r="AM18" t="str">
            <v>1.3.2</v>
          </cell>
        </row>
        <row r="19">
          <cell r="I19">
            <v>17</v>
          </cell>
          <cell r="AK19" t="str">
            <v>employé coef 240 / position 1.4.1</v>
          </cell>
          <cell r="AL19">
            <v>240</v>
          </cell>
          <cell r="AM19" t="str">
            <v>1.4.1</v>
          </cell>
        </row>
        <row r="20">
          <cell r="I20">
            <v>18</v>
          </cell>
          <cell r="O20" t="str">
            <v>Temps complet - Full Time</v>
          </cell>
          <cell r="P20" t="str">
            <v>Temps complet</v>
          </cell>
          <cell r="AK20" t="str">
            <v>employé coef 250 / position 1.4.2</v>
          </cell>
          <cell r="AL20">
            <v>250</v>
          </cell>
          <cell r="AM20" t="str">
            <v>1.4.2</v>
          </cell>
        </row>
        <row r="21">
          <cell r="I21">
            <v>19</v>
          </cell>
          <cell r="O21" t="str">
            <v>Temps partiel - Part Time</v>
          </cell>
          <cell r="P21" t="str">
            <v>Temps partiel</v>
          </cell>
          <cell r="AK21" t="str">
            <v>employé coef 275 / position 2.1</v>
          </cell>
          <cell r="AL21">
            <v>275</v>
          </cell>
          <cell r="AM21">
            <v>2.1</v>
          </cell>
        </row>
        <row r="22">
          <cell r="I22">
            <v>20</v>
          </cell>
          <cell r="AK22" t="str">
            <v>employé coef 310 / position 2.2</v>
          </cell>
          <cell r="AL22">
            <v>310</v>
          </cell>
          <cell r="AM22">
            <v>2.2000000000000002</v>
          </cell>
        </row>
        <row r="23">
          <cell r="I23">
            <v>21</v>
          </cell>
          <cell r="AK23" t="str">
            <v>employé coef 355 / position 2.3</v>
          </cell>
          <cell r="AL23">
            <v>355</v>
          </cell>
          <cell r="AM23">
            <v>2.2999999999999998</v>
          </cell>
        </row>
        <row r="24">
          <cell r="I24">
            <v>22</v>
          </cell>
          <cell r="AK24" t="str">
            <v>employé coef 400 / position 3.1</v>
          </cell>
          <cell r="AL24">
            <v>400</v>
          </cell>
          <cell r="AM24">
            <v>3.1</v>
          </cell>
        </row>
        <row r="25">
          <cell r="I25">
            <v>23</v>
          </cell>
          <cell r="Q25" t="str">
            <v>janvier - January</v>
          </cell>
          <cell r="R25" t="str">
            <v>janvier</v>
          </cell>
          <cell r="AK25" t="str">
            <v>employé coef 450 / position 3.2</v>
          </cell>
          <cell r="AL25">
            <v>450</v>
          </cell>
          <cell r="AM25">
            <v>3.2</v>
          </cell>
        </row>
        <row r="26">
          <cell r="I26">
            <v>24</v>
          </cell>
          <cell r="Q26" t="str">
            <v>février - February</v>
          </cell>
          <cell r="R26" t="str">
            <v>février</v>
          </cell>
          <cell r="AK26" t="str">
            <v>employé coef 500 / position 3.3</v>
          </cell>
          <cell r="AL26">
            <v>500</v>
          </cell>
          <cell r="AM26">
            <v>3.3</v>
          </cell>
        </row>
        <row r="27">
          <cell r="I27">
            <v>25</v>
          </cell>
          <cell r="Q27" t="str">
            <v>mars - March</v>
          </cell>
          <cell r="R27" t="str">
            <v>mars</v>
          </cell>
        </row>
        <row r="28">
          <cell r="I28">
            <v>26</v>
          </cell>
          <cell r="Q28" t="str">
            <v>avril - April</v>
          </cell>
          <cell r="R28" t="str">
            <v>avril</v>
          </cell>
        </row>
        <row r="29">
          <cell r="I29">
            <v>27</v>
          </cell>
          <cell r="Q29" t="str">
            <v>mai - May</v>
          </cell>
          <cell r="R29" t="str">
            <v>mai</v>
          </cell>
        </row>
        <row r="30">
          <cell r="I30">
            <v>28</v>
          </cell>
          <cell r="Q30" t="str">
            <v>juin - June</v>
          </cell>
          <cell r="R30" t="str">
            <v>juin</v>
          </cell>
        </row>
        <row r="31">
          <cell r="I31">
            <v>29</v>
          </cell>
          <cell r="Q31" t="str">
            <v>juillet - July</v>
          </cell>
          <cell r="R31" t="str">
            <v>juillet</v>
          </cell>
        </row>
        <row r="32">
          <cell r="I32">
            <v>30</v>
          </cell>
          <cell r="Q32" t="str">
            <v>août - August</v>
          </cell>
          <cell r="R32" t="str">
            <v>août</v>
          </cell>
        </row>
        <row r="33">
          <cell r="I33">
            <v>31</v>
          </cell>
          <cell r="Q33" t="str">
            <v>septembre - September</v>
          </cell>
          <cell r="R33" t="str">
            <v>septembre</v>
          </cell>
        </row>
        <row r="34">
          <cell r="Q34" t="str">
            <v>octobre - October</v>
          </cell>
          <cell r="R34" t="str">
            <v>octobre</v>
          </cell>
        </row>
        <row r="35">
          <cell r="Q35" t="str">
            <v>novembre - November</v>
          </cell>
          <cell r="R35" t="str">
            <v>novembre</v>
          </cell>
        </row>
        <row r="36">
          <cell r="Q36" t="str">
            <v>décembre - December</v>
          </cell>
          <cell r="R36" t="str">
            <v>décembre</v>
          </cell>
        </row>
        <row r="39">
          <cell r="Q39" t="str">
            <v>janvier - January</v>
          </cell>
          <cell r="R39" t="str">
            <v>January</v>
          </cell>
        </row>
        <row r="40">
          <cell r="Q40" t="str">
            <v>février - February</v>
          </cell>
          <cell r="R40" t="str">
            <v>February</v>
          </cell>
        </row>
        <row r="41">
          <cell r="Q41" t="str">
            <v>mars - March</v>
          </cell>
          <cell r="R41" t="str">
            <v>March</v>
          </cell>
        </row>
        <row r="42">
          <cell r="Q42" t="str">
            <v>avril - April</v>
          </cell>
          <cell r="R42" t="str">
            <v>April</v>
          </cell>
        </row>
        <row r="43">
          <cell r="Q43" t="str">
            <v>mai - May</v>
          </cell>
          <cell r="R43" t="str">
            <v>May</v>
          </cell>
        </row>
        <row r="44">
          <cell r="Q44" t="str">
            <v>juin - June</v>
          </cell>
          <cell r="R44" t="str">
            <v>June</v>
          </cell>
        </row>
        <row r="45">
          <cell r="Q45" t="str">
            <v>juillet - July</v>
          </cell>
          <cell r="R45" t="str">
            <v>July</v>
          </cell>
        </row>
        <row r="46">
          <cell r="Q46" t="str">
            <v>août - August</v>
          </cell>
          <cell r="R46" t="str">
            <v>August</v>
          </cell>
        </row>
        <row r="47">
          <cell r="Q47" t="str">
            <v>septembre - September</v>
          </cell>
          <cell r="R47" t="str">
            <v>September</v>
          </cell>
        </row>
        <row r="48">
          <cell r="Q48" t="str">
            <v>octobre - October</v>
          </cell>
          <cell r="R48" t="str">
            <v>October</v>
          </cell>
        </row>
        <row r="49">
          <cell r="Q49" t="str">
            <v>novembre - November</v>
          </cell>
          <cell r="R49" t="str">
            <v>November</v>
          </cell>
        </row>
        <row r="50">
          <cell r="Q50" t="str">
            <v>décembre - December</v>
          </cell>
          <cell r="R50" t="str">
            <v>December</v>
          </cell>
        </row>
        <row r="102">
          <cell r="AC102" t="str">
            <v>Sans indemnite - Without allowance</v>
          </cell>
          <cell r="AD102" t="str">
            <v>Sans indemnite</v>
          </cell>
        </row>
        <row r="103">
          <cell r="AC103" t="str">
            <v>Indemnite mensuelle - Monthly</v>
          </cell>
          <cell r="AD103" t="str">
            <v>Indemnite mensuelle</v>
          </cell>
        </row>
        <row r="109">
          <cell r="AC109" t="str">
            <v>Titre Restaurants (TR) - Meal Ticket</v>
          </cell>
          <cell r="AD109" t="str">
            <v>Titre Restaurants (TR)</v>
          </cell>
        </row>
        <row r="110">
          <cell r="AC110" t="str">
            <v>Non Applicable - Not Applicable</v>
          </cell>
          <cell r="AD110" t="str">
            <v>Non Applicable</v>
          </cell>
        </row>
        <row r="181">
          <cell r="AY181" t="str">
            <v>URSAFF NAME</v>
          </cell>
          <cell r="AZ181" t="str">
            <v>URSSAF NUMBER</v>
          </cell>
        </row>
        <row r="182">
          <cell r="AY182" t="str">
            <v>de Courbevoie</v>
          </cell>
          <cell r="AZ182" t="str">
            <v>116000001489543338</v>
          </cell>
        </row>
        <row r="183">
          <cell r="AY183" t="str">
            <v>de Courbevoie</v>
          </cell>
          <cell r="AZ183" t="str">
            <v>116000001489543403</v>
          </cell>
        </row>
        <row r="184">
          <cell r="AY184" t="str">
            <v xml:space="preserve">de Lyon </v>
          </cell>
          <cell r="AZ184" t="str">
            <v>116000001489543429</v>
          </cell>
        </row>
        <row r="185">
          <cell r="AY185" t="str">
            <v>d'Aix en Provence</v>
          </cell>
          <cell r="AZ185" t="str">
            <v>116000001489212054</v>
          </cell>
        </row>
        <row r="186">
          <cell r="AY186" t="str">
            <v>d'Amiens</v>
          </cell>
          <cell r="AZ186" t="str">
            <v>116000001489214332</v>
          </cell>
        </row>
        <row r="187">
          <cell r="AY187" t="str">
            <v>de Toulouse</v>
          </cell>
          <cell r="AZ187" t="str">
            <v>116000001489212237</v>
          </cell>
        </row>
        <row r="188">
          <cell r="AY188" t="str">
            <v>de Brest</v>
          </cell>
          <cell r="AZ188" t="str">
            <v>116000001489212062</v>
          </cell>
        </row>
        <row r="189">
          <cell r="AY189" t="str">
            <v>de Nantes</v>
          </cell>
          <cell r="AZ189" t="str">
            <v>116000001489212039</v>
          </cell>
        </row>
        <row r="190">
          <cell r="AY190" t="str">
            <v>de Montpellier</v>
          </cell>
          <cell r="AZ190" t="str">
            <v>116000001489212260</v>
          </cell>
        </row>
        <row r="191">
          <cell r="AY191" t="str">
            <v>de Montpellier</v>
          </cell>
          <cell r="AZ191" t="str">
            <v>116000001489212260</v>
          </cell>
        </row>
        <row r="192">
          <cell r="AY192" t="str">
            <v>de Clermont Ferrand</v>
          </cell>
          <cell r="AZ192" t="str">
            <v>116000001489212021</v>
          </cell>
        </row>
        <row r="193">
          <cell r="AY193" t="str">
            <v>de Grenoble</v>
          </cell>
          <cell r="AZ193" t="str">
            <v>116000001489212245</v>
          </cell>
        </row>
        <row r="194">
          <cell r="AY194" t="str">
            <v>de Strasbourg</v>
          </cell>
          <cell r="AZ194" t="str">
            <v>116000001489212047</v>
          </cell>
        </row>
        <row r="195">
          <cell r="AY195" t="str">
            <v>de  Bordeaux</v>
          </cell>
          <cell r="AZ195" t="str">
            <v>116000001489212286</v>
          </cell>
        </row>
        <row r="196">
          <cell r="AZ196" t="str">
            <v>116000001489212013</v>
          </cell>
        </row>
        <row r="197">
          <cell r="AZ197" t="str">
            <v>116000001489207468</v>
          </cell>
        </row>
        <row r="198">
          <cell r="AZ198" t="str">
            <v>116000001489207492</v>
          </cell>
        </row>
        <row r="199">
          <cell r="AY199" t="str">
            <v>d'Orléans</v>
          </cell>
          <cell r="AZ199" t="str">
            <v>116000001489212070</v>
          </cell>
        </row>
        <row r="200">
          <cell r="AY200" t="str">
            <v>de Lille</v>
          </cell>
          <cell r="AZ200" t="str">
            <v>116000001489212013</v>
          </cell>
        </row>
        <row r="201">
          <cell r="AY201" t="str">
            <v xml:space="preserve">de Lyon </v>
          </cell>
          <cell r="AZ201" t="str">
            <v>116000001489212278</v>
          </cell>
        </row>
        <row r="202">
          <cell r="AY202" t="str">
            <v>de Niort</v>
          </cell>
          <cell r="AZ202" t="str">
            <v>116000001489207443</v>
          </cell>
        </row>
        <row r="203">
          <cell r="AY203" t="str">
            <v>d'Orléans</v>
          </cell>
          <cell r="AZ203" t="str">
            <v>116000001489212252</v>
          </cell>
        </row>
        <row r="204">
          <cell r="AY204" t="str">
            <v>de Pau</v>
          </cell>
          <cell r="AZ204" t="str">
            <v>116000001489207385</v>
          </cell>
        </row>
        <row r="205">
          <cell r="AY205" t="str">
            <v>de Rennes</v>
          </cell>
          <cell r="AZ205" t="str">
            <v>116000001489207427</v>
          </cell>
        </row>
        <row r="206">
          <cell r="AY206" t="str">
            <v>de Valbonne</v>
          </cell>
          <cell r="AZ206" t="str">
            <v>116000001489543379</v>
          </cell>
        </row>
        <row r="207">
          <cell r="AY207" t="str">
            <v>de Courbevoie</v>
          </cell>
        </row>
        <row r="208">
          <cell r="AY208" t="str">
            <v>de Saint Denis</v>
          </cell>
        </row>
        <row r="209">
          <cell r="AY209" t="str">
            <v>de Courbevoie</v>
          </cell>
        </row>
        <row r="276">
          <cell r="A276" t="str">
            <v>Oui - Yes</v>
          </cell>
          <cell r="B276" t="str">
            <v xml:space="preserve">Oui </v>
          </cell>
        </row>
        <row r="277">
          <cell r="A277" t="str">
            <v>Non- No</v>
          </cell>
          <cell r="B277" t="str">
            <v>Non</v>
          </cell>
        </row>
        <row r="278">
          <cell r="A278" t="str">
            <v>Non Applicable - Not Applicable</v>
          </cell>
          <cell r="B278" t="str">
            <v xml:space="preserve">Non Applicable </v>
          </cell>
        </row>
        <row r="281">
          <cell r="A281" t="str">
            <v>Oui - Yes</v>
          </cell>
          <cell r="B281" t="str">
            <v xml:space="preserve">Oui </v>
          </cell>
        </row>
        <row r="282">
          <cell r="A282" t="str">
            <v>Non - No</v>
          </cell>
          <cell r="B282" t="str">
            <v>Non</v>
          </cell>
        </row>
        <row r="287">
          <cell r="AO287" t="str">
            <v>menu</v>
          </cell>
        </row>
        <row r="288">
          <cell r="AO288" t="str">
            <v>I</v>
          </cell>
        </row>
        <row r="289">
          <cell r="AO289" t="str">
            <v>II</v>
          </cell>
        </row>
        <row r="290">
          <cell r="AO290" t="str">
            <v>III</v>
          </cell>
        </row>
        <row r="291">
          <cell r="AO291" t="str">
            <v>IV</v>
          </cell>
        </row>
        <row r="292">
          <cell r="AO292" t="str">
            <v>V</v>
          </cell>
        </row>
        <row r="293">
          <cell r="AO293" t="str">
            <v>VI</v>
          </cell>
        </row>
        <row r="294">
          <cell r="AO294" t="str">
            <v>VII</v>
          </cell>
        </row>
        <row r="295">
          <cell r="AO295" t="str">
            <v xml:space="preserve">Hors Cible </v>
          </cell>
        </row>
        <row r="347">
          <cell r="K347" t="str">
            <v>menu</v>
          </cell>
        </row>
        <row r="348">
          <cell r="K348" t="str">
            <v>Bids</v>
          </cell>
          <cell r="L348" t="str">
            <v>Bids</v>
          </cell>
        </row>
        <row r="349">
          <cell r="K349" t="str">
            <v>Marketing</v>
          </cell>
          <cell r="L349" t="str">
            <v>Marketing</v>
          </cell>
        </row>
        <row r="350">
          <cell r="K350" t="str">
            <v>Delivery</v>
          </cell>
          <cell r="L350" t="str">
            <v>Delivery</v>
          </cell>
        </row>
        <row r="351">
          <cell r="K351" t="str">
            <v>Legal</v>
          </cell>
          <cell r="L351" t="str">
            <v>Legal</v>
          </cell>
        </row>
        <row r="352">
          <cell r="K352" t="str">
            <v>Procurement</v>
          </cell>
          <cell r="L352" t="str">
            <v>Procurement</v>
          </cell>
        </row>
        <row r="353">
          <cell r="K353" t="str">
            <v>Quality Assurance</v>
          </cell>
          <cell r="L353" t="str">
            <v>Quality Assurance</v>
          </cell>
        </row>
        <row r="354">
          <cell r="K354" t="str">
            <v>Sales</v>
          </cell>
          <cell r="L354" t="str">
            <v>Sales</v>
          </cell>
        </row>
        <row r="355">
          <cell r="K355" t="str">
            <v>Management</v>
          </cell>
          <cell r="L355" t="str">
            <v>Management</v>
          </cell>
        </row>
        <row r="356">
          <cell r="K356" t="str">
            <v>Finance</v>
          </cell>
          <cell r="L356" t="str">
            <v>Finance</v>
          </cell>
        </row>
        <row r="357">
          <cell r="K357" t="str">
            <v>HR</v>
          </cell>
          <cell r="L357" t="str">
            <v>HR</v>
          </cell>
        </row>
        <row r="358">
          <cell r="K358" t="str">
            <v>RandD</v>
          </cell>
          <cell r="L358" t="str">
            <v>RandD</v>
          </cell>
        </row>
        <row r="359">
          <cell r="K359" t="str">
            <v>Facilities</v>
          </cell>
          <cell r="L359" t="str">
            <v>Facilities</v>
          </cell>
        </row>
        <row r="360">
          <cell r="K360" t="str">
            <v>ISD</v>
          </cell>
          <cell r="L360" t="str">
            <v>ISD</v>
          </cell>
        </row>
        <row r="1258">
          <cell r="K1258" t="str">
            <v>PPP - Plan de Participation aux Profits</v>
          </cell>
          <cell r="L1258" t="str">
            <v>PPP - Plan de Participation aux Profits</v>
          </cell>
        </row>
        <row r="1259">
          <cell r="K1259" t="str">
            <v>Prime sur objectifs pour SALES (filière SAM)</v>
          </cell>
          <cell r="L1259" t="str">
            <v>Prime sur objectifs pour SALES (filière SAM)</v>
          </cell>
        </row>
        <row r="1260">
          <cell r="K1260" t="str">
            <v>Non applicable - Not applicable</v>
          </cell>
          <cell r="L1260" t="str">
            <v>Non applicable</v>
          </cell>
        </row>
        <row r="2477">
          <cell r="K2477" t="str">
            <v>Partiellement - Partly</v>
          </cell>
          <cell r="L2477" t="str">
            <v>Partiellement</v>
          </cell>
        </row>
        <row r="2478">
          <cell r="K2478" t="str">
            <v>Totalement - Fully</v>
          </cell>
          <cell r="L2478" t="str">
            <v>Totalement</v>
          </cell>
        </row>
      </sheetData>
      <sheetData sheetId="7">
        <row r="3">
          <cell r="E3" t="str">
            <v>menu</v>
          </cell>
        </row>
        <row r="4">
          <cell r="E4" t="str">
            <v>Ain</v>
          </cell>
        </row>
        <row r="5">
          <cell r="E5" t="str">
            <v>Aisne</v>
          </cell>
        </row>
        <row r="6">
          <cell r="E6" t="str">
            <v>Allier</v>
          </cell>
        </row>
        <row r="7">
          <cell r="E7" t="str">
            <v>Alpes de Haute Provence</v>
          </cell>
        </row>
        <row r="8">
          <cell r="E8" t="str">
            <v>Hautes Alpes</v>
          </cell>
        </row>
        <row r="9">
          <cell r="E9" t="str">
            <v>Alpes Maritimes</v>
          </cell>
        </row>
        <row r="10">
          <cell r="E10" t="str">
            <v>Ardeche</v>
          </cell>
        </row>
        <row r="11">
          <cell r="E11" t="str">
            <v>Ardennes</v>
          </cell>
        </row>
        <row r="12">
          <cell r="E12" t="str">
            <v>Ariege</v>
          </cell>
        </row>
        <row r="13">
          <cell r="E13" t="str">
            <v>Aube</v>
          </cell>
        </row>
        <row r="14">
          <cell r="E14" t="str">
            <v>Aude</v>
          </cell>
        </row>
        <row r="15">
          <cell r="E15" t="str">
            <v>Aveyron</v>
          </cell>
        </row>
        <row r="16">
          <cell r="E16" t="str">
            <v>Bouches-du-Rhône</v>
          </cell>
        </row>
        <row r="17">
          <cell r="E17" t="str">
            <v>Calvados</v>
          </cell>
        </row>
        <row r="18">
          <cell r="E18" t="str">
            <v>Cantal</v>
          </cell>
        </row>
        <row r="19">
          <cell r="E19" t="str">
            <v>Charente</v>
          </cell>
        </row>
        <row r="20">
          <cell r="E20" t="str">
            <v>Charente-Maritime</v>
          </cell>
        </row>
        <row r="21">
          <cell r="E21" t="str">
            <v>Cher</v>
          </cell>
          <cell r="H21" t="str">
            <v>menu</v>
          </cell>
        </row>
        <row r="22">
          <cell r="E22" t="str">
            <v>Corrèze</v>
          </cell>
          <cell r="H22" t="str">
            <v xml:space="preserve">Business Consulting </v>
          </cell>
        </row>
        <row r="23">
          <cell r="E23" t="str">
            <v>Corse</v>
          </cell>
          <cell r="H23" t="str">
            <v>CPG Retail Manufacturing</v>
          </cell>
        </row>
        <row r="24">
          <cell r="E24" t="str">
            <v>Côte-d'Or</v>
          </cell>
          <cell r="H24" t="str">
            <v>Energy &amp; Utilities /Telecoms</v>
          </cell>
        </row>
        <row r="25">
          <cell r="E25" t="str">
            <v>Côtes-d'Armor</v>
          </cell>
          <cell r="H25" t="str">
            <v>Financial Services / Infrastructure Services</v>
          </cell>
        </row>
        <row r="26">
          <cell r="E26" t="str">
            <v>Creuse</v>
          </cell>
          <cell r="H26" t="str">
            <v>Global Delivery Center</v>
          </cell>
        </row>
        <row r="27">
          <cell r="E27" t="str">
            <v>Dordogne</v>
          </cell>
          <cell r="H27" t="str">
            <v>Grand Est</v>
          </cell>
        </row>
        <row r="28">
          <cell r="E28" t="str">
            <v>Doubs</v>
          </cell>
          <cell r="H28" t="str">
            <v>Grand Ouest</v>
          </cell>
        </row>
        <row r="29">
          <cell r="E29" t="str">
            <v>Drôme</v>
          </cell>
          <cell r="H29" t="str">
            <v>ICE</v>
          </cell>
        </row>
        <row r="30">
          <cell r="E30" t="str">
            <v>Eure</v>
          </cell>
          <cell r="H30" t="str">
            <v>Nord</v>
          </cell>
        </row>
        <row r="31">
          <cell r="E31" t="str">
            <v>Eure-et-Loir</v>
          </cell>
          <cell r="H31" t="str">
            <v>Public Sector / HR / Transportation</v>
          </cell>
        </row>
        <row r="32">
          <cell r="E32" t="str">
            <v>Finistère</v>
          </cell>
          <cell r="H32" t="str">
            <v>Grand Sud</v>
          </cell>
        </row>
        <row r="33">
          <cell r="E33" t="str">
            <v>Corse-du-Sud</v>
          </cell>
        </row>
        <row r="34">
          <cell r="E34" t="str">
            <v>Haute-Corse</v>
          </cell>
        </row>
        <row r="35">
          <cell r="E35" t="str">
            <v>Gard</v>
          </cell>
        </row>
        <row r="36">
          <cell r="E36" t="str">
            <v>Haute-Garonne</v>
          </cell>
        </row>
        <row r="37">
          <cell r="E37" t="str">
            <v>Gers</v>
          </cell>
        </row>
        <row r="38">
          <cell r="E38" t="str">
            <v>Gironde</v>
          </cell>
        </row>
        <row r="39">
          <cell r="E39" t="str">
            <v>Hérault</v>
          </cell>
        </row>
        <row r="40">
          <cell r="E40" t="str">
            <v>Ille-et-Vilaine</v>
          </cell>
        </row>
        <row r="41">
          <cell r="E41" t="str">
            <v>Indre</v>
          </cell>
        </row>
        <row r="42">
          <cell r="E42" t="str">
            <v>Indre-et-Loire</v>
          </cell>
        </row>
        <row r="43">
          <cell r="E43" t="str">
            <v>Isère</v>
          </cell>
        </row>
        <row r="44">
          <cell r="E44" t="str">
            <v>Jura</v>
          </cell>
        </row>
        <row r="45">
          <cell r="E45" t="str">
            <v>Landes</v>
          </cell>
        </row>
        <row r="46">
          <cell r="E46" t="str">
            <v>Loir-et-Cher</v>
          </cell>
        </row>
        <row r="47">
          <cell r="E47" t="str">
            <v>Loire</v>
          </cell>
        </row>
        <row r="48">
          <cell r="E48" t="str">
            <v>Haute-Loire</v>
          </cell>
        </row>
        <row r="49">
          <cell r="E49" t="str">
            <v>Loire-Atlantique</v>
          </cell>
        </row>
        <row r="50">
          <cell r="E50" t="str">
            <v>Loiret</v>
          </cell>
        </row>
        <row r="51">
          <cell r="E51" t="str">
            <v>Lot</v>
          </cell>
        </row>
        <row r="52">
          <cell r="E52" t="str">
            <v>Lot-et-Garonne</v>
          </cell>
        </row>
        <row r="53">
          <cell r="E53" t="str">
            <v>Lozère</v>
          </cell>
        </row>
        <row r="54">
          <cell r="E54" t="str">
            <v>Maine-et-Loire</v>
          </cell>
        </row>
        <row r="55">
          <cell r="E55" t="str">
            <v>Manche</v>
          </cell>
        </row>
        <row r="56">
          <cell r="E56" t="str">
            <v>Marne</v>
          </cell>
        </row>
        <row r="57">
          <cell r="E57" t="str">
            <v>Haute-Marne</v>
          </cell>
        </row>
        <row r="58">
          <cell r="E58" t="str">
            <v>Mayenne</v>
          </cell>
        </row>
        <row r="59">
          <cell r="E59" t="str">
            <v>Meurthe-et-Moselle</v>
          </cell>
        </row>
        <row r="60">
          <cell r="E60" t="str">
            <v>Meuse</v>
          </cell>
        </row>
        <row r="61">
          <cell r="E61" t="str">
            <v>Morbihan</v>
          </cell>
        </row>
        <row r="62">
          <cell r="E62" t="str">
            <v>Moselle</v>
          </cell>
        </row>
        <row r="63">
          <cell r="E63" t="str">
            <v>Nièvre</v>
          </cell>
        </row>
        <row r="64">
          <cell r="E64" t="str">
            <v>Nord</v>
          </cell>
        </row>
        <row r="65">
          <cell r="E65" t="str">
            <v>Oise</v>
          </cell>
        </row>
        <row r="66">
          <cell r="E66" t="str">
            <v>Orne</v>
          </cell>
        </row>
        <row r="67">
          <cell r="E67" t="str">
            <v>Pas-de-Calais</v>
          </cell>
        </row>
        <row r="68">
          <cell r="E68" t="str">
            <v>Puy-de-Dôme</v>
          </cell>
        </row>
        <row r="69">
          <cell r="E69" t="str">
            <v>Pyrénées-Atlantiques</v>
          </cell>
        </row>
        <row r="70">
          <cell r="E70" t="str">
            <v>Hautes-Pyrénées</v>
          </cell>
        </row>
        <row r="71">
          <cell r="E71" t="str">
            <v>Pyrénées-Orientales</v>
          </cell>
        </row>
        <row r="72">
          <cell r="E72" t="str">
            <v>Bas-Rhin</v>
          </cell>
        </row>
        <row r="73">
          <cell r="E73" t="str">
            <v>Haut-Rhin</v>
          </cell>
        </row>
        <row r="74">
          <cell r="E74" t="str">
            <v>Rhône</v>
          </cell>
        </row>
        <row r="75">
          <cell r="E75" t="str">
            <v>Haute-Saône</v>
          </cell>
        </row>
        <row r="76">
          <cell r="E76" t="str">
            <v>Saône-et-Loire</v>
          </cell>
        </row>
        <row r="77">
          <cell r="E77" t="str">
            <v>Sarthe</v>
          </cell>
        </row>
        <row r="78">
          <cell r="E78" t="str">
            <v>Savoie</v>
          </cell>
        </row>
        <row r="79">
          <cell r="E79" t="str">
            <v>Haute-Savoie</v>
          </cell>
        </row>
        <row r="80">
          <cell r="E80" t="str">
            <v>Paris</v>
          </cell>
        </row>
        <row r="81">
          <cell r="E81" t="str">
            <v>Seine-Maritime</v>
          </cell>
        </row>
        <row r="82">
          <cell r="E82" t="str">
            <v>Seine-et-Marne</v>
          </cell>
        </row>
        <row r="83">
          <cell r="E83" t="str">
            <v>Yvelines</v>
          </cell>
        </row>
        <row r="84">
          <cell r="E84" t="str">
            <v>Deux-Sevres</v>
          </cell>
        </row>
        <row r="85">
          <cell r="E85" t="str">
            <v>Somme</v>
          </cell>
        </row>
        <row r="86">
          <cell r="E86" t="str">
            <v>Tarn</v>
          </cell>
        </row>
        <row r="87">
          <cell r="E87" t="str">
            <v>Tarn-et-Garonne</v>
          </cell>
        </row>
        <row r="88">
          <cell r="E88" t="str">
            <v>Var</v>
          </cell>
        </row>
        <row r="89">
          <cell r="E89" t="str">
            <v>Vaucluse</v>
          </cell>
        </row>
        <row r="90">
          <cell r="E90" t="str">
            <v>Vendée</v>
          </cell>
        </row>
        <row r="91">
          <cell r="E91" t="str">
            <v>Vienne</v>
          </cell>
        </row>
        <row r="92">
          <cell r="E92" t="str">
            <v>Haute-Vienne</v>
          </cell>
        </row>
        <row r="93">
          <cell r="E93" t="str">
            <v>Vosges</v>
          </cell>
        </row>
        <row r="94">
          <cell r="E94" t="str">
            <v>Yonne</v>
          </cell>
        </row>
        <row r="95">
          <cell r="E95" t="str">
            <v>Territoire de Belfort</v>
          </cell>
        </row>
        <row r="96">
          <cell r="E96" t="str">
            <v>Essonne</v>
          </cell>
        </row>
        <row r="97">
          <cell r="E97" t="str">
            <v>Hauts-de-Seine</v>
          </cell>
        </row>
        <row r="98">
          <cell r="E98" t="str">
            <v>Seine-Saint-Denis</v>
          </cell>
        </row>
        <row r="99">
          <cell r="E99" t="str">
            <v>Val-de-Marne</v>
          </cell>
        </row>
        <row r="100">
          <cell r="E100" t="str">
            <v>Val-d'Oise</v>
          </cell>
        </row>
        <row r="101">
          <cell r="E101" t="str">
            <v>Guadeloupe</v>
          </cell>
        </row>
        <row r="102">
          <cell r="E102" t="str">
            <v>Martinique</v>
          </cell>
        </row>
        <row r="103">
          <cell r="E103" t="str">
            <v>Guyane</v>
          </cell>
        </row>
        <row r="104">
          <cell r="E104" t="str">
            <v>Réunion</v>
          </cell>
        </row>
        <row r="105">
          <cell r="E105" t="str">
            <v>Saint-Pierre-et-Miquelon</v>
          </cell>
        </row>
        <row r="106">
          <cell r="E106" t="str">
            <v>Terres australes françaises</v>
          </cell>
        </row>
        <row r="107">
          <cell r="E107" t="str">
            <v>Mayotte</v>
          </cell>
        </row>
        <row r="108">
          <cell r="E108" t="str">
            <v>Wallis-et-Futuna</v>
          </cell>
        </row>
        <row r="109">
          <cell r="E109" t="str">
            <v>Polynésie française</v>
          </cell>
        </row>
        <row r="110">
          <cell r="E110" t="str">
            <v>Nouvelle-Calédonie</v>
          </cell>
        </row>
        <row r="111">
          <cell r="E111" t="str">
            <v>Étranger (hors France)</v>
          </cell>
        </row>
      </sheetData>
      <sheetData sheetId="8">
        <row r="162">
          <cell r="A162" t="str">
            <v>menu</v>
          </cell>
        </row>
        <row r="163">
          <cell r="A163">
            <v>1</v>
          </cell>
        </row>
        <row r="164">
          <cell r="A164">
            <v>1.1000000000000001</v>
          </cell>
        </row>
        <row r="165">
          <cell r="A165">
            <v>1.2</v>
          </cell>
        </row>
        <row r="166">
          <cell r="A166">
            <v>1.3</v>
          </cell>
        </row>
        <row r="167">
          <cell r="A167">
            <v>2</v>
          </cell>
        </row>
        <row r="168">
          <cell r="A168">
            <v>3</v>
          </cell>
        </row>
        <row r="169">
          <cell r="A169">
            <v>4</v>
          </cell>
        </row>
        <row r="170">
          <cell r="A170">
            <v>5</v>
          </cell>
        </row>
        <row r="171">
          <cell r="A171">
            <v>6</v>
          </cell>
        </row>
        <row r="172">
          <cell r="A172">
            <v>7</v>
          </cell>
        </row>
        <row r="173">
          <cell r="A173">
            <v>8</v>
          </cell>
        </row>
        <row r="174">
          <cell r="A174">
            <v>9</v>
          </cell>
        </row>
        <row r="175">
          <cell r="A175">
            <v>10</v>
          </cell>
        </row>
        <row r="176">
          <cell r="A176">
            <v>11</v>
          </cell>
        </row>
        <row r="177">
          <cell r="A177">
            <v>12</v>
          </cell>
        </row>
        <row r="178">
          <cell r="A178">
            <v>13</v>
          </cell>
        </row>
        <row r="267">
          <cell r="A267" t="str">
            <v>menu</v>
          </cell>
        </row>
        <row r="268">
          <cell r="A268" t="str">
            <v>Analyste</v>
          </cell>
        </row>
        <row r="269">
          <cell r="A269" t="str">
            <v>Développeur(euse)</v>
          </cell>
        </row>
        <row r="270">
          <cell r="A270" t="str">
            <v>Consultant(e) Digital &amp; Data</v>
          </cell>
        </row>
        <row r="271">
          <cell r="A271" t="str">
            <v>Manager Digital &amp; Data</v>
          </cell>
        </row>
        <row r="272">
          <cell r="A272" t="str">
            <v>Directeur(trice) Conseil Delivery</v>
          </cell>
        </row>
        <row r="273">
          <cell r="A273" t="str">
            <v>Directeur(trice) Conseil Expert</v>
          </cell>
        </row>
        <row r="274">
          <cell r="A274" t="str">
            <v>Directeur(trice) Conseil Expert Senior</v>
          </cell>
        </row>
        <row r="275">
          <cell r="A275" t="str">
            <v>Directeur(trice) Services Conseils</v>
          </cell>
        </row>
        <row r="276">
          <cell r="A276" t="str">
            <v>Consultant(e) Fonctionnel &amp; Méthodologie</v>
          </cell>
        </row>
        <row r="277">
          <cell r="A277" t="str">
            <v>Manager Fonctionnel &amp; Méthodologie</v>
          </cell>
        </row>
        <row r="278">
          <cell r="A278" t="str">
            <v>Ingénieur(e) en Technologie de l’Information</v>
          </cell>
        </row>
        <row r="279">
          <cell r="A279" t="str">
            <v>Technicien(ne) informatique Junior</v>
          </cell>
        </row>
        <row r="280">
          <cell r="A280" t="str">
            <v>Consultant(e) Junior Digital &amp; Data</v>
          </cell>
        </row>
        <row r="281">
          <cell r="A281" t="str">
            <v>Consultant(e) Junior Fonctionnel &amp; Méthodologie</v>
          </cell>
        </row>
        <row r="282">
          <cell r="A282" t="str">
            <v>Développeur(euse) Junior</v>
          </cell>
        </row>
        <row r="283">
          <cell r="A283" t="str">
            <v>Ingénieur(e) en Technologie de l’Information Junior</v>
          </cell>
        </row>
        <row r="284">
          <cell r="A284" t="str">
            <v>Consultant(e) Junior en Management</v>
          </cell>
        </row>
        <row r="285">
          <cell r="A285" t="str">
            <v>Consultant(e) Junior en Management Débutant</v>
          </cell>
        </row>
        <row r="286">
          <cell r="A286" t="str">
            <v xml:space="preserve">Consultant(e) Junior Solution </v>
          </cell>
        </row>
        <row r="287">
          <cell r="A287" t="str">
            <v>Ingénieur(e) Support Junior</v>
          </cell>
        </row>
        <row r="288">
          <cell r="A288" t="str">
            <v>Agent(e) de Support Junior</v>
          </cell>
        </row>
        <row r="289">
          <cell r="A289" t="str">
            <v>Technicien(ne) Support Junior</v>
          </cell>
        </row>
        <row r="290">
          <cell r="A290" t="str">
            <v>Technicien(ne) Support Expert Junior</v>
          </cell>
        </row>
        <row r="291">
          <cell r="A291" t="str">
            <v>Ingénieur(e) Technique Junior</v>
          </cell>
        </row>
        <row r="292">
          <cell r="A292" t="str">
            <v xml:space="preserve">Expert(e) technique Junior </v>
          </cell>
        </row>
        <row r="293">
          <cell r="A293" t="str">
            <v>Expert(e) technique Junior Archi. applicative &amp; dév</v>
          </cell>
        </row>
        <row r="294">
          <cell r="A294" t="str">
            <v>Expert(e)  technique Junior Infra/Sécu/Réseau</v>
          </cell>
        </row>
        <row r="295">
          <cell r="A295" t="str">
            <v>Testeur/testeuse Junior</v>
          </cell>
        </row>
        <row r="296">
          <cell r="A296" t="str">
            <v>Technicien(ne) Testeur Junior</v>
          </cell>
        </row>
        <row r="297">
          <cell r="A297" t="str">
            <v>Consultant(e) en Management</v>
          </cell>
        </row>
        <row r="298">
          <cell r="A298" t="str">
            <v>Manager Conseil en Management</v>
          </cell>
        </row>
        <row r="299">
          <cell r="A299" t="str">
            <v>Directeur(trice) de Projets</v>
          </cell>
        </row>
        <row r="300">
          <cell r="A300" t="str">
            <v>Chargé(e) de Projets</v>
          </cell>
        </row>
        <row r="301">
          <cell r="A301" t="str">
            <v>Chef(fe) de Projets</v>
          </cell>
        </row>
        <row r="302">
          <cell r="A302" t="str">
            <v>Consultant(e) Senior Digital &amp; Data</v>
          </cell>
        </row>
        <row r="303">
          <cell r="A303" t="str">
            <v>Consultant(e) Senior Fonctionnel &amp; Méthodologie</v>
          </cell>
        </row>
        <row r="304">
          <cell r="A304" t="str">
            <v>Consultant(e) Sénior en Management</v>
          </cell>
        </row>
        <row r="305">
          <cell r="A305" t="str">
            <v>Directeur(trice) de Projet Sénior</v>
          </cell>
        </row>
        <row r="306">
          <cell r="A306" t="str">
            <v xml:space="preserve">Manager de Projet </v>
          </cell>
        </row>
        <row r="307">
          <cell r="A307" t="str">
            <v>Directeur(trice) des Services Applicatifs Sénior</v>
          </cell>
        </row>
        <row r="308">
          <cell r="A308" t="str">
            <v xml:space="preserve">Manager des Services Applicatifs
</v>
          </cell>
        </row>
        <row r="309">
          <cell r="A309" t="str">
            <v>Consultant(e) Senior Solution</v>
          </cell>
        </row>
        <row r="310">
          <cell r="A310" t="str">
            <v>Expert(e) Technique Senior</v>
          </cell>
        </row>
        <row r="311">
          <cell r="A311" t="str">
            <v>Expert(e) Technique Senior Archi. applicative &amp; dév</v>
          </cell>
        </row>
        <row r="312">
          <cell r="A312" t="str">
            <v>Expert(e) Technique Senior  Infra/Sécu/Réseau</v>
          </cell>
        </row>
        <row r="313">
          <cell r="A313" t="str">
            <v>Vice-président(e) Senior</v>
          </cell>
        </row>
        <row r="314">
          <cell r="A314" t="str">
            <v>Directeur(trice) des Services Applicatifs</v>
          </cell>
        </row>
        <row r="315">
          <cell r="A315" t="str">
            <v>Chargé(e) des Services Applicatifs</v>
          </cell>
        </row>
        <row r="316">
          <cell r="A316" t="str">
            <v>Chef(fe) des Services Applicatifs</v>
          </cell>
        </row>
        <row r="317">
          <cell r="A317" t="str">
            <v>Consultant(e) Solution</v>
          </cell>
        </row>
        <row r="318">
          <cell r="A318" t="str">
            <v>Manager Solution</v>
          </cell>
        </row>
        <row r="319">
          <cell r="A319" t="str">
            <v>Ingénieur(e) Support</v>
          </cell>
        </row>
        <row r="320">
          <cell r="A320" t="str">
            <v>Agent(e) de Support</v>
          </cell>
        </row>
        <row r="321">
          <cell r="A321" t="str">
            <v>Technicien(ne) Support</v>
          </cell>
        </row>
        <row r="322">
          <cell r="A322" t="str">
            <v>Technicien(ne) Support Expert</v>
          </cell>
        </row>
        <row r="323">
          <cell r="A323" t="str">
            <v>Ingénieur(e) Technique</v>
          </cell>
        </row>
        <row r="324">
          <cell r="A324" t="str">
            <v>Expert(e) technique</v>
          </cell>
        </row>
        <row r="325">
          <cell r="A325" t="str">
            <v>Manager technique Architecture applicative &amp; dév</v>
          </cell>
        </row>
        <row r="326">
          <cell r="A326" t="str">
            <v>Expert(e) Technique Architecture applicative &amp; dév</v>
          </cell>
        </row>
        <row r="327">
          <cell r="A327" t="str">
            <v>Expert(e) technique Infra/Sécu/Réseau</v>
          </cell>
        </row>
        <row r="328">
          <cell r="A328" t="str">
            <v xml:space="preserve">Manager Technique Infra/Sécu/Réseau
</v>
          </cell>
        </row>
        <row r="329">
          <cell r="A329" t="str">
            <v>Technicien(ne) Testeur</v>
          </cell>
        </row>
        <row r="330">
          <cell r="A330" t="str">
            <v>Testeur(euse)</v>
          </cell>
        </row>
        <row r="331">
          <cell r="A331" t="str">
            <v>Stagiaire</v>
          </cell>
        </row>
        <row r="332">
          <cell r="A332" t="str">
            <v>Vice-président(e) Conseil Delivery</v>
          </cell>
        </row>
        <row r="333">
          <cell r="A333" t="str">
            <v>Vice-président(e) conseil Expert</v>
          </cell>
        </row>
        <row r="334">
          <cell r="A334" t="str">
            <v>Vice-président(e) Conseil Secteur</v>
          </cell>
        </row>
        <row r="335">
          <cell r="A335" t="str">
            <v>Vice-président(e) Services Conseils</v>
          </cell>
        </row>
        <row r="336">
          <cell r="A336" t="str">
            <v>Vice-président(e) Services Conseil Secteur</v>
          </cell>
        </row>
        <row r="340">
          <cell r="A340" t="str">
            <v>menu</v>
          </cell>
        </row>
        <row r="341">
          <cell r="A341" t="str">
            <v>Archi &amp; Expertises Tech</v>
          </cell>
        </row>
        <row r="342">
          <cell r="A342" t="str">
            <v>Archi Applicative &amp; Dév</v>
          </cell>
        </row>
        <row r="343">
          <cell r="A343" t="str">
            <v>Archi&amp;Expertises Tech</v>
          </cell>
        </row>
        <row r="344">
          <cell r="A344" t="str">
            <v>Digital &amp; Data</v>
          </cell>
        </row>
        <row r="345">
          <cell r="A345" t="str">
            <v>Fonctionnel &amp; Méthodologie</v>
          </cell>
        </row>
        <row r="346">
          <cell r="A346" t="str">
            <v>Gestion de Projet</v>
          </cell>
        </row>
        <row r="347">
          <cell r="A347" t="str">
            <v>Gestion des Services</v>
          </cell>
        </row>
        <row r="348">
          <cell r="A348" t="str">
            <v>Infra, Réseau &amp; Sécurité</v>
          </cell>
        </row>
        <row r="349">
          <cell r="A349" t="str">
            <v>Sans Domaine d'expertise</v>
          </cell>
        </row>
        <row r="350">
          <cell r="A350" t="str">
            <v>Solution</v>
          </cell>
        </row>
        <row r="381">
          <cell r="AA381" t="str">
            <v>641 Assistant (ADM)</v>
          </cell>
          <cell r="AB381" t="str">
            <v>661 Consultant (ADM)</v>
          </cell>
          <cell r="AC381" t="str">
            <v>681 Senior Consultant (ADM)</v>
          </cell>
          <cell r="AD381" t="str">
            <v>691 BD REPRESENTATIVE (ADM)</v>
          </cell>
          <cell r="AE381" t="str">
            <v>701 DIRECTOR CONSULTING INTERNAL (MGM)</v>
          </cell>
        </row>
        <row r="382">
          <cell r="AA382" t="str">
            <v>35H</v>
          </cell>
          <cell r="AB382" t="str">
            <v>35H</v>
          </cell>
          <cell r="AC382" t="str">
            <v>35H</v>
          </cell>
          <cell r="AD382" t="str">
            <v>35H</v>
          </cell>
          <cell r="AE382" t="str">
            <v>35H</v>
          </cell>
        </row>
        <row r="383">
          <cell r="AA383" t="str">
            <v>37H</v>
          </cell>
          <cell r="AB383" t="str">
            <v>37H</v>
          </cell>
          <cell r="AC383" t="str">
            <v>37H</v>
          </cell>
          <cell r="AD383" t="str">
            <v>37H</v>
          </cell>
          <cell r="AE383" t="str">
            <v>37H</v>
          </cell>
        </row>
        <row r="384">
          <cell r="AA384" t="str">
            <v>37H</v>
          </cell>
          <cell r="AB384" t="str">
            <v>37H</v>
          </cell>
          <cell r="AC384" t="str">
            <v>37H</v>
          </cell>
          <cell r="AD384" t="str">
            <v>37H</v>
          </cell>
          <cell r="AE384" t="str">
            <v>37H</v>
          </cell>
        </row>
        <row r="385">
          <cell r="AA385" t="str">
            <v>37H</v>
          </cell>
          <cell r="AB385" t="str">
            <v>37H</v>
          </cell>
          <cell r="AC385" t="str">
            <v>37H</v>
          </cell>
          <cell r="AD385" t="str">
            <v>37H</v>
          </cell>
          <cell r="AE385" t="str">
            <v>37H</v>
          </cell>
        </row>
        <row r="386">
          <cell r="AA386" t="str">
            <v>37H</v>
          </cell>
          <cell r="AB386" t="str">
            <v>37H</v>
          </cell>
          <cell r="AC386" t="str">
            <v>37H</v>
          </cell>
          <cell r="AD386" t="str">
            <v>37H</v>
          </cell>
          <cell r="AE386" t="str">
            <v>37H</v>
          </cell>
        </row>
        <row r="387">
          <cell r="AA387" t="str">
            <v>37H</v>
          </cell>
          <cell r="AB387" t="str">
            <v>37H</v>
          </cell>
          <cell r="AC387" t="str">
            <v>37H</v>
          </cell>
          <cell r="AD387" t="str">
            <v>37H</v>
          </cell>
          <cell r="AE387" t="str">
            <v>37H</v>
          </cell>
        </row>
        <row r="388">
          <cell r="AA388" t="str">
            <v>38H</v>
          </cell>
          <cell r="AB388" t="str">
            <v>38H</v>
          </cell>
          <cell r="AC388" t="str">
            <v>38H</v>
          </cell>
          <cell r="AD388" t="str">
            <v>38H</v>
          </cell>
          <cell r="AE388" t="str">
            <v>38H</v>
          </cell>
        </row>
        <row r="389">
          <cell r="AA389" t="str">
            <v>38H</v>
          </cell>
          <cell r="AB389" t="str">
            <v>38H</v>
          </cell>
          <cell r="AC389" t="str">
            <v>38H</v>
          </cell>
          <cell r="AD389" t="str">
            <v>38H</v>
          </cell>
          <cell r="AE389" t="str">
            <v>38H</v>
          </cell>
        </row>
        <row r="390">
          <cell r="AA390" t="str">
            <v>40H</v>
          </cell>
          <cell r="AB390" t="str">
            <v>40H</v>
          </cell>
          <cell r="AC390" t="str">
            <v>40H</v>
          </cell>
          <cell r="AD390" t="str">
            <v>40H</v>
          </cell>
          <cell r="AE390" t="str">
            <v>40H</v>
          </cell>
        </row>
        <row r="391">
          <cell r="AA391" t="str">
            <v>40H</v>
          </cell>
          <cell r="AB391" t="str">
            <v>40H</v>
          </cell>
          <cell r="AC391" t="str">
            <v>40H</v>
          </cell>
          <cell r="AD391" t="str">
            <v>40H</v>
          </cell>
          <cell r="AE391" t="str">
            <v>40H</v>
          </cell>
        </row>
        <row r="392">
          <cell r="AA392" t="str">
            <v>40H</v>
          </cell>
          <cell r="AB392" t="str">
            <v>40H</v>
          </cell>
          <cell r="AC392" t="str">
            <v>40H</v>
          </cell>
          <cell r="AD392" t="str">
            <v>40H</v>
          </cell>
          <cell r="AE392" t="str">
            <v>40H</v>
          </cell>
        </row>
        <row r="393">
          <cell r="AA393" t="str">
            <v>40H</v>
          </cell>
          <cell r="AB393" t="str">
            <v>40H</v>
          </cell>
          <cell r="AC393" t="str">
            <v>40H</v>
          </cell>
          <cell r="AD393" t="str">
            <v>40H</v>
          </cell>
          <cell r="AE393" t="str">
            <v>40H</v>
          </cell>
        </row>
        <row r="394">
          <cell r="AA394" t="str">
            <v>40H</v>
          </cell>
          <cell r="AB394" t="str">
            <v>40H</v>
          </cell>
          <cell r="AC394" t="str">
            <v>40H</v>
          </cell>
          <cell r="AD394" t="str">
            <v>40H</v>
          </cell>
          <cell r="AE394" t="str">
            <v>40H</v>
          </cell>
        </row>
        <row r="395">
          <cell r="AA395" t="str">
            <v>40H</v>
          </cell>
          <cell r="AB395" t="str">
            <v>40H</v>
          </cell>
          <cell r="AC395" t="str">
            <v>40H</v>
          </cell>
          <cell r="AD395" t="str">
            <v>40H</v>
          </cell>
          <cell r="AE395" t="str">
            <v>40H</v>
          </cell>
        </row>
        <row r="396">
          <cell r="AA396" t="str">
            <v>37H</v>
          </cell>
          <cell r="AB396" t="str">
            <v>37H</v>
          </cell>
          <cell r="AC396" t="str">
            <v>37H</v>
          </cell>
          <cell r="AD396" t="str">
            <v>37H</v>
          </cell>
          <cell r="AE396" t="str">
            <v>37H</v>
          </cell>
        </row>
        <row r="397">
          <cell r="AA397" t="str">
            <v>37H</v>
          </cell>
          <cell r="AB397" t="str">
            <v>37H</v>
          </cell>
          <cell r="AC397" t="str">
            <v>37H</v>
          </cell>
          <cell r="AD397" t="str">
            <v>37H</v>
          </cell>
          <cell r="AE397" t="str">
            <v>37H</v>
          </cell>
        </row>
        <row r="398">
          <cell r="AA398" t="str">
            <v>37H</v>
          </cell>
          <cell r="AB398" t="str">
            <v>37H</v>
          </cell>
          <cell r="AC398" t="str">
            <v>37H</v>
          </cell>
          <cell r="AD398" t="str">
            <v>37H</v>
          </cell>
          <cell r="AE398" t="str">
            <v>37H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R GUIDE"/>
      <sheetName val="RECRUITMENT"/>
      <sheetName val="Sheet1"/>
      <sheetName val="Oracle"/>
      <sheetName val="Sheet3"/>
      <sheetName val="Sheet2"/>
      <sheetName val="dropdown"/>
      <sheetName val="MANDATORY FIELDS"/>
      <sheetName val="RULES JOB CODE FOR FGDC-ICE-FC"/>
      <sheetName val="CDF DATA"/>
      <sheetName val="Revision History"/>
      <sheetName val="PSA Personal Info CDF Mapping"/>
      <sheetName val="PSA Job Data CDF Mapping"/>
      <sheetName val="PSA Notice Period"/>
      <sheetName val="Contract Data"/>
      <sheetName val="Other FIELDs"/>
      <sheetName val="Qand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F1" t="str">
            <v>date</v>
          </cell>
          <cell r="H1" t="str">
            <v>an - year</v>
          </cell>
        </row>
        <row r="2">
          <cell r="F2">
            <v>1</v>
          </cell>
          <cell r="H2">
            <v>2016</v>
          </cell>
        </row>
        <row r="3">
          <cell r="F3">
            <v>2</v>
          </cell>
          <cell r="H3">
            <v>2017</v>
          </cell>
        </row>
        <row r="4">
          <cell r="F4">
            <v>3</v>
          </cell>
          <cell r="H4">
            <v>2018</v>
          </cell>
        </row>
        <row r="5">
          <cell r="F5">
            <v>4</v>
          </cell>
          <cell r="H5">
            <v>2019</v>
          </cell>
        </row>
        <row r="6">
          <cell r="F6">
            <v>5</v>
          </cell>
          <cell r="H6">
            <v>2020</v>
          </cell>
        </row>
        <row r="7">
          <cell r="F7">
            <v>6</v>
          </cell>
          <cell r="H7">
            <v>2021</v>
          </cell>
        </row>
        <row r="8">
          <cell r="F8">
            <v>7</v>
          </cell>
          <cell r="H8">
            <v>2022</v>
          </cell>
        </row>
        <row r="9">
          <cell r="F9">
            <v>8</v>
          </cell>
          <cell r="H9">
            <v>2023</v>
          </cell>
        </row>
        <row r="10">
          <cell r="F10">
            <v>9</v>
          </cell>
          <cell r="H10">
            <v>2024</v>
          </cell>
        </row>
        <row r="11">
          <cell r="F11">
            <v>10</v>
          </cell>
          <cell r="H11">
            <v>2025</v>
          </cell>
        </row>
        <row r="12">
          <cell r="F12">
            <v>11</v>
          </cell>
        </row>
        <row r="13">
          <cell r="F13">
            <v>12</v>
          </cell>
        </row>
        <row r="14">
          <cell r="F14">
            <v>13</v>
          </cell>
        </row>
        <row r="15">
          <cell r="F15">
            <v>14</v>
          </cell>
        </row>
        <row r="16">
          <cell r="F16">
            <v>15</v>
          </cell>
        </row>
        <row r="17">
          <cell r="F17">
            <v>16</v>
          </cell>
        </row>
        <row r="18">
          <cell r="F18">
            <v>17</v>
          </cell>
        </row>
        <row r="19">
          <cell r="F19">
            <v>18</v>
          </cell>
        </row>
        <row r="20">
          <cell r="F20">
            <v>19</v>
          </cell>
        </row>
        <row r="21">
          <cell r="F21">
            <v>20</v>
          </cell>
        </row>
        <row r="22">
          <cell r="F22">
            <v>21</v>
          </cell>
        </row>
        <row r="23">
          <cell r="F23">
            <v>22</v>
          </cell>
        </row>
        <row r="24">
          <cell r="F24">
            <v>23</v>
          </cell>
        </row>
        <row r="25">
          <cell r="F25">
            <v>24</v>
          </cell>
        </row>
        <row r="26">
          <cell r="F26">
            <v>25</v>
          </cell>
        </row>
        <row r="27">
          <cell r="F27">
            <v>26</v>
          </cell>
        </row>
        <row r="28">
          <cell r="F28">
            <v>27</v>
          </cell>
        </row>
        <row r="29">
          <cell r="F29">
            <v>28</v>
          </cell>
        </row>
        <row r="30">
          <cell r="F30">
            <v>29</v>
          </cell>
        </row>
        <row r="31">
          <cell r="F31">
            <v>30</v>
          </cell>
        </row>
        <row r="32">
          <cell r="F32">
            <v>31</v>
          </cell>
        </row>
        <row r="37">
          <cell r="W37" t="str">
            <v>menu</v>
          </cell>
          <cell r="X37" t="str">
            <v>Oui - Yes</v>
          </cell>
          <cell r="Y37" t="str">
            <v>Non - No</v>
          </cell>
          <cell r="Z37" t="str">
            <v>Sans objet - Not Applicable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ruitment"/>
      <sheetName val="drop douwn"/>
      <sheetName val="Sheet1"/>
      <sheetName val="CDF Data"/>
    </sheetNames>
    <sheetDataSet>
      <sheetData sheetId="0"/>
      <sheetData sheetId="1">
        <row r="3">
          <cell r="I3">
            <v>1</v>
          </cell>
        </row>
        <row r="4">
          <cell r="I4">
            <v>2</v>
          </cell>
        </row>
        <row r="5">
          <cell r="I5">
            <v>3</v>
          </cell>
        </row>
        <row r="6">
          <cell r="I6">
            <v>4</v>
          </cell>
        </row>
        <row r="7">
          <cell r="I7">
            <v>5</v>
          </cell>
        </row>
        <row r="8">
          <cell r="I8">
            <v>6</v>
          </cell>
        </row>
        <row r="9">
          <cell r="I9">
            <v>7</v>
          </cell>
        </row>
        <row r="10">
          <cell r="I10">
            <v>8</v>
          </cell>
        </row>
        <row r="11">
          <cell r="I11">
            <v>9</v>
          </cell>
        </row>
        <row r="12">
          <cell r="I12">
            <v>10</v>
          </cell>
        </row>
        <row r="13">
          <cell r="I13">
            <v>11</v>
          </cell>
        </row>
        <row r="14">
          <cell r="I14">
            <v>12</v>
          </cell>
        </row>
        <row r="15">
          <cell r="I15">
            <v>13</v>
          </cell>
        </row>
        <row r="16">
          <cell r="I16">
            <v>14</v>
          </cell>
        </row>
        <row r="17">
          <cell r="I17">
            <v>15</v>
          </cell>
        </row>
        <row r="18">
          <cell r="I18">
            <v>16</v>
          </cell>
        </row>
        <row r="19">
          <cell r="I19">
            <v>17</v>
          </cell>
        </row>
        <row r="20">
          <cell r="I20">
            <v>18</v>
          </cell>
        </row>
        <row r="21">
          <cell r="I21">
            <v>19</v>
          </cell>
        </row>
        <row r="22">
          <cell r="I22">
            <v>20</v>
          </cell>
        </row>
        <row r="23">
          <cell r="I23">
            <v>21</v>
          </cell>
        </row>
        <row r="24">
          <cell r="I24">
            <v>22</v>
          </cell>
        </row>
        <row r="25">
          <cell r="I25">
            <v>23</v>
          </cell>
        </row>
        <row r="26">
          <cell r="I26">
            <v>24</v>
          </cell>
        </row>
        <row r="27">
          <cell r="I27">
            <v>25</v>
          </cell>
        </row>
        <row r="28">
          <cell r="I28">
            <v>26</v>
          </cell>
        </row>
        <row r="29">
          <cell r="I29">
            <v>27</v>
          </cell>
        </row>
        <row r="30">
          <cell r="I30">
            <v>28</v>
          </cell>
        </row>
        <row r="31">
          <cell r="I31">
            <v>29</v>
          </cell>
        </row>
        <row r="32">
          <cell r="I32">
            <v>30</v>
          </cell>
        </row>
        <row r="33">
          <cell r="I33">
            <v>31</v>
          </cell>
        </row>
      </sheetData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ruitment"/>
      <sheetName val="FRANCE recruitment"/>
      <sheetName val="Contract"/>
      <sheetName val="FRANCE contract"/>
      <sheetName val="Onboarding"/>
      <sheetName val="FRANCE onboarding"/>
      <sheetName val="Joiners information"/>
      <sheetName val="drop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M6" t="str">
            <v>YES</v>
          </cell>
        </row>
        <row r="7">
          <cell r="M7" t="str">
            <v>NO</v>
          </cell>
        </row>
        <row r="32">
          <cell r="A32" t="str">
            <v>Account Manager Incentive Plan (AMIP)</v>
          </cell>
        </row>
        <row r="33">
          <cell r="A33" t="str">
            <v>Consulting Incentive Plan (CIP) - Level 1</v>
          </cell>
        </row>
        <row r="34">
          <cell r="A34" t="str">
            <v>Consulting Incentive Plan (CIP) - Level 2</v>
          </cell>
        </row>
        <row r="35">
          <cell r="A35" t="str">
            <v>General Incentive Plan (GIP)</v>
          </cell>
        </row>
        <row r="36">
          <cell r="A36" t="str">
            <v>General Incentive Plan (Service Delivery) (GIP1)</v>
          </cell>
        </row>
        <row r="37">
          <cell r="A37" t="str">
            <v>Large Deal Plan (LDP)</v>
          </cell>
        </row>
        <row r="38">
          <cell r="A38" t="str">
            <v>Management Incentive Plan - 1 (MIP1)</v>
          </cell>
        </row>
        <row r="39">
          <cell r="A39" t="str">
            <v>Management Incentive Plan - 2 (MIP2)</v>
          </cell>
        </row>
        <row r="40">
          <cell r="A40" t="str">
            <v>Management Incentive Plan EC-1 (Business Facing)</v>
          </cell>
        </row>
        <row r="41">
          <cell r="A41" t="str">
            <v>Management Incentive Plan - EC1 ( Functional)</v>
          </cell>
        </row>
        <row r="42">
          <cell r="A42" t="str">
            <v>Management Incentive Plan EC-2 ( Functional )</v>
          </cell>
        </row>
        <row r="43">
          <cell r="A43" t="str">
            <v>Management Incentive Plan EC-2 ( Business Facing )</v>
          </cell>
        </row>
        <row r="44">
          <cell r="A44" t="str">
            <v>Sales Executive Incentive Plan (SEIP)</v>
          </cell>
        </row>
        <row r="45">
          <cell r="A45" t="str">
            <v>Sales Manager Incentive Plan (SMIP)</v>
          </cell>
        </row>
        <row r="68">
          <cell r="A68" t="str">
            <v>MALE</v>
          </cell>
        </row>
        <row r="69">
          <cell r="A69" t="str">
            <v>FEMALE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AB20A9-C5C8-439A-AC2A-1B572446E705}" name="Table2" displayName="Table2" ref="H13:I40" totalsRowShown="0" dataDxfId="5">
  <autoFilter ref="H13:I40" xr:uid="{B2AB20A9-C5C8-439A-AC2A-1B572446E705}"/>
  <tableColumns count="2">
    <tableColumn id="1" xr3:uid="{F128F9A2-9826-448F-AAF8-322133EE07E7}" name="Column1" dataDxfId="4"/>
    <tableColumn id="2" xr3:uid="{7411B13D-1F9B-4B50-AEEC-5254BC13E2D5}" name="Column2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746EE7-8620-4B8D-8E4D-CA0AFC85804C}" name="Table3" displayName="Table3" ref="H205:I213" totalsRowShown="0">
  <autoFilter ref="H205:I213" xr:uid="{95746EE7-8620-4B8D-8E4D-CA0AFC85804C}"/>
  <tableColumns count="2">
    <tableColumn id="1" xr3:uid="{A097D03B-1533-4B64-97FE-0D10B75F4278}" name="Column1"/>
    <tableColumn id="2" xr3:uid="{DCAD7D33-A102-42EF-A927-7D333E6F6E43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8B311F-1FD9-42CB-BFFF-45E18B900D88}" name="Table1" displayName="Table1" ref="X1:AH27" totalsRowShown="0">
  <autoFilter ref="X1:AH27" xr:uid="{0B379C82-F0A8-41FA-899E-034FEDED0E8F}"/>
  <tableColumns count="11">
    <tableColumn id="11" xr3:uid="{F3DBDE26-639A-4DE5-8E7E-8906E7D95B75}" name="menu"/>
    <tableColumn id="1" xr3:uid="{FFA77823-ED46-4510-A5FA-F06DB63377A4}" name="Morocco 40 Hours"/>
    <tableColumn id="2" xr3:uid="{3B463D44-FAAA-40F6-BA7E-7FEA43D1A606}" name="Archi &amp; Expertises Tech"/>
    <tableColumn id="3" xr3:uid="{4C8E3E64-82FF-4CA3-80FF-BC1CEA7FEEA7}" name="Archi Applicative &amp; Dév"/>
    <tableColumn id="4" xr3:uid="{FBC7ADE9-A3A9-49E4-880B-DD33E8861FA7}" name="Digital &amp; Data"/>
    <tableColumn id="5" xr3:uid="{A9EF5E0B-07E8-42B3-9711-7681CBACC619}" name="Fonctionnel &amp; Méthodologie"/>
    <tableColumn id="6" xr3:uid="{F5A475E4-34D7-4DAC-A468-1D8DFD28DEED}" name="Gestion de Projet"/>
    <tableColumn id="7" xr3:uid="{332061AC-567D-4194-AD9B-638FBAEFE177}" name="Gestion des Services"/>
    <tableColumn id="8" xr3:uid="{0B542DAD-9FDE-4804-8103-D575A0E0E08C}" name="Infra, Réseau &amp; Sécurité"/>
    <tableColumn id="9" xr3:uid="{553A884B-042D-4579-9121-9E6C5FB33610}" name="Sans Domaine d'expertise"/>
    <tableColumn id="10" xr3:uid="{648BBCCE-E8B8-4241-BFC8-D7AA0C756FDE}" name="Solu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D63"/>
  <sheetViews>
    <sheetView showGridLines="0" showRowColHeaders="0" zoomScale="85" zoomScaleNormal="85" workbookViewId="0">
      <selection activeCell="B22" sqref="B22"/>
    </sheetView>
  </sheetViews>
  <sheetFormatPr baseColWidth="10" defaultColWidth="0" defaultRowHeight="15" zeroHeight="1" x14ac:dyDescent="0.25"/>
  <cols>
    <col min="1" max="1" width="11.140625" bestFit="1" customWidth="1"/>
    <col min="2" max="3" width="90.140625" style="28" customWidth="1"/>
    <col min="4" max="4" width="0" hidden="1" customWidth="1"/>
    <col min="5" max="16384" width="9.140625" hidden="1"/>
  </cols>
  <sheetData>
    <row r="1" spans="1:3" x14ac:dyDescent="0.25">
      <c r="A1" s="93" t="s">
        <v>3052</v>
      </c>
      <c r="B1" s="93" t="s">
        <v>3053</v>
      </c>
      <c r="C1" s="93" t="s">
        <v>3054</v>
      </c>
    </row>
    <row r="2" spans="1:3" x14ac:dyDescent="0.25">
      <c r="A2" s="89">
        <v>3</v>
      </c>
      <c r="B2" s="96" t="s">
        <v>3055</v>
      </c>
      <c r="C2" s="96" t="s">
        <v>3056</v>
      </c>
    </row>
    <row r="3" spans="1:3" ht="26.25" x14ac:dyDescent="0.25">
      <c r="A3" s="89">
        <v>4</v>
      </c>
      <c r="B3" s="96" t="s">
        <v>3057</v>
      </c>
      <c r="C3" s="96" t="s">
        <v>3058</v>
      </c>
    </row>
    <row r="4" spans="1:3" x14ac:dyDescent="0.25">
      <c r="A4" s="89">
        <v>4</v>
      </c>
      <c r="B4" s="96" t="s">
        <v>3059</v>
      </c>
      <c r="C4" s="96" t="s">
        <v>3060</v>
      </c>
    </row>
    <row r="5" spans="1:3" x14ac:dyDescent="0.25">
      <c r="A5" s="89">
        <v>6</v>
      </c>
      <c r="B5" s="96" t="s">
        <v>3059</v>
      </c>
      <c r="C5" s="96" t="s">
        <v>3060</v>
      </c>
    </row>
    <row r="6" spans="1:3" x14ac:dyDescent="0.25">
      <c r="A6" s="89">
        <v>7</v>
      </c>
      <c r="B6" s="96" t="s">
        <v>3059</v>
      </c>
      <c r="C6" s="96" t="s">
        <v>3060</v>
      </c>
    </row>
    <row r="7" spans="1:3" x14ac:dyDescent="0.25">
      <c r="A7" s="94">
        <v>8</v>
      </c>
      <c r="B7" s="96" t="s">
        <v>3061</v>
      </c>
      <c r="C7" s="96" t="s">
        <v>3062</v>
      </c>
    </row>
    <row r="8" spans="1:3" x14ac:dyDescent="0.25">
      <c r="A8" s="94">
        <v>9</v>
      </c>
      <c r="B8" s="96" t="s">
        <v>3063</v>
      </c>
      <c r="C8" s="96" t="s">
        <v>3064</v>
      </c>
    </row>
    <row r="9" spans="1:3" x14ac:dyDescent="0.25">
      <c r="A9" s="89">
        <v>10</v>
      </c>
      <c r="B9" s="96" t="s">
        <v>3065</v>
      </c>
      <c r="C9" s="96" t="s">
        <v>3066</v>
      </c>
    </row>
    <row r="10" spans="1:3" x14ac:dyDescent="0.25">
      <c r="A10" s="89"/>
      <c r="B10" s="96"/>
      <c r="C10" s="96"/>
    </row>
    <row r="11" spans="1:3" x14ac:dyDescent="0.25">
      <c r="A11" s="89">
        <v>16</v>
      </c>
      <c r="B11" s="96" t="s">
        <v>3067</v>
      </c>
      <c r="C11" s="96" t="s">
        <v>3068</v>
      </c>
    </row>
    <row r="12" spans="1:3" x14ac:dyDescent="0.25">
      <c r="A12" s="89">
        <v>17</v>
      </c>
      <c r="B12" s="96" t="s">
        <v>3069</v>
      </c>
      <c r="C12" s="96" t="s">
        <v>3070</v>
      </c>
    </row>
    <row r="13" spans="1:3" x14ac:dyDescent="0.25">
      <c r="A13" s="89">
        <v>19</v>
      </c>
      <c r="B13" s="96" t="s">
        <v>3071</v>
      </c>
      <c r="C13" s="96" t="s">
        <v>3072</v>
      </c>
    </row>
    <row r="14" spans="1:3" x14ac:dyDescent="0.25">
      <c r="A14" s="89">
        <v>20</v>
      </c>
      <c r="B14" s="96" t="s">
        <v>3073</v>
      </c>
      <c r="C14" s="96" t="s">
        <v>3074</v>
      </c>
    </row>
    <row r="15" spans="1:3" x14ac:dyDescent="0.25">
      <c r="A15" s="89">
        <v>21</v>
      </c>
      <c r="B15" s="96" t="s">
        <v>3075</v>
      </c>
      <c r="C15" s="96" t="s">
        <v>3076</v>
      </c>
    </row>
    <row r="16" spans="1:3" x14ac:dyDescent="0.25">
      <c r="A16" s="89">
        <v>22</v>
      </c>
      <c r="B16" s="96" t="s">
        <v>3077</v>
      </c>
      <c r="C16" s="96" t="s">
        <v>3078</v>
      </c>
    </row>
    <row r="17" spans="1:3" x14ac:dyDescent="0.25">
      <c r="A17" s="89"/>
      <c r="B17" s="96"/>
      <c r="C17" s="96"/>
    </row>
    <row r="18" spans="1:3" x14ac:dyDescent="0.25">
      <c r="A18" s="89"/>
      <c r="B18" s="96"/>
      <c r="C18" s="96"/>
    </row>
    <row r="19" spans="1:3" ht="26.25" x14ac:dyDescent="0.25">
      <c r="A19" s="89">
        <v>28</v>
      </c>
      <c r="B19" s="96" t="s">
        <v>3079</v>
      </c>
      <c r="C19" s="96" t="s">
        <v>3080</v>
      </c>
    </row>
    <row r="20" spans="1:3" x14ac:dyDescent="0.25">
      <c r="A20" s="89">
        <v>35</v>
      </c>
      <c r="B20" s="96" t="s">
        <v>3081</v>
      </c>
      <c r="C20" s="96" t="s">
        <v>3082</v>
      </c>
    </row>
    <row r="21" spans="1:3" ht="26.25" x14ac:dyDescent="0.25">
      <c r="A21" s="89">
        <v>36</v>
      </c>
      <c r="B21" s="96" t="s">
        <v>3083</v>
      </c>
      <c r="C21" s="96" t="s">
        <v>3084</v>
      </c>
    </row>
    <row r="22" spans="1:3" x14ac:dyDescent="0.25">
      <c r="A22" s="89"/>
      <c r="B22" s="96"/>
      <c r="C22" s="96"/>
    </row>
    <row r="23" spans="1:3" x14ac:dyDescent="0.25">
      <c r="A23" s="89">
        <v>42</v>
      </c>
      <c r="B23" s="96" t="s">
        <v>3085</v>
      </c>
      <c r="C23" s="96" t="s">
        <v>3086</v>
      </c>
    </row>
    <row r="24" spans="1:3" x14ac:dyDescent="0.25">
      <c r="A24" s="89">
        <v>43</v>
      </c>
      <c r="B24" s="96" t="s">
        <v>3087</v>
      </c>
      <c r="C24" s="96" t="s">
        <v>3088</v>
      </c>
    </row>
    <row r="25" spans="1:3" x14ac:dyDescent="0.25">
      <c r="A25" s="89">
        <v>44</v>
      </c>
      <c r="B25" s="96" t="s">
        <v>3089</v>
      </c>
      <c r="C25" s="96" t="s">
        <v>3090</v>
      </c>
    </row>
    <row r="26" spans="1:3" x14ac:dyDescent="0.25">
      <c r="A26" s="89">
        <v>48</v>
      </c>
      <c r="B26" s="96" t="s">
        <v>3091</v>
      </c>
      <c r="C26" s="96" t="s">
        <v>3092</v>
      </c>
    </row>
    <row r="27" spans="1:3" x14ac:dyDescent="0.25">
      <c r="A27" s="89">
        <v>49</v>
      </c>
      <c r="B27" s="96" t="s">
        <v>3091</v>
      </c>
      <c r="C27" s="96" t="s">
        <v>3092</v>
      </c>
    </row>
    <row r="28" spans="1:3" x14ac:dyDescent="0.25">
      <c r="A28" s="89">
        <v>50</v>
      </c>
      <c r="B28" s="96" t="s">
        <v>3091</v>
      </c>
      <c r="C28" s="96" t="s">
        <v>3092</v>
      </c>
    </row>
    <row r="29" spans="1:3" x14ac:dyDescent="0.25">
      <c r="A29" s="89">
        <v>51</v>
      </c>
      <c r="B29" s="96" t="s">
        <v>3093</v>
      </c>
      <c r="C29" s="96" t="s">
        <v>3094</v>
      </c>
    </row>
    <row r="30" spans="1:3" x14ac:dyDescent="0.25">
      <c r="A30" s="89"/>
      <c r="B30" s="96"/>
      <c r="C30" s="96"/>
    </row>
    <row r="31" spans="1:3" x14ac:dyDescent="0.25">
      <c r="A31" s="89">
        <v>52</v>
      </c>
      <c r="B31" s="96" t="s">
        <v>3095</v>
      </c>
      <c r="C31" s="96" t="s">
        <v>3096</v>
      </c>
    </row>
    <row r="32" spans="1:3" x14ac:dyDescent="0.25">
      <c r="A32" s="89">
        <v>53</v>
      </c>
      <c r="B32" s="96" t="s">
        <v>3097</v>
      </c>
      <c r="C32" s="96" t="s">
        <v>3098</v>
      </c>
    </row>
    <row r="33" spans="1:4" x14ac:dyDescent="0.25">
      <c r="A33" s="89">
        <v>54</v>
      </c>
      <c r="B33" s="96" t="s">
        <v>3099</v>
      </c>
      <c r="C33" s="96" t="s">
        <v>3092</v>
      </c>
    </row>
    <row r="34" spans="1:4" x14ac:dyDescent="0.25">
      <c r="A34" s="89"/>
      <c r="B34" s="96"/>
      <c r="C34" s="96"/>
    </row>
    <row r="35" spans="1:4" x14ac:dyDescent="0.25">
      <c r="A35" s="89"/>
      <c r="B35" s="96"/>
      <c r="C35" s="96"/>
    </row>
    <row r="36" spans="1:4" x14ac:dyDescent="0.25">
      <c r="A36" s="89">
        <v>55</v>
      </c>
      <c r="B36" s="96" t="s">
        <v>3100</v>
      </c>
      <c r="C36" s="96" t="s">
        <v>3101</v>
      </c>
    </row>
    <row r="37" spans="1:4" x14ac:dyDescent="0.25">
      <c r="A37" s="89"/>
      <c r="B37" s="96"/>
      <c r="C37" s="96"/>
    </row>
    <row r="38" spans="1:4" x14ac:dyDescent="0.25">
      <c r="A38" s="78">
        <v>59</v>
      </c>
      <c r="B38" s="96" t="s">
        <v>3102</v>
      </c>
      <c r="C38" s="96" t="s">
        <v>3103</v>
      </c>
    </row>
    <row r="39" spans="1:4" x14ac:dyDescent="0.25">
      <c r="A39" s="78">
        <v>64</v>
      </c>
      <c r="B39" s="96" t="s">
        <v>3104</v>
      </c>
      <c r="C39" s="96" t="s">
        <v>3105</v>
      </c>
    </row>
    <row r="40" spans="1:4" x14ac:dyDescent="0.25">
      <c r="A40" s="78">
        <v>67</v>
      </c>
      <c r="B40" s="96" t="s">
        <v>3106</v>
      </c>
      <c r="C40" s="96" t="s">
        <v>3107</v>
      </c>
    </row>
    <row r="41" spans="1:4" x14ac:dyDescent="0.25">
      <c r="A41" s="78">
        <v>69</v>
      </c>
      <c r="B41" s="96" t="s">
        <v>3108</v>
      </c>
      <c r="C41" s="96" t="s">
        <v>3109</v>
      </c>
    </row>
    <row r="42" spans="1:4" x14ac:dyDescent="0.25">
      <c r="A42" s="78">
        <v>70</v>
      </c>
      <c r="B42" s="96" t="s">
        <v>3110</v>
      </c>
      <c r="C42" s="96" t="s">
        <v>3111</v>
      </c>
    </row>
    <row r="43" spans="1:4" x14ac:dyDescent="0.25">
      <c r="A43" s="78">
        <v>71</v>
      </c>
      <c r="B43" s="96" t="s">
        <v>3112</v>
      </c>
      <c r="C43" s="96" t="s">
        <v>3113</v>
      </c>
    </row>
    <row r="44" spans="1:4" x14ac:dyDescent="0.25">
      <c r="A44" s="78"/>
      <c r="B44" s="96"/>
      <c r="C44" s="96"/>
    </row>
    <row r="45" spans="1:4" x14ac:dyDescent="0.25">
      <c r="A45" s="95">
        <v>72</v>
      </c>
      <c r="B45" s="103" t="s">
        <v>3114</v>
      </c>
      <c r="C45" s="103" t="s">
        <v>3115</v>
      </c>
      <c r="D45" s="55"/>
    </row>
    <row r="46" spans="1:4" x14ac:dyDescent="0.25">
      <c r="A46" s="78">
        <v>75</v>
      </c>
      <c r="B46" s="96" t="s">
        <v>3116</v>
      </c>
      <c r="C46" s="96" t="s">
        <v>3117</v>
      </c>
    </row>
    <row r="47" spans="1:4" x14ac:dyDescent="0.25">
      <c r="A47" s="78">
        <v>76</v>
      </c>
      <c r="B47" s="96" t="s">
        <v>3118</v>
      </c>
      <c r="C47" s="96" t="s">
        <v>3119</v>
      </c>
    </row>
    <row r="48" spans="1:4" x14ac:dyDescent="0.25">
      <c r="A48" s="78"/>
      <c r="B48" s="96"/>
      <c r="C48" s="96"/>
    </row>
    <row r="49" spans="1:3" ht="39" x14ac:dyDescent="0.25">
      <c r="A49" s="89">
        <v>78</v>
      </c>
      <c r="B49" s="96" t="s">
        <v>3120</v>
      </c>
      <c r="C49" s="96" t="s">
        <v>3121</v>
      </c>
    </row>
    <row r="50" spans="1:3" x14ac:dyDescent="0.25">
      <c r="A50" s="78">
        <v>80</v>
      </c>
      <c r="B50" s="96" t="s">
        <v>3122</v>
      </c>
      <c r="C50" s="96" t="s">
        <v>3123</v>
      </c>
    </row>
    <row r="51" spans="1:3" x14ac:dyDescent="0.25">
      <c r="A51" s="78">
        <v>93</v>
      </c>
      <c r="B51" s="96" t="s">
        <v>3124</v>
      </c>
      <c r="C51" s="96" t="s">
        <v>3125</v>
      </c>
    </row>
    <row r="52" spans="1:3" x14ac:dyDescent="0.25">
      <c r="A52" s="78">
        <v>96</v>
      </c>
      <c r="B52" s="96" t="s">
        <v>3126</v>
      </c>
      <c r="C52" s="96" t="s">
        <v>3127</v>
      </c>
    </row>
    <row r="53" spans="1:3" x14ac:dyDescent="0.25">
      <c r="A53" s="78">
        <v>105</v>
      </c>
      <c r="B53" s="96" t="s">
        <v>3128</v>
      </c>
      <c r="C53" s="96" t="s">
        <v>3129</v>
      </c>
    </row>
    <row r="54" spans="1:3" x14ac:dyDescent="0.25">
      <c r="A54" s="78">
        <v>107</v>
      </c>
      <c r="B54" s="104" t="s">
        <v>3130</v>
      </c>
      <c r="C54" s="104" t="s">
        <v>3131</v>
      </c>
    </row>
    <row r="55" spans="1:3" x14ac:dyDescent="0.25">
      <c r="A55" s="78">
        <v>108</v>
      </c>
      <c r="B55" s="105" t="s">
        <v>3132</v>
      </c>
      <c r="C55" s="105" t="s">
        <v>3133</v>
      </c>
    </row>
    <row r="56" spans="1:3" x14ac:dyDescent="0.25">
      <c r="A56" s="3"/>
      <c r="B56" s="105"/>
      <c r="C56" s="105"/>
    </row>
    <row r="57" spans="1:3" ht="15.75" thickBot="1" x14ac:dyDescent="0.3">
      <c r="A57" s="97"/>
      <c r="B57" s="106"/>
      <c r="C57" s="106"/>
    </row>
    <row r="58" spans="1:3" ht="15.75" thickTop="1" x14ac:dyDescent="0.25">
      <c r="A58" s="98"/>
      <c r="B58" s="107" t="s">
        <v>3134</v>
      </c>
      <c r="C58" s="108" t="s">
        <v>3135</v>
      </c>
    </row>
    <row r="59" spans="1:3" x14ac:dyDescent="0.25">
      <c r="A59" s="99"/>
      <c r="B59" s="109" t="s">
        <v>3136</v>
      </c>
      <c r="C59" s="110" t="s">
        <v>3137</v>
      </c>
    </row>
    <row r="60" spans="1:3" x14ac:dyDescent="0.25">
      <c r="A60" s="100"/>
      <c r="B60" s="111" t="s">
        <v>3138</v>
      </c>
      <c r="C60" s="112" t="s">
        <v>3139</v>
      </c>
    </row>
    <row r="61" spans="1:3" x14ac:dyDescent="0.25">
      <c r="A61" s="101" t="s">
        <v>3140</v>
      </c>
      <c r="B61" s="113" t="s">
        <v>3141</v>
      </c>
      <c r="C61" s="114" t="s">
        <v>3142</v>
      </c>
    </row>
    <row r="62" spans="1:3" ht="15.75" x14ac:dyDescent="0.25">
      <c r="A62" s="102" t="s">
        <v>3143</v>
      </c>
      <c r="B62" s="115" t="s">
        <v>3144</v>
      </c>
      <c r="C62" s="116" t="s">
        <v>3145</v>
      </c>
    </row>
    <row r="63" spans="1:3" x14ac:dyDescent="0.25">
      <c r="A63" s="3"/>
      <c r="B63" s="105"/>
      <c r="C63" s="105"/>
    </row>
  </sheetData>
  <sheetProtection algorithmName="SHA-512" hashValue="Ra0jxfwWWqfc2tkwym5GbAOjhZDQbV9R+NctLp+vDAUMCXDZXX4mZFwYRYLxwg/zjVEj1KbuLTisydkG/ynwjA==" saltValue="0z8XogEU6etnvx8MAiity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"/>
  <sheetViews>
    <sheetView showGridLines="0" showRowColHeaders="0" zoomScale="75" zoomScaleNormal="75" workbookViewId="0">
      <selection activeCell="U6" sqref="U6"/>
    </sheetView>
  </sheetViews>
  <sheetFormatPr baseColWidth="10" defaultColWidth="9.140625" defaultRowHeight="15" x14ac:dyDescent="0.25"/>
  <sheetData/>
  <sheetProtection algorithmName="SHA-512" hashValue="77cQO12YHipmd2cWep6U9iKvZ1PV6eN9ubC4VK6KWRsNcPhoFL82XjVX/JeltedZNCbtdekkkdK7I3+jl6QFJw==" saltValue="WAfIDvpopGAV8vmxnDGPyQ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72EE-E4E9-4ADC-8D04-21507A6A4754}">
  <sheetPr codeName="Sheet8"/>
  <dimension ref="A1:J9"/>
  <sheetViews>
    <sheetView showGridLines="0" showRowColHeaders="0" zoomScale="75" zoomScaleNormal="75" workbookViewId="0">
      <selection activeCell="F15" sqref="F15"/>
    </sheetView>
  </sheetViews>
  <sheetFormatPr baseColWidth="10" defaultColWidth="8.7109375" defaultRowHeight="15" x14ac:dyDescent="0.25"/>
  <cols>
    <col min="1" max="1" width="13.7109375" customWidth="1"/>
    <col min="2" max="2" width="17.5703125" customWidth="1"/>
    <col min="3" max="3" width="15.5703125" customWidth="1"/>
    <col min="4" max="4" width="15.140625" customWidth="1"/>
    <col min="5" max="5" width="17" customWidth="1"/>
    <col min="6" max="6" width="21.85546875" customWidth="1"/>
    <col min="7" max="7" width="21.7109375" customWidth="1"/>
    <col min="8" max="8" width="21.85546875" customWidth="1"/>
    <col min="9" max="9" width="19.28515625" customWidth="1"/>
    <col min="10" max="10" width="20" customWidth="1"/>
  </cols>
  <sheetData>
    <row r="1" spans="1:10" x14ac:dyDescent="0.25">
      <c r="A1" s="335" t="s">
        <v>6682</v>
      </c>
      <c r="B1" s="335"/>
      <c r="C1" s="335"/>
      <c r="D1" s="335"/>
      <c r="E1" s="335"/>
    </row>
    <row r="2" spans="1:10" x14ac:dyDescent="0.25">
      <c r="A2" s="335"/>
      <c r="B2" s="335"/>
      <c r="C2" s="335"/>
      <c r="D2" s="335"/>
      <c r="E2" s="335"/>
    </row>
    <row r="3" spans="1:10" ht="15.75" thickBot="1" x14ac:dyDescent="0.3"/>
    <row r="4" spans="1:10" ht="36.950000000000003" customHeight="1" x14ac:dyDescent="0.25">
      <c r="A4" s="336" t="s">
        <v>6683</v>
      </c>
      <c r="B4" s="332" t="s">
        <v>6684</v>
      </c>
      <c r="C4" s="332" t="s">
        <v>6685</v>
      </c>
      <c r="D4" s="315" t="s">
        <v>6699</v>
      </c>
      <c r="E4" s="339" t="s">
        <v>6698</v>
      </c>
      <c r="F4" s="315" t="s">
        <v>6700</v>
      </c>
      <c r="G4" s="315" t="s">
        <v>6701</v>
      </c>
      <c r="H4" s="315" t="s">
        <v>6702</v>
      </c>
      <c r="I4" s="332" t="s">
        <v>6686</v>
      </c>
      <c r="J4" s="332" t="s">
        <v>6691</v>
      </c>
    </row>
    <row r="5" spans="1:10" ht="37.5" customHeight="1" x14ac:dyDescent="0.25">
      <c r="A5" s="337"/>
      <c r="B5" s="333"/>
      <c r="C5" s="333"/>
      <c r="D5" s="316" t="s">
        <v>6687</v>
      </c>
      <c r="E5" s="340"/>
      <c r="F5" s="316" t="s">
        <v>6688</v>
      </c>
      <c r="G5" s="316" t="s">
        <v>6689</v>
      </c>
      <c r="H5" s="316" t="s">
        <v>6690</v>
      </c>
      <c r="I5" s="333"/>
      <c r="J5" s="333"/>
    </row>
    <row r="6" spans="1:10" ht="16.5" thickBot="1" x14ac:dyDescent="0.3">
      <c r="A6" s="338"/>
      <c r="B6" s="334"/>
      <c r="C6" s="334"/>
      <c r="D6" s="317"/>
      <c r="E6" s="322"/>
      <c r="F6" s="317"/>
      <c r="G6" s="318"/>
      <c r="H6" s="317"/>
      <c r="I6" s="334"/>
      <c r="J6" s="334"/>
    </row>
    <row r="7" spans="1:10" ht="20.100000000000001" customHeight="1" thickBot="1" x14ac:dyDescent="0.3">
      <c r="A7" s="319" t="s">
        <v>6692</v>
      </c>
      <c r="B7" s="320" t="s">
        <v>901</v>
      </c>
      <c r="C7" s="320" t="s">
        <v>898</v>
      </c>
      <c r="D7" s="320" t="s">
        <v>898</v>
      </c>
      <c r="E7" s="320" t="s">
        <v>898</v>
      </c>
      <c r="F7" s="320" t="s">
        <v>898</v>
      </c>
      <c r="G7" s="320" t="s">
        <v>6693</v>
      </c>
      <c r="H7" s="320" t="s">
        <v>898</v>
      </c>
      <c r="I7" s="320" t="s">
        <v>905</v>
      </c>
      <c r="J7" s="320" t="s">
        <v>905</v>
      </c>
    </row>
    <row r="8" spans="1:10" ht="23.45" customHeight="1" thickBot="1" x14ac:dyDescent="0.3">
      <c r="A8" s="319" t="s">
        <v>896</v>
      </c>
      <c r="B8" s="320" t="s">
        <v>6694</v>
      </c>
      <c r="C8" s="320" t="s">
        <v>6694</v>
      </c>
      <c r="D8" s="320" t="s">
        <v>6695</v>
      </c>
      <c r="E8" s="320" t="s">
        <v>6695</v>
      </c>
      <c r="F8" s="320" t="s">
        <v>6695</v>
      </c>
      <c r="G8" s="320" t="s">
        <v>6696</v>
      </c>
      <c r="H8" s="320" t="s">
        <v>6696</v>
      </c>
      <c r="I8" s="320" t="s">
        <v>6695</v>
      </c>
      <c r="J8" s="320" t="s">
        <v>6695</v>
      </c>
    </row>
    <row r="9" spans="1:10" ht="33.6" customHeight="1" thickBot="1" x14ac:dyDescent="0.3">
      <c r="A9" s="319" t="s">
        <v>6697</v>
      </c>
      <c r="B9" s="321">
        <v>0.02</v>
      </c>
      <c r="C9" s="321">
        <v>0.02</v>
      </c>
      <c r="D9" s="321">
        <v>0.02</v>
      </c>
      <c r="E9" s="321">
        <v>0.02</v>
      </c>
      <c r="F9" s="321">
        <v>0.02</v>
      </c>
      <c r="G9" s="321">
        <v>0.1</v>
      </c>
      <c r="H9" s="321">
        <v>0.15</v>
      </c>
      <c r="I9" s="321">
        <v>0.2</v>
      </c>
      <c r="J9" s="321">
        <v>0.2</v>
      </c>
    </row>
  </sheetData>
  <sheetProtection algorithmName="SHA-512" hashValue="jWR4c78nzkQgw6/2O/bhVPx1gnmtwHJL82DYV0/6Vbf7uTCapw9oRczZL7kk+xZOpHD9vqkU4ManDRkG/+eSlQ==" saltValue="1t9+v8PFIQ17G4Z58BL29g==" spinCount="100000" sheet="1" objects="1" scenarios="1"/>
  <mergeCells count="7">
    <mergeCell ref="J4:J6"/>
    <mergeCell ref="A1:E2"/>
    <mergeCell ref="A4:A6"/>
    <mergeCell ref="B4:B6"/>
    <mergeCell ref="C4:C6"/>
    <mergeCell ref="I4:I6"/>
    <mergeCell ref="E4:E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FC536"/>
  <sheetViews>
    <sheetView showGridLines="0" showRowColHeaders="0" tabSelected="1" topLeftCell="A15" zoomScale="84" zoomScaleNormal="70" workbookViewId="0">
      <selection activeCell="C47" sqref="C47"/>
    </sheetView>
  </sheetViews>
  <sheetFormatPr baseColWidth="10" defaultColWidth="0" defaultRowHeight="15" zeroHeight="1" x14ac:dyDescent="0.25"/>
  <cols>
    <col min="1" max="1" width="9.140625" style="9" customWidth="1"/>
    <col min="2" max="2" width="61.42578125" customWidth="1"/>
    <col min="3" max="3" width="61.140625" bestFit="1" customWidth="1"/>
    <col min="4" max="4" width="34.140625" bestFit="1" customWidth="1"/>
    <col min="5" max="6" width="25.85546875" customWidth="1"/>
    <col min="7" max="7" width="7" customWidth="1"/>
    <col min="8" max="9" width="127" hidden="1"/>
    <col min="10" max="10" width="8.140625" style="9" hidden="1"/>
    <col min="11" max="11" width="25.140625" hidden="1"/>
    <col min="12" max="12" width="25.7109375" hidden="1"/>
    <col min="13" max="13" width="30.140625" hidden="1"/>
    <col min="14" max="14" width="6.28515625" hidden="1"/>
    <col min="15" max="15" width="86.140625" hidden="1"/>
    <col min="16" max="17" width="9.85546875" hidden="1"/>
    <col min="18" max="18" width="7.5703125" hidden="1"/>
    <col min="19" max="19" width="6.7109375" hidden="1"/>
    <col min="20" max="20" width="8.42578125" hidden="1"/>
    <col min="21" max="21" width="8.85546875" hidden="1"/>
    <col min="22" max="22" width="7.85546875" hidden="1"/>
    <col min="23" max="24" width="9.85546875" hidden="1"/>
    <col min="25" max="25" width="4.42578125" hidden="1"/>
    <col min="26" max="26" width="7.28515625" hidden="1"/>
    <col min="27" max="27" width="29.85546875" hidden="1"/>
    <col min="28" max="28" width="25.85546875" hidden="1"/>
    <col min="29" max="68" width="9.85546875" hidden="1"/>
    <col min="69" max="16382" width="8.7109375" hidden="1"/>
    <col min="16383" max="16383" width="34.28515625" hidden="1"/>
    <col min="16384" max="16384" width="44.85546875" hidden="1"/>
  </cols>
  <sheetData>
    <row r="1" spans="1:27" x14ac:dyDescent="0.25">
      <c r="A1" s="365" t="s">
        <v>6753</v>
      </c>
      <c r="B1" s="365"/>
      <c r="C1" s="365"/>
      <c r="D1" s="365"/>
      <c r="E1" s="365"/>
      <c r="F1" s="365"/>
      <c r="G1" s="53"/>
    </row>
    <row r="2" spans="1:27" x14ac:dyDescent="0.25">
      <c r="A2" s="365"/>
      <c r="B2" s="365"/>
      <c r="C2" s="365"/>
      <c r="D2" s="365"/>
      <c r="E2" s="365"/>
      <c r="F2" s="365"/>
      <c r="G2" s="53"/>
    </row>
    <row r="3" spans="1:27" ht="18" x14ac:dyDescent="0.25">
      <c r="A3" s="365"/>
      <c r="B3" s="365"/>
      <c r="C3" s="365"/>
      <c r="D3" s="365"/>
      <c r="E3" s="365"/>
      <c r="F3" s="365"/>
      <c r="G3" s="308"/>
    </row>
    <row r="4" spans="1:27" ht="18" x14ac:dyDescent="0.25">
      <c r="A4" s="365"/>
      <c r="B4" s="365"/>
      <c r="C4" s="365"/>
      <c r="D4" s="365"/>
      <c r="E4" s="365"/>
      <c r="F4" s="365"/>
      <c r="G4" s="308"/>
    </row>
    <row r="5" spans="1:27" ht="18" x14ac:dyDescent="0.25">
      <c r="A5" s="365"/>
      <c r="B5" s="365"/>
      <c r="C5" s="365"/>
      <c r="D5" s="365"/>
      <c r="E5" s="365"/>
      <c r="F5" s="365"/>
      <c r="G5" s="308"/>
    </row>
    <row r="6" spans="1:27" ht="30" x14ac:dyDescent="0.25">
      <c r="A6" s="175" t="s">
        <v>0</v>
      </c>
      <c r="B6" s="175" t="s">
        <v>4233</v>
      </c>
      <c r="C6" s="175" t="s">
        <v>4234</v>
      </c>
      <c r="D6" s="176"/>
      <c r="E6" s="176"/>
      <c r="F6" s="176"/>
      <c r="G6" s="309"/>
      <c r="M6" s="50" t="s">
        <v>1150</v>
      </c>
      <c r="N6" s="50"/>
      <c r="O6" s="50"/>
      <c r="P6" s="50"/>
      <c r="Q6" s="50"/>
    </row>
    <row r="7" spans="1:27" x14ac:dyDescent="0.25">
      <c r="G7" s="44"/>
      <c r="H7" s="29" t="s">
        <v>1015</v>
      </c>
      <c r="I7" s="29" t="s">
        <v>1070</v>
      </c>
      <c r="J7" s="43" t="s">
        <v>1142</v>
      </c>
      <c r="K7" s="43" t="s">
        <v>1143</v>
      </c>
      <c r="M7" s="48" t="s">
        <v>169</v>
      </c>
      <c r="N7" t="s">
        <v>1146</v>
      </c>
      <c r="O7" t="s">
        <v>1151</v>
      </c>
      <c r="AA7" s="68"/>
    </row>
    <row r="8" spans="1:27" x14ac:dyDescent="0.25">
      <c r="A8" s="34">
        <v>1</v>
      </c>
      <c r="B8" s="3" t="s">
        <v>5566</v>
      </c>
      <c r="C8" s="3" t="s">
        <v>5567</v>
      </c>
      <c r="D8" s="352" t="s">
        <v>4367</v>
      </c>
      <c r="E8" s="352"/>
      <c r="F8" s="352"/>
      <c r="G8" s="53"/>
      <c r="M8" s="49" t="s">
        <v>1147</v>
      </c>
      <c r="N8" t="s">
        <v>1148</v>
      </c>
      <c r="O8" t="s">
        <v>1152</v>
      </c>
      <c r="AA8" s="68"/>
    </row>
    <row r="9" spans="1:27" x14ac:dyDescent="0.25">
      <c r="A9" s="34">
        <f>A8+1</f>
        <v>2</v>
      </c>
      <c r="B9" s="3" t="s">
        <v>5578</v>
      </c>
      <c r="C9" s="3" t="s">
        <v>5579</v>
      </c>
      <c r="D9" s="344"/>
      <c r="E9" s="344"/>
      <c r="F9" s="344"/>
      <c r="G9" s="53"/>
      <c r="M9" s="49"/>
      <c r="AA9" s="68"/>
    </row>
    <row r="10" spans="1:27" x14ac:dyDescent="0.25">
      <c r="A10" s="34">
        <f t="shared" ref="A10:A18" si="0">A9+1</f>
        <v>3</v>
      </c>
      <c r="B10" s="3" t="s">
        <v>2</v>
      </c>
      <c r="C10" s="3" t="s">
        <v>3</v>
      </c>
      <c r="D10" s="352"/>
      <c r="E10" s="352"/>
      <c r="F10" s="352"/>
      <c r="G10" s="303"/>
      <c r="H10" t="s">
        <v>1019</v>
      </c>
      <c r="I10" t="s">
        <v>1019</v>
      </c>
      <c r="J10" s="9" t="s">
        <v>1144</v>
      </c>
      <c r="M10" s="48" t="s">
        <v>171</v>
      </c>
      <c r="N10" t="s">
        <v>1149</v>
      </c>
      <c r="O10" t="s">
        <v>1153</v>
      </c>
      <c r="AA10" s="68"/>
    </row>
    <row r="11" spans="1:27" x14ac:dyDescent="0.25">
      <c r="A11" s="34">
        <f t="shared" si="0"/>
        <v>4</v>
      </c>
      <c r="B11" s="3" t="s">
        <v>6</v>
      </c>
      <c r="C11" s="3" t="s">
        <v>7</v>
      </c>
      <c r="D11" s="352"/>
      <c r="E11" s="352"/>
      <c r="F11" s="352"/>
      <c r="G11" s="303"/>
      <c r="H11" t="s">
        <v>1019</v>
      </c>
      <c r="I11" t="s">
        <v>1019</v>
      </c>
      <c r="J11" s="9" t="s">
        <v>1144</v>
      </c>
      <c r="AA11" s="68"/>
    </row>
    <row r="12" spans="1:27" x14ac:dyDescent="0.25">
      <c r="A12" s="34">
        <f t="shared" si="0"/>
        <v>5</v>
      </c>
      <c r="B12" s="3" t="s">
        <v>4</v>
      </c>
      <c r="C12" s="3" t="s">
        <v>5</v>
      </c>
      <c r="D12" s="354"/>
      <c r="E12" s="354"/>
      <c r="F12" s="354"/>
      <c r="G12" s="304"/>
      <c r="H12" t="s">
        <v>1019</v>
      </c>
      <c r="I12" t="s">
        <v>1019</v>
      </c>
      <c r="J12" s="9" t="s">
        <v>1144</v>
      </c>
      <c r="AA12" s="68"/>
    </row>
    <row r="13" spans="1:27" x14ac:dyDescent="0.25">
      <c r="A13" s="34">
        <f t="shared" si="0"/>
        <v>6</v>
      </c>
      <c r="B13" s="3" t="s">
        <v>6019</v>
      </c>
      <c r="C13" s="3" t="s">
        <v>6020</v>
      </c>
      <c r="D13" s="344" t="s">
        <v>136</v>
      </c>
      <c r="E13" s="344"/>
      <c r="F13" s="344"/>
      <c r="G13" s="303"/>
      <c r="H13" t="s">
        <v>1019</v>
      </c>
      <c r="I13" t="s">
        <v>1019</v>
      </c>
      <c r="J13" s="9" t="s">
        <v>1144</v>
      </c>
      <c r="M13" t="s">
        <v>1121</v>
      </c>
      <c r="N13" s="53" t="s">
        <v>6065</v>
      </c>
      <c r="O13" s="53" t="s">
        <v>6069</v>
      </c>
      <c r="AA13" s="68"/>
    </row>
    <row r="14" spans="1:27" x14ac:dyDescent="0.25">
      <c r="A14" s="34">
        <f t="shared" si="0"/>
        <v>7</v>
      </c>
      <c r="B14" s="3" t="s">
        <v>9</v>
      </c>
      <c r="C14" s="3" t="s">
        <v>10</v>
      </c>
      <c r="D14" s="344" t="s">
        <v>136</v>
      </c>
      <c r="E14" s="344"/>
      <c r="F14" s="344"/>
      <c r="G14" s="303"/>
      <c r="H14" t="s">
        <v>1019</v>
      </c>
      <c r="I14" t="s">
        <v>1019</v>
      </c>
      <c r="J14" s="9" t="s">
        <v>1144</v>
      </c>
      <c r="M14" t="s">
        <v>1122</v>
      </c>
      <c r="N14" s="53" t="s">
        <v>2285</v>
      </c>
      <c r="O14" s="54" t="s">
        <v>6552</v>
      </c>
      <c r="AA14" s="68"/>
    </row>
    <row r="15" spans="1:27" x14ac:dyDescent="0.25">
      <c r="A15" s="34">
        <f t="shared" si="0"/>
        <v>8</v>
      </c>
      <c r="B15" s="3" t="s">
        <v>11</v>
      </c>
      <c r="C15" s="3" t="s">
        <v>12</v>
      </c>
      <c r="D15" s="344" t="s">
        <v>136</v>
      </c>
      <c r="E15" s="344"/>
      <c r="F15" s="344"/>
      <c r="G15" s="303"/>
      <c r="H15" t="s">
        <v>1019</v>
      </c>
      <c r="I15" t="s">
        <v>1019</v>
      </c>
      <c r="J15" s="9" t="s">
        <v>1144</v>
      </c>
      <c r="M15" t="s">
        <v>6553</v>
      </c>
      <c r="N15" s="53" t="s">
        <v>6068</v>
      </c>
      <c r="O15" s="300" t="s">
        <v>2286</v>
      </c>
      <c r="AA15" s="68"/>
    </row>
    <row r="16" spans="1:27" x14ac:dyDescent="0.25">
      <c r="A16" s="34">
        <f t="shared" si="0"/>
        <v>9</v>
      </c>
      <c r="B16" s="3" t="s">
        <v>13</v>
      </c>
      <c r="C16" s="3" t="s">
        <v>14</v>
      </c>
      <c r="D16" s="344"/>
      <c r="E16" s="344"/>
      <c r="F16" s="344"/>
      <c r="G16" s="303"/>
      <c r="H16" s="30" t="s">
        <v>1069</v>
      </c>
      <c r="I16" s="30" t="s">
        <v>1069</v>
      </c>
      <c r="J16" s="9" t="s">
        <v>1144</v>
      </c>
      <c r="AA16" s="68"/>
    </row>
    <row r="17" spans="1:28" x14ac:dyDescent="0.25">
      <c r="A17" s="34">
        <f t="shared" si="0"/>
        <v>10</v>
      </c>
      <c r="B17" s="3" t="s">
        <v>15</v>
      </c>
      <c r="C17" s="3" t="s">
        <v>16</v>
      </c>
      <c r="D17" s="292" t="s">
        <v>6716</v>
      </c>
      <c r="E17" s="290" t="s">
        <v>6717</v>
      </c>
      <c r="F17" s="293" t="s">
        <v>6715</v>
      </c>
      <c r="G17" s="303"/>
      <c r="H17" s="30" t="s">
        <v>1019</v>
      </c>
      <c r="I17" s="30" t="s">
        <v>1019</v>
      </c>
      <c r="J17" s="9" t="s">
        <v>1144</v>
      </c>
      <c r="AA17" s="68"/>
    </row>
    <row r="18" spans="1:28" x14ac:dyDescent="0.25">
      <c r="A18" s="34">
        <f t="shared" si="0"/>
        <v>11</v>
      </c>
      <c r="B18" s="3" t="s">
        <v>6018</v>
      </c>
      <c r="C18" s="3" t="s">
        <v>6017</v>
      </c>
      <c r="D18" s="292" t="s">
        <v>6716</v>
      </c>
      <c r="E18" s="290" t="s">
        <v>6717</v>
      </c>
      <c r="F18" s="293" t="s">
        <v>6715</v>
      </c>
      <c r="G18" s="303"/>
      <c r="H18" s="30" t="s">
        <v>1019</v>
      </c>
      <c r="I18" s="30" t="s">
        <v>1019</v>
      </c>
      <c r="J18" s="9" t="s">
        <v>1144</v>
      </c>
      <c r="AA18" s="68"/>
    </row>
    <row r="19" spans="1:28" x14ac:dyDescent="0.25">
      <c r="A19" s="34"/>
      <c r="B19" s="3"/>
      <c r="C19" s="3"/>
      <c r="D19" s="30"/>
      <c r="E19" s="30"/>
      <c r="F19" s="30"/>
      <c r="G19" s="303"/>
      <c r="K19" t="str">
        <f ca="1">TEXT(TODAY(),"dd/mm/yyyy")</f>
        <v>16/02/2026</v>
      </c>
      <c r="Y19" t="s">
        <v>6025</v>
      </c>
      <c r="Z19" t="s">
        <v>6558</v>
      </c>
      <c r="AA19" s="68" t="str">
        <f>IF($K$18="","",$K$18)</f>
        <v/>
      </c>
      <c r="AB19" t="s">
        <v>2583</v>
      </c>
    </row>
    <row r="20" spans="1:28" ht="30" x14ac:dyDescent="0.25">
      <c r="A20" s="175" t="s">
        <v>0</v>
      </c>
      <c r="B20" s="175" t="s">
        <v>4235</v>
      </c>
      <c r="C20" s="175" t="s">
        <v>4236</v>
      </c>
      <c r="D20" s="176"/>
      <c r="E20" s="176"/>
      <c r="F20" s="176"/>
      <c r="G20" s="44"/>
      <c r="AA20" s="68"/>
    </row>
    <row r="21" spans="1:28" x14ac:dyDescent="0.25">
      <c r="B21" s="3"/>
      <c r="C21" s="3"/>
      <c r="D21" s="2"/>
      <c r="E21" s="2"/>
      <c r="F21" s="2"/>
      <c r="G21" s="303"/>
      <c r="AA21" s="68"/>
    </row>
    <row r="22" spans="1:28" x14ac:dyDescent="0.25">
      <c r="A22" s="9">
        <f>A18+1</f>
        <v>12</v>
      </c>
      <c r="B22" t="s">
        <v>17</v>
      </c>
      <c r="C22" t="s">
        <v>18</v>
      </c>
      <c r="D22" s="348" t="s">
        <v>171</v>
      </c>
      <c r="E22" s="348"/>
      <c r="F22" s="348"/>
      <c r="G22" s="303"/>
      <c r="H22" t="s">
        <v>1019</v>
      </c>
      <c r="I22" t="s">
        <v>1019</v>
      </c>
      <c r="J22" s="9" t="s">
        <v>1145</v>
      </c>
      <c r="K22" t="str">
        <f>VLOOKUP($D$22,$M$7:$N$10,2,FALSE)</f>
        <v>Mme</v>
      </c>
      <c r="M22" t="s">
        <v>136</v>
      </c>
      <c r="Y22" t="s">
        <v>1146</v>
      </c>
      <c r="Z22" t="s">
        <v>2727</v>
      </c>
      <c r="AA22" s="68" t="str">
        <f>IF($K$22="","",$K$22)</f>
        <v>Mme</v>
      </c>
      <c r="AB22" t="s">
        <v>2584</v>
      </c>
    </row>
    <row r="23" spans="1:28" x14ac:dyDescent="0.25">
      <c r="A23" s="9">
        <f t="shared" ref="A23:A37" si="1">A22+1</f>
        <v>13</v>
      </c>
      <c r="B23" t="s">
        <v>19</v>
      </c>
      <c r="C23" t="s">
        <v>20</v>
      </c>
      <c r="D23" s="341" t="str">
        <f>VLOOKUP(D22,M23:N24,2,0)</f>
        <v>Femme - Women</v>
      </c>
      <c r="E23" s="341"/>
      <c r="F23" s="341"/>
      <c r="G23" s="303"/>
      <c r="H23" t="s">
        <v>1019</v>
      </c>
      <c r="I23" t="s">
        <v>1019</v>
      </c>
      <c r="J23" s="9" t="s">
        <v>1144</v>
      </c>
      <c r="K23" t="str">
        <f>VLOOKUP($D$22,$M$7:$O$10,3,FALSE)</f>
        <v>Madame</v>
      </c>
      <c r="M23" t="s">
        <v>169</v>
      </c>
      <c r="N23" t="s">
        <v>6751</v>
      </c>
      <c r="Y23" t="s">
        <v>6026</v>
      </c>
      <c r="Z23" t="s">
        <v>2728</v>
      </c>
      <c r="AA23" s="68" t="str">
        <f>IF($K$23="","",$K$23)</f>
        <v>Madame</v>
      </c>
      <c r="AB23" t="s">
        <v>2585</v>
      </c>
    </row>
    <row r="24" spans="1:28" x14ac:dyDescent="0.25">
      <c r="A24" s="9">
        <f t="shared" si="1"/>
        <v>14</v>
      </c>
      <c r="B24" t="s">
        <v>23</v>
      </c>
      <c r="C24" t="s">
        <v>24</v>
      </c>
      <c r="D24" s="348" t="s">
        <v>6754</v>
      </c>
      <c r="E24" s="348"/>
      <c r="F24" s="348"/>
      <c r="G24" s="303"/>
      <c r="H24" t="s">
        <v>1019</v>
      </c>
      <c r="I24" t="s">
        <v>1019</v>
      </c>
      <c r="J24" s="9" t="s">
        <v>1145</v>
      </c>
      <c r="K24" t="str">
        <f>PROPER($D$24)&amp;" "&amp;UPPER($D$25)</f>
        <v>Niima BETTAOUI</v>
      </c>
      <c r="M24" t="s">
        <v>171</v>
      </c>
      <c r="N24" s="283" t="s">
        <v>6752</v>
      </c>
      <c r="Y24" t="s">
        <v>6027</v>
      </c>
      <c r="Z24" t="s">
        <v>6023</v>
      </c>
      <c r="AA24" s="68" t="str">
        <f>IF($K$24="","",$K$24)</f>
        <v>Niima BETTAOUI</v>
      </c>
      <c r="AB24" t="s">
        <v>2284</v>
      </c>
    </row>
    <row r="25" spans="1:28" x14ac:dyDescent="0.25">
      <c r="A25" s="9">
        <f t="shared" si="1"/>
        <v>15</v>
      </c>
      <c r="B25" t="s">
        <v>25</v>
      </c>
      <c r="C25" t="s">
        <v>1132</v>
      </c>
      <c r="D25" s="348" t="s">
        <v>6755</v>
      </c>
      <c r="E25" s="348"/>
      <c r="F25" s="348"/>
      <c r="G25" s="303"/>
      <c r="H25" t="s">
        <v>1020</v>
      </c>
      <c r="I25" t="s">
        <v>1020</v>
      </c>
      <c r="J25" s="9" t="s">
        <v>1145</v>
      </c>
      <c r="AA25" s="68"/>
    </row>
    <row r="26" spans="1:28" x14ac:dyDescent="0.25">
      <c r="A26" s="9">
        <f t="shared" si="1"/>
        <v>16</v>
      </c>
      <c r="B26" t="s">
        <v>26</v>
      </c>
      <c r="C26" t="s">
        <v>1043</v>
      </c>
      <c r="D26" s="348"/>
      <c r="E26" s="348"/>
      <c r="F26" s="348"/>
      <c r="G26" s="303"/>
      <c r="H26" s="38" t="s">
        <v>1021</v>
      </c>
      <c r="I26" s="38" t="s">
        <v>1072</v>
      </c>
      <c r="J26" s="9" t="s">
        <v>1144</v>
      </c>
      <c r="AA26" s="68"/>
    </row>
    <row r="27" spans="1:28" x14ac:dyDescent="0.25">
      <c r="A27" s="9">
        <f t="shared" si="1"/>
        <v>17</v>
      </c>
      <c r="B27" t="s">
        <v>27</v>
      </c>
      <c r="C27" t="s">
        <v>28</v>
      </c>
      <c r="D27" s="348"/>
      <c r="E27" s="348"/>
      <c r="F27" s="348"/>
      <c r="G27" s="303"/>
      <c r="H27" t="s">
        <v>1019</v>
      </c>
      <c r="I27" t="s">
        <v>1019</v>
      </c>
      <c r="J27" s="9" t="s">
        <v>1144</v>
      </c>
      <c r="M27" t="s">
        <v>136</v>
      </c>
      <c r="AA27" s="68"/>
    </row>
    <row r="28" spans="1:28" x14ac:dyDescent="0.25">
      <c r="A28" s="9">
        <f t="shared" si="1"/>
        <v>18</v>
      </c>
      <c r="B28" t="s">
        <v>21</v>
      </c>
      <c r="C28" t="s">
        <v>22</v>
      </c>
      <c r="D28" s="348" t="s">
        <v>174</v>
      </c>
      <c r="E28" s="348"/>
      <c r="F28" s="348"/>
      <c r="G28" s="303"/>
      <c r="H28" t="s">
        <v>1019</v>
      </c>
      <c r="I28" t="s">
        <v>1019</v>
      </c>
      <c r="J28" s="9" t="s">
        <v>1144</v>
      </c>
      <c r="M28" t="s">
        <v>169</v>
      </c>
      <c r="N28" t="s">
        <v>2730</v>
      </c>
      <c r="AA28" s="68"/>
    </row>
    <row r="29" spans="1:28" x14ac:dyDescent="0.25">
      <c r="A29" s="9">
        <f t="shared" si="1"/>
        <v>19</v>
      </c>
      <c r="B29" t="s">
        <v>29</v>
      </c>
      <c r="C29" s="35" t="s">
        <v>30</v>
      </c>
      <c r="D29" s="348" t="s">
        <v>6756</v>
      </c>
      <c r="E29" s="348"/>
      <c r="F29" s="348"/>
      <c r="G29" s="303"/>
      <c r="H29" t="s">
        <v>1019</v>
      </c>
      <c r="I29" t="s">
        <v>1019</v>
      </c>
      <c r="J29" s="9" t="s">
        <v>1145</v>
      </c>
      <c r="K29" t="str">
        <f>$I$38&amp;"N°"&amp;UPPER($D$29)&amp;UPPER($D$32)</f>
        <v>CIN N°EC74364</v>
      </c>
      <c r="M29" t="s">
        <v>171</v>
      </c>
      <c r="N29" t="s">
        <v>2731</v>
      </c>
      <c r="Y29" t="s">
        <v>6028</v>
      </c>
      <c r="Z29" t="s">
        <v>6024</v>
      </c>
      <c r="AA29" s="68" t="str">
        <f>IF($K$29="","",$K$29)</f>
        <v>CIN N°EC74364</v>
      </c>
      <c r="AB29" t="s">
        <v>2586</v>
      </c>
    </row>
    <row r="30" spans="1:28" x14ac:dyDescent="0.25">
      <c r="A30" s="9">
        <f t="shared" si="1"/>
        <v>20</v>
      </c>
      <c r="B30" t="s">
        <v>31</v>
      </c>
      <c r="C30" s="35" t="s">
        <v>32</v>
      </c>
      <c r="D30" s="348"/>
      <c r="E30" s="348"/>
      <c r="F30" s="348"/>
      <c r="G30" s="303"/>
      <c r="H30" t="s">
        <v>1019</v>
      </c>
      <c r="I30" t="s">
        <v>1019</v>
      </c>
      <c r="J30" s="9" t="s">
        <v>1144</v>
      </c>
      <c r="AA30" s="68"/>
    </row>
    <row r="31" spans="1:28" x14ac:dyDescent="0.25">
      <c r="A31" s="9">
        <f t="shared" si="1"/>
        <v>21</v>
      </c>
      <c r="B31" t="s">
        <v>33</v>
      </c>
      <c r="C31" s="35" t="s">
        <v>34</v>
      </c>
      <c r="D31" s="348"/>
      <c r="E31" s="348"/>
      <c r="F31" s="348"/>
      <c r="G31" s="303"/>
      <c r="H31" t="s">
        <v>1019</v>
      </c>
      <c r="I31" t="s">
        <v>1019</v>
      </c>
      <c r="J31" s="9" t="s">
        <v>1144</v>
      </c>
      <c r="AA31" s="68"/>
    </row>
    <row r="32" spans="1:28" x14ac:dyDescent="0.25">
      <c r="A32" s="9">
        <f t="shared" si="1"/>
        <v>22</v>
      </c>
      <c r="B32" s="36" t="s">
        <v>1133</v>
      </c>
      <c r="C32" s="35" t="s">
        <v>910</v>
      </c>
      <c r="D32" s="348"/>
      <c r="E32" s="348"/>
      <c r="F32" s="348"/>
      <c r="G32" s="303"/>
      <c r="H32" t="s">
        <v>1019</v>
      </c>
      <c r="I32" t="s">
        <v>1019</v>
      </c>
      <c r="J32" s="9" t="s">
        <v>1144</v>
      </c>
      <c r="AA32" s="68"/>
    </row>
    <row r="33" spans="1:28" ht="17.45" customHeight="1" x14ac:dyDescent="0.25">
      <c r="A33" s="9">
        <f t="shared" si="1"/>
        <v>23</v>
      </c>
      <c r="B33" t="s">
        <v>35</v>
      </c>
      <c r="C33" t="s">
        <v>36</v>
      </c>
      <c r="D33" s="295">
        <v>18</v>
      </c>
      <c r="E33" s="291" t="s">
        <v>6704</v>
      </c>
      <c r="F33" s="294">
        <v>2003</v>
      </c>
      <c r="G33" s="303"/>
      <c r="H33" t="s">
        <v>1019</v>
      </c>
      <c r="I33" t="s">
        <v>1019</v>
      </c>
      <c r="J33" s="9" t="s">
        <v>1145</v>
      </c>
      <c r="K33" t="str">
        <f>CONCATENATE($D$33&amp;" ",VLOOKUP($E$33,LOV!$C$85:$D$96,2,FALSE)," "&amp;$F$33)</f>
        <v>18 February 2003</v>
      </c>
      <c r="Y33" t="s">
        <v>6029</v>
      </c>
      <c r="Z33" t="s">
        <v>6021</v>
      </c>
      <c r="AA33" s="68" t="str">
        <f>IF($K$33="","",$K$33)</f>
        <v>18 February 2003</v>
      </c>
      <c r="AB33" t="s">
        <v>2725</v>
      </c>
    </row>
    <row r="34" spans="1:28" ht="18" customHeight="1" x14ac:dyDescent="0.25">
      <c r="A34" s="9">
        <f t="shared" si="1"/>
        <v>24</v>
      </c>
      <c r="B34" t="s">
        <v>37</v>
      </c>
      <c r="C34" t="s">
        <v>178</v>
      </c>
      <c r="D34" s="353" t="s">
        <v>479</v>
      </c>
      <c r="E34" s="353"/>
      <c r="F34" s="353"/>
      <c r="G34" s="303"/>
      <c r="H34" t="s">
        <v>1019</v>
      </c>
      <c r="I34" t="s">
        <v>1019</v>
      </c>
      <c r="J34" s="9" t="s">
        <v>1144</v>
      </c>
      <c r="K34" t="str">
        <f>TEXT($K$33,"dd/mm/yyyy")</f>
        <v>18 February 2003</v>
      </c>
      <c r="AA34" s="68"/>
    </row>
    <row r="35" spans="1:28" x14ac:dyDescent="0.25">
      <c r="A35" s="9">
        <f t="shared" si="1"/>
        <v>25</v>
      </c>
      <c r="C35" s="35" t="s">
        <v>2726</v>
      </c>
      <c r="D35" s="348" t="s">
        <v>6757</v>
      </c>
      <c r="E35" s="348"/>
      <c r="F35" s="348"/>
      <c r="G35" s="303"/>
      <c r="H35" s="38" t="s">
        <v>1022</v>
      </c>
      <c r="I35" s="38" t="s">
        <v>1071</v>
      </c>
      <c r="J35" s="9" t="s">
        <v>1144</v>
      </c>
      <c r="K35" t="str">
        <f>TEXT($K$33,"mm/dd/yyyy")</f>
        <v>18 February 2003</v>
      </c>
      <c r="AA35" s="68"/>
    </row>
    <row r="36" spans="1:28" ht="17.100000000000001" customHeight="1" x14ac:dyDescent="0.25">
      <c r="A36" s="9">
        <f t="shared" si="1"/>
        <v>26</v>
      </c>
      <c r="B36" t="s">
        <v>46</v>
      </c>
      <c r="C36" t="s">
        <v>47</v>
      </c>
      <c r="D36" s="345" t="s">
        <v>1064</v>
      </c>
      <c r="E36" s="345"/>
      <c r="F36" s="345"/>
      <c r="G36" s="303"/>
      <c r="H36" s="38"/>
      <c r="I36" s="38"/>
      <c r="K36" t="str">
        <f>LEFT($D$37,FIND("-",$D$37)-1)</f>
        <v xml:space="preserve">Marocaine </v>
      </c>
      <c r="Y36" t="s">
        <v>6030</v>
      </c>
      <c r="Z36" t="s">
        <v>6557</v>
      </c>
      <c r="AA36" s="68" t="str">
        <f>IF($K$36="","",$K$36)</f>
        <v xml:space="preserve">Marocaine </v>
      </c>
      <c r="AB36" t="s">
        <v>2589</v>
      </c>
    </row>
    <row r="37" spans="1:28" ht="18" customHeight="1" x14ac:dyDescent="0.25">
      <c r="A37" s="9">
        <f t="shared" si="1"/>
        <v>27</v>
      </c>
      <c r="B37" s="60" t="s">
        <v>2587</v>
      </c>
      <c r="C37" s="60" t="s">
        <v>2588</v>
      </c>
      <c r="D37" s="353" t="s">
        <v>1295</v>
      </c>
      <c r="E37" s="353"/>
      <c r="F37" s="353"/>
      <c r="G37" s="303"/>
      <c r="H37" s="38"/>
      <c r="I37" s="38"/>
      <c r="AA37" s="68"/>
    </row>
    <row r="38" spans="1:28" ht="15" customHeight="1" x14ac:dyDescent="0.25">
      <c r="D38" s="4"/>
      <c r="E38" s="4"/>
      <c r="F38" s="4"/>
      <c r="G38" s="303"/>
      <c r="I38" t="str">
        <f>IF($D$32="","CIN ","carte de séjour/ ")</f>
        <v xml:space="preserve">CIN </v>
      </c>
      <c r="AA38" s="68"/>
    </row>
    <row r="39" spans="1:28" ht="24" customHeight="1" x14ac:dyDescent="0.25">
      <c r="A39" s="175" t="s">
        <v>0</v>
      </c>
      <c r="B39" s="175" t="s">
        <v>134</v>
      </c>
      <c r="C39" s="175" t="s">
        <v>135</v>
      </c>
      <c r="D39" s="176"/>
      <c r="E39" s="176"/>
      <c r="F39" s="176"/>
      <c r="G39" s="305"/>
      <c r="AA39" s="68"/>
    </row>
    <row r="40" spans="1:28" ht="15.75" customHeight="1" x14ac:dyDescent="0.25">
      <c r="A40" s="361" t="s">
        <v>106</v>
      </c>
      <c r="B40" s="361"/>
      <c r="C40" s="361"/>
      <c r="D40" s="4"/>
      <c r="E40" s="4"/>
      <c r="F40" s="4"/>
      <c r="G40" s="303"/>
      <c r="AA40" s="68"/>
    </row>
    <row r="41" spans="1:28" x14ac:dyDescent="0.25">
      <c r="A41" s="9">
        <f>A37+1</f>
        <v>28</v>
      </c>
      <c r="B41" t="s">
        <v>107</v>
      </c>
      <c r="C41" t="s">
        <v>108</v>
      </c>
      <c r="D41" s="345" t="s">
        <v>136</v>
      </c>
      <c r="E41" s="345"/>
      <c r="F41" s="345"/>
      <c r="G41" s="303"/>
      <c r="H41" t="s">
        <v>1019</v>
      </c>
      <c r="I41" t="s">
        <v>1019</v>
      </c>
      <c r="J41" s="9" t="s">
        <v>1144</v>
      </c>
      <c r="AA41" s="68"/>
    </row>
    <row r="42" spans="1:28" ht="17.45" customHeight="1" x14ac:dyDescent="0.25">
      <c r="A42" s="9">
        <f>A41+1</f>
        <v>29</v>
      </c>
      <c r="B42" t="s">
        <v>109</v>
      </c>
      <c r="C42" t="s">
        <v>43</v>
      </c>
      <c r="D42" s="353" t="s">
        <v>136</v>
      </c>
      <c r="E42" s="353"/>
      <c r="F42" s="353"/>
      <c r="G42" s="303"/>
      <c r="H42" t="s">
        <v>1019</v>
      </c>
      <c r="I42" t="s">
        <v>1019</v>
      </c>
      <c r="J42" s="9" t="s">
        <v>1145</v>
      </c>
      <c r="K42" t="s">
        <v>1384</v>
      </c>
      <c r="AA42" s="68"/>
    </row>
    <row r="43" spans="1:28" x14ac:dyDescent="0.25">
      <c r="A43" s="9">
        <f t="shared" ref="A43:A47" si="2">A42+1</f>
        <v>30</v>
      </c>
      <c r="B43" t="s">
        <v>110</v>
      </c>
      <c r="C43" t="s">
        <v>111</v>
      </c>
      <c r="D43" s="348"/>
      <c r="E43" s="348"/>
      <c r="F43" s="348"/>
      <c r="G43" s="303"/>
      <c r="H43" t="s">
        <v>1019</v>
      </c>
      <c r="I43" t="s">
        <v>1019</v>
      </c>
      <c r="J43" s="9" t="s">
        <v>1144</v>
      </c>
      <c r="AA43" s="68"/>
    </row>
    <row r="44" spans="1:28" x14ac:dyDescent="0.25">
      <c r="A44" s="9">
        <f t="shared" si="2"/>
        <v>31</v>
      </c>
      <c r="B44" t="s">
        <v>112</v>
      </c>
      <c r="C44" t="s">
        <v>113</v>
      </c>
      <c r="D44" s="292" t="s">
        <v>6716</v>
      </c>
      <c r="E44" s="290" t="s">
        <v>6717</v>
      </c>
      <c r="F44" s="296" t="s">
        <v>6715</v>
      </c>
      <c r="G44" s="303"/>
      <c r="H44" t="s">
        <v>1019</v>
      </c>
      <c r="I44" t="s">
        <v>1019</v>
      </c>
      <c r="J44" s="9" t="s">
        <v>1144</v>
      </c>
      <c r="K44" t="e">
        <f>CONCATENATE($D$44,VLOOKUP($E$44,LOV!$C$85:$D$96,2,FALSE)&amp;$F$44)</f>
        <v>#N/A</v>
      </c>
      <c r="L44" t="e">
        <f>TEXT($K$44,"mm/dd/yyyy")</f>
        <v>#N/A</v>
      </c>
      <c r="AA44" s="68"/>
    </row>
    <row r="45" spans="1:28" x14ac:dyDescent="0.25">
      <c r="A45" s="9">
        <f t="shared" si="2"/>
        <v>32</v>
      </c>
      <c r="B45" t="s">
        <v>114</v>
      </c>
      <c r="C45" t="s">
        <v>115</v>
      </c>
      <c r="D45" s="292" t="s">
        <v>6716</v>
      </c>
      <c r="E45" s="290" t="s">
        <v>6717</v>
      </c>
      <c r="F45" s="296" t="s">
        <v>6715</v>
      </c>
      <c r="G45" s="303"/>
      <c r="H45" t="s">
        <v>1019</v>
      </c>
      <c r="I45" t="s">
        <v>1019</v>
      </c>
      <c r="J45" s="9" t="s">
        <v>1144</v>
      </c>
      <c r="K45" t="e">
        <f>CONCATENATE($D$45,VLOOKUP($E$45,LOV!$C$85:$D$96,2,FALSE)&amp;$F$45)</f>
        <v>#N/A</v>
      </c>
      <c r="L45" t="e">
        <f>TEXT($K$45,"mm/dd/yyyy")</f>
        <v>#N/A</v>
      </c>
      <c r="AA45" s="68"/>
    </row>
    <row r="46" spans="1:28" x14ac:dyDescent="0.25">
      <c r="A46" s="9">
        <f t="shared" si="2"/>
        <v>33</v>
      </c>
      <c r="B46" t="s">
        <v>116</v>
      </c>
      <c r="C46" t="s">
        <v>117</v>
      </c>
      <c r="D46" s="348"/>
      <c r="E46" s="348"/>
      <c r="F46" s="348"/>
      <c r="G46" s="303"/>
      <c r="H46" t="s">
        <v>1019</v>
      </c>
      <c r="I46" t="s">
        <v>1019</v>
      </c>
      <c r="J46" s="9" t="s">
        <v>1144</v>
      </c>
      <c r="AA46" s="68"/>
    </row>
    <row r="47" spans="1:28" x14ac:dyDescent="0.25">
      <c r="A47" s="9">
        <f t="shared" si="2"/>
        <v>34</v>
      </c>
      <c r="B47" t="s">
        <v>118</v>
      </c>
      <c r="C47" t="s">
        <v>119</v>
      </c>
      <c r="D47" s="348"/>
      <c r="E47" s="348"/>
      <c r="F47" s="348"/>
      <c r="G47" s="303"/>
      <c r="H47" t="s">
        <v>1019</v>
      </c>
      <c r="I47" t="s">
        <v>1019</v>
      </c>
      <c r="J47" s="9" t="s">
        <v>1144</v>
      </c>
      <c r="AA47" s="68"/>
    </row>
    <row r="48" spans="1:28" ht="15.75" customHeight="1" x14ac:dyDescent="0.25">
      <c r="A48" s="361" t="s">
        <v>120</v>
      </c>
      <c r="B48" s="361"/>
      <c r="C48" s="361"/>
      <c r="D48" s="4"/>
      <c r="E48" s="4"/>
      <c r="F48" s="4"/>
      <c r="G48" s="303"/>
      <c r="J48" s="9" t="s">
        <v>1144</v>
      </c>
      <c r="AA48" s="68"/>
    </row>
    <row r="49" spans="1:28" x14ac:dyDescent="0.25">
      <c r="A49" s="9">
        <f>A47+1</f>
        <v>35</v>
      </c>
      <c r="B49" t="s">
        <v>121</v>
      </c>
      <c r="C49" t="s">
        <v>122</v>
      </c>
      <c r="D49" s="348" t="s">
        <v>136</v>
      </c>
      <c r="E49" s="348"/>
      <c r="F49" s="348"/>
      <c r="G49" s="303"/>
      <c r="H49" s="38" t="s">
        <v>1042</v>
      </c>
      <c r="I49" s="38" t="s">
        <v>1086</v>
      </c>
      <c r="J49" s="9" t="s">
        <v>1144</v>
      </c>
      <c r="AA49" s="68"/>
    </row>
    <row r="50" spans="1:28" x14ac:dyDescent="0.25">
      <c r="A50" s="9">
        <f>A49+1</f>
        <v>36</v>
      </c>
      <c r="B50" t="s">
        <v>123</v>
      </c>
      <c r="C50" t="s">
        <v>124</v>
      </c>
      <c r="D50" s="348" t="s">
        <v>136</v>
      </c>
      <c r="E50" s="348"/>
      <c r="F50" s="348"/>
      <c r="G50" s="303"/>
      <c r="H50" s="38" t="s">
        <v>1023</v>
      </c>
      <c r="I50" s="38" t="s">
        <v>1086</v>
      </c>
      <c r="J50" s="9" t="s">
        <v>1144</v>
      </c>
      <c r="AA50" s="68"/>
    </row>
    <row r="51" spans="1:28" x14ac:dyDescent="0.25">
      <c r="A51" s="9">
        <f t="shared" ref="A51:A55" si="3">A50+1</f>
        <v>37</v>
      </c>
      <c r="B51" s="36" t="s">
        <v>1024</v>
      </c>
      <c r="C51" t="s">
        <v>125</v>
      </c>
      <c r="D51" s="348"/>
      <c r="E51" s="348"/>
      <c r="F51" s="348"/>
      <c r="G51" s="303"/>
      <c r="H51" t="s">
        <v>1019</v>
      </c>
      <c r="I51" t="s">
        <v>1019</v>
      </c>
      <c r="J51" s="9" t="s">
        <v>1144</v>
      </c>
      <c r="AA51" s="68"/>
    </row>
    <row r="52" spans="1:28" x14ac:dyDescent="0.25">
      <c r="A52" s="9">
        <f t="shared" si="3"/>
        <v>38</v>
      </c>
      <c r="B52" t="s">
        <v>126</v>
      </c>
      <c r="C52" t="s">
        <v>127</v>
      </c>
      <c r="D52" s="292" t="s">
        <v>6716</v>
      </c>
      <c r="E52" s="290" t="s">
        <v>6717</v>
      </c>
      <c r="F52" s="293" t="s">
        <v>6715</v>
      </c>
      <c r="G52" s="303"/>
      <c r="H52" t="s">
        <v>1019</v>
      </c>
      <c r="I52" t="s">
        <v>1019</v>
      </c>
      <c r="J52" s="9" t="s">
        <v>1144</v>
      </c>
      <c r="K52" t="e">
        <f>CONCATENATE($D$52,VLOOKUP($E$52,LOV!$C$85:$D$96,2,FALSE)&amp;$F$52)</f>
        <v>#N/A</v>
      </c>
      <c r="L52" t="e">
        <f>TEXT($K$52,"mm/dd/yyyy")</f>
        <v>#N/A</v>
      </c>
      <c r="AA52" s="68"/>
    </row>
    <row r="53" spans="1:28" x14ac:dyDescent="0.25">
      <c r="A53" s="9">
        <f t="shared" si="3"/>
        <v>39</v>
      </c>
      <c r="B53" t="s">
        <v>128</v>
      </c>
      <c r="C53" t="s">
        <v>129</v>
      </c>
      <c r="D53" s="292" t="s">
        <v>6716</v>
      </c>
      <c r="E53" s="290" t="s">
        <v>6717</v>
      </c>
      <c r="F53" s="293" t="s">
        <v>6715</v>
      </c>
      <c r="G53" s="303"/>
      <c r="H53" t="s">
        <v>1019</v>
      </c>
      <c r="I53" t="s">
        <v>1019</v>
      </c>
      <c r="J53" s="9" t="s">
        <v>1144</v>
      </c>
      <c r="K53" t="e">
        <f>CONCATENATE($D$53,VLOOKUP($E$53,LOV!$C$85:$D$96,2,FALSE)&amp;$F$53)</f>
        <v>#N/A</v>
      </c>
      <c r="L53" t="e">
        <f>TEXT($K$53,"mm/dd/yyyy")</f>
        <v>#N/A</v>
      </c>
      <c r="AA53" s="68"/>
    </row>
    <row r="54" spans="1:28" x14ac:dyDescent="0.25">
      <c r="A54" s="9">
        <f t="shared" si="3"/>
        <v>40</v>
      </c>
      <c r="B54" t="s">
        <v>130</v>
      </c>
      <c r="C54" t="s">
        <v>131</v>
      </c>
      <c r="D54" s="348"/>
      <c r="E54" s="348"/>
      <c r="F54" s="348"/>
      <c r="G54" s="303"/>
      <c r="H54" t="s">
        <v>1019</v>
      </c>
      <c r="I54" t="s">
        <v>1019</v>
      </c>
      <c r="J54" s="9" t="s">
        <v>1144</v>
      </c>
      <c r="AA54" s="68"/>
    </row>
    <row r="55" spans="1:28" x14ac:dyDescent="0.25">
      <c r="A55" s="9">
        <f t="shared" si="3"/>
        <v>41</v>
      </c>
      <c r="B55" t="s">
        <v>132</v>
      </c>
      <c r="C55" t="s">
        <v>133</v>
      </c>
      <c r="D55" s="348"/>
      <c r="E55" s="348"/>
      <c r="F55" s="348"/>
      <c r="G55" s="303"/>
      <c r="H55" t="s">
        <v>1019</v>
      </c>
      <c r="I55" t="s">
        <v>1019</v>
      </c>
      <c r="J55" s="9" t="s">
        <v>1144</v>
      </c>
      <c r="AA55" s="68"/>
    </row>
    <row r="56" spans="1:28" x14ac:dyDescent="0.25">
      <c r="D56" s="4"/>
      <c r="E56" s="4"/>
      <c r="F56" s="4"/>
      <c r="G56" s="303"/>
      <c r="AA56" s="68"/>
    </row>
    <row r="57" spans="1:28" ht="15" customHeight="1" x14ac:dyDescent="0.25">
      <c r="D57" s="4"/>
      <c r="E57" s="4"/>
      <c r="F57" s="4"/>
      <c r="G57" s="303"/>
      <c r="AA57" s="68"/>
    </row>
    <row r="58" spans="1:28" ht="15" customHeight="1" x14ac:dyDescent="0.25">
      <c r="D58" s="4"/>
      <c r="E58" s="4"/>
      <c r="F58" s="4"/>
      <c r="G58" s="303"/>
      <c r="AA58" s="68"/>
    </row>
    <row r="59" spans="1:28" ht="30" x14ac:dyDescent="0.25">
      <c r="A59" s="175" t="s">
        <v>0</v>
      </c>
      <c r="B59" s="175" t="s">
        <v>4237</v>
      </c>
      <c r="C59" s="175" t="s">
        <v>4238</v>
      </c>
      <c r="D59" s="177"/>
      <c r="E59" s="177"/>
      <c r="F59" s="177"/>
      <c r="G59" s="45"/>
      <c r="AA59" s="68"/>
    </row>
    <row r="60" spans="1:28" x14ac:dyDescent="0.25">
      <c r="D60" s="4"/>
      <c r="E60" s="4"/>
      <c r="F60" s="4"/>
      <c r="G60" s="303"/>
      <c r="AA60" s="68"/>
    </row>
    <row r="61" spans="1:28" x14ac:dyDescent="0.25">
      <c r="A61" s="9">
        <f>A55+1</f>
        <v>42</v>
      </c>
      <c r="B61" t="s">
        <v>3017</v>
      </c>
      <c r="C61" t="s">
        <v>3018</v>
      </c>
      <c r="D61" s="348" t="s">
        <v>6758</v>
      </c>
      <c r="E61" s="348"/>
      <c r="F61" s="348"/>
      <c r="G61" s="303"/>
      <c r="J61" s="9" t="s">
        <v>1145</v>
      </c>
      <c r="K61" t="str">
        <f>PROPER($D$61)&amp;" "&amp;PROPER($D$62)&amp;" "&amp;PROPER($D$63)</f>
        <v xml:space="preserve">Hay Ennasser Nr 240 Chichaoua  </v>
      </c>
      <c r="Y61" t="s">
        <v>6031</v>
      </c>
      <c r="Z61" t="s">
        <v>6044</v>
      </c>
      <c r="AA61" s="68" t="str">
        <f>IF($K$61="","",$K$61)</f>
        <v xml:space="preserve">Hay Ennasser Nr 240 Chichaoua  </v>
      </c>
      <c r="AB61" t="s">
        <v>2590</v>
      </c>
    </row>
    <row r="62" spans="1:28" x14ac:dyDescent="0.25">
      <c r="A62" s="9">
        <f>A61+1</f>
        <v>43</v>
      </c>
      <c r="B62" t="s">
        <v>3015</v>
      </c>
      <c r="C62" t="s">
        <v>2400</v>
      </c>
      <c r="D62" s="348"/>
      <c r="E62" s="348"/>
      <c r="F62" s="348"/>
      <c r="G62" s="303"/>
      <c r="H62" t="s">
        <v>1019</v>
      </c>
      <c r="I62" t="s">
        <v>1019</v>
      </c>
      <c r="J62" s="9" t="s">
        <v>1145</v>
      </c>
      <c r="AA62" s="68"/>
    </row>
    <row r="63" spans="1:28" x14ac:dyDescent="0.25">
      <c r="A63" s="9">
        <f t="shared" ref="A63:A70" si="4">A62+1</f>
        <v>44</v>
      </c>
      <c r="B63" t="s">
        <v>3016</v>
      </c>
      <c r="C63" t="s">
        <v>3019</v>
      </c>
      <c r="D63" s="348"/>
      <c r="E63" s="348"/>
      <c r="F63" s="348"/>
      <c r="G63" s="303"/>
      <c r="H63" t="s">
        <v>1019</v>
      </c>
      <c r="I63" t="s">
        <v>1019</v>
      </c>
      <c r="J63" s="9" t="s">
        <v>1145</v>
      </c>
      <c r="K63" t="str">
        <f>PROPER(D64)</f>
        <v>Chichaoua</v>
      </c>
      <c r="Y63" t="s">
        <v>6032</v>
      </c>
      <c r="Z63" t="s">
        <v>6559</v>
      </c>
      <c r="AA63" s="68" t="str">
        <f>IF($K$63="","",$K$63)</f>
        <v>Chichaoua</v>
      </c>
      <c r="AB63" t="s">
        <v>117</v>
      </c>
    </row>
    <row r="64" spans="1:28" x14ac:dyDescent="0.25">
      <c r="A64" s="9">
        <f t="shared" si="4"/>
        <v>45</v>
      </c>
      <c r="B64" t="s">
        <v>38</v>
      </c>
      <c r="C64" t="s">
        <v>39</v>
      </c>
      <c r="D64" s="348" t="s">
        <v>6759</v>
      </c>
      <c r="E64" s="348"/>
      <c r="F64" s="348"/>
      <c r="G64" s="303"/>
      <c r="H64" t="s">
        <v>1019</v>
      </c>
      <c r="I64" t="s">
        <v>1019</v>
      </c>
      <c r="J64" s="9" t="s">
        <v>1144</v>
      </c>
      <c r="AA64" s="68"/>
    </row>
    <row r="65" spans="1:28" x14ac:dyDescent="0.25">
      <c r="A65" s="9">
        <f t="shared" si="4"/>
        <v>46</v>
      </c>
      <c r="B65" t="s">
        <v>40</v>
      </c>
      <c r="C65" t="s">
        <v>41</v>
      </c>
      <c r="D65" s="355">
        <v>41000</v>
      </c>
      <c r="E65" s="356"/>
      <c r="F65" s="356"/>
      <c r="G65" s="303"/>
      <c r="H65" t="s">
        <v>1019</v>
      </c>
      <c r="I65" t="s">
        <v>1019</v>
      </c>
      <c r="J65" s="9" t="s">
        <v>1144</v>
      </c>
      <c r="K65" t="str">
        <f>LEFT($D$66,FIND("-",$D$66)-1)</f>
        <v>Maroc</v>
      </c>
      <c r="Y65" t="s">
        <v>6033</v>
      </c>
      <c r="Z65" t="s">
        <v>6560</v>
      </c>
      <c r="AA65" s="68" t="str">
        <f>IF($K$65="","",$K$65)</f>
        <v>Maroc</v>
      </c>
      <c r="AB65" t="s">
        <v>2591</v>
      </c>
    </row>
    <row r="66" spans="1:28" ht="17.45" customHeight="1" x14ac:dyDescent="0.25">
      <c r="A66" s="9">
        <f t="shared" si="4"/>
        <v>47</v>
      </c>
      <c r="B66" t="s">
        <v>42</v>
      </c>
      <c r="C66" t="s">
        <v>43</v>
      </c>
      <c r="D66" s="353" t="s">
        <v>479</v>
      </c>
      <c r="E66" s="353"/>
      <c r="F66" s="353"/>
      <c r="G66" s="303"/>
      <c r="J66" s="9" t="s">
        <v>1144</v>
      </c>
      <c r="AA66" s="68"/>
    </row>
    <row r="67" spans="1:28" x14ac:dyDescent="0.25">
      <c r="A67" s="9">
        <f t="shared" si="4"/>
        <v>48</v>
      </c>
      <c r="B67" t="s">
        <v>992</v>
      </c>
      <c r="C67" t="s">
        <v>993</v>
      </c>
      <c r="D67" s="351"/>
      <c r="E67" s="351"/>
      <c r="F67" s="351"/>
      <c r="G67" s="303"/>
      <c r="H67" t="s">
        <v>1019</v>
      </c>
      <c r="I67" t="s">
        <v>1019</v>
      </c>
      <c r="J67" s="9" t="s">
        <v>1144</v>
      </c>
      <c r="AA67" s="68"/>
    </row>
    <row r="68" spans="1:28" x14ac:dyDescent="0.25">
      <c r="A68" s="9">
        <f t="shared" si="4"/>
        <v>49</v>
      </c>
      <c r="B68" t="s">
        <v>44</v>
      </c>
      <c r="C68" t="s">
        <v>45</v>
      </c>
      <c r="D68" s="351">
        <v>657432134</v>
      </c>
      <c r="E68" s="351"/>
      <c r="F68" s="351"/>
      <c r="G68" s="303"/>
      <c r="H68" t="s">
        <v>1019</v>
      </c>
      <c r="I68" t="s">
        <v>1019</v>
      </c>
      <c r="J68" s="9" t="s">
        <v>1144</v>
      </c>
      <c r="AA68" s="68"/>
    </row>
    <row r="69" spans="1:28" x14ac:dyDescent="0.25">
      <c r="A69" s="9">
        <f t="shared" si="4"/>
        <v>50</v>
      </c>
      <c r="B69" t="s">
        <v>994</v>
      </c>
      <c r="C69" t="s">
        <v>995</v>
      </c>
      <c r="D69" s="362" t="s">
        <v>997</v>
      </c>
      <c r="E69" s="362"/>
      <c r="F69" s="362"/>
      <c r="G69" s="303"/>
      <c r="H69" t="s">
        <v>1019</v>
      </c>
      <c r="I69" t="s">
        <v>1019</v>
      </c>
      <c r="J69" s="9" t="s">
        <v>1144</v>
      </c>
      <c r="AA69" s="68"/>
    </row>
    <row r="70" spans="1:28" x14ac:dyDescent="0.25">
      <c r="A70" s="9">
        <f t="shared" si="4"/>
        <v>51</v>
      </c>
      <c r="B70" t="s">
        <v>1134</v>
      </c>
      <c r="C70" t="s">
        <v>1135</v>
      </c>
      <c r="D70" s="348" t="s">
        <v>6760</v>
      </c>
      <c r="E70" s="348"/>
      <c r="F70" s="348"/>
      <c r="G70" s="303"/>
      <c r="H70" t="s">
        <v>1019</v>
      </c>
      <c r="I70" t="s">
        <v>1019</v>
      </c>
      <c r="J70" s="9" t="s">
        <v>1144</v>
      </c>
      <c r="AA70" s="68"/>
    </row>
    <row r="71" spans="1:28" x14ac:dyDescent="0.25">
      <c r="D71" s="4"/>
      <c r="E71" s="4"/>
      <c r="F71" s="4"/>
      <c r="G71" s="303"/>
      <c r="AA71" s="68"/>
    </row>
    <row r="72" spans="1:28" x14ac:dyDescent="0.25">
      <c r="D72" s="4"/>
      <c r="E72" s="4"/>
      <c r="F72" s="4"/>
      <c r="G72" s="303"/>
      <c r="J72" s="9" t="s">
        <v>1144</v>
      </c>
      <c r="AA72" s="68"/>
    </row>
    <row r="73" spans="1:28" x14ac:dyDescent="0.25">
      <c r="A73" s="9">
        <f>A70+1</f>
        <v>52</v>
      </c>
      <c r="B73" t="s">
        <v>1136</v>
      </c>
      <c r="C73" t="s">
        <v>1137</v>
      </c>
      <c r="D73" s="345" t="s">
        <v>6761</v>
      </c>
      <c r="E73" s="345"/>
      <c r="F73" s="345"/>
      <c r="G73" s="303"/>
      <c r="H73" t="s">
        <v>1019</v>
      </c>
      <c r="I73" t="s">
        <v>1019</v>
      </c>
      <c r="J73" s="9" t="s">
        <v>1144</v>
      </c>
      <c r="AA73" s="68"/>
    </row>
    <row r="74" spans="1:28" x14ac:dyDescent="0.25">
      <c r="A74" s="9">
        <f>A73+1</f>
        <v>53</v>
      </c>
      <c r="B74" t="s">
        <v>1139</v>
      </c>
      <c r="C74" t="s">
        <v>1138</v>
      </c>
      <c r="D74" s="348" t="s">
        <v>3021</v>
      </c>
      <c r="E74" s="348"/>
      <c r="F74" s="348"/>
      <c r="G74" s="303"/>
      <c r="H74" s="38" t="s">
        <v>1025</v>
      </c>
      <c r="I74" s="38" t="s">
        <v>1119</v>
      </c>
      <c r="J74" s="9" t="s">
        <v>1144</v>
      </c>
      <c r="AA74" s="68"/>
    </row>
    <row r="75" spans="1:28" x14ac:dyDescent="0.25">
      <c r="A75" s="9">
        <f>A74+1</f>
        <v>54</v>
      </c>
      <c r="B75" t="s">
        <v>1140</v>
      </c>
      <c r="C75" t="s">
        <v>1141</v>
      </c>
      <c r="D75" s="351">
        <v>663053207</v>
      </c>
      <c r="E75" s="351"/>
      <c r="F75" s="351"/>
      <c r="G75" s="303"/>
      <c r="H75" t="s">
        <v>1019</v>
      </c>
      <c r="I75" t="s">
        <v>1019</v>
      </c>
      <c r="J75" s="9" t="s">
        <v>1144</v>
      </c>
      <c r="AA75" s="68"/>
    </row>
    <row r="76" spans="1:28" x14ac:dyDescent="0.25">
      <c r="D76" s="4"/>
      <c r="E76" s="4"/>
      <c r="F76" s="4"/>
      <c r="G76" s="303"/>
      <c r="AA76" s="68"/>
    </row>
    <row r="77" spans="1:28" ht="30" x14ac:dyDescent="0.25">
      <c r="A77" s="175" t="s">
        <v>0</v>
      </c>
      <c r="B77" s="175" t="s">
        <v>4239</v>
      </c>
      <c r="C77" s="175" t="s">
        <v>4240</v>
      </c>
      <c r="D77" s="177"/>
      <c r="E77" s="177"/>
      <c r="F77" s="177"/>
      <c r="G77" s="45"/>
      <c r="AA77" s="68"/>
    </row>
    <row r="78" spans="1:28" x14ac:dyDescent="0.25">
      <c r="D78" s="4"/>
      <c r="E78" s="4"/>
      <c r="F78" s="4"/>
      <c r="G78" s="303"/>
      <c r="AA78" s="68"/>
    </row>
    <row r="79" spans="1:28" x14ac:dyDescent="0.25">
      <c r="A79" s="9">
        <f>A75+1</f>
        <v>55</v>
      </c>
      <c r="B79" t="s">
        <v>48</v>
      </c>
      <c r="C79" t="s">
        <v>49</v>
      </c>
      <c r="D79" s="344" t="s">
        <v>168</v>
      </c>
      <c r="E79" s="344"/>
      <c r="F79" s="344"/>
      <c r="G79" s="303"/>
      <c r="H79" t="s">
        <v>1019</v>
      </c>
      <c r="I79" t="s">
        <v>1019</v>
      </c>
      <c r="J79" s="9" t="s">
        <v>1144</v>
      </c>
      <c r="AA79" s="68"/>
    </row>
    <row r="80" spans="1:28" x14ac:dyDescent="0.25">
      <c r="A80" s="9">
        <f>A79+1</f>
        <v>56</v>
      </c>
      <c r="B80" t="s">
        <v>50</v>
      </c>
      <c r="C80" t="s">
        <v>51</v>
      </c>
      <c r="D80" s="292" t="s">
        <v>6716</v>
      </c>
      <c r="E80" s="290" t="s">
        <v>6717</v>
      </c>
      <c r="F80" s="293" t="s">
        <v>6715</v>
      </c>
      <c r="G80" s="303"/>
      <c r="H80" s="30" t="s">
        <v>1019</v>
      </c>
      <c r="I80" s="30" t="s">
        <v>1019</v>
      </c>
      <c r="J80" s="9" t="s">
        <v>1144</v>
      </c>
      <c r="AA80" s="68"/>
    </row>
    <row r="81" spans="1:28" x14ac:dyDescent="0.25">
      <c r="A81" s="9">
        <f>A80+1</f>
        <v>57</v>
      </c>
      <c r="B81" t="s">
        <v>52</v>
      </c>
      <c r="C81" t="s">
        <v>53</v>
      </c>
      <c r="D81" s="348"/>
      <c r="E81" s="348"/>
      <c r="F81" s="348"/>
      <c r="G81" s="303"/>
      <c r="H81" t="s">
        <v>1019</v>
      </c>
      <c r="I81" t="s">
        <v>1019</v>
      </c>
      <c r="J81" s="9" t="s">
        <v>1144</v>
      </c>
      <c r="AA81" s="68"/>
    </row>
    <row r="82" spans="1:28" x14ac:dyDescent="0.25">
      <c r="D82" s="4"/>
      <c r="E82" s="4"/>
      <c r="F82" s="4"/>
      <c r="G82" s="303"/>
      <c r="AA82" s="68"/>
    </row>
    <row r="83" spans="1:28" ht="30" x14ac:dyDescent="0.25">
      <c r="A83" s="175" t="s">
        <v>0</v>
      </c>
      <c r="B83" s="175" t="s">
        <v>4241</v>
      </c>
      <c r="C83" s="175" t="s">
        <v>4242</v>
      </c>
      <c r="D83" s="177"/>
      <c r="E83" s="177"/>
      <c r="F83" s="177"/>
      <c r="G83" s="45"/>
      <c r="L83" s="3"/>
      <c r="M83" s="3"/>
      <c r="N83" s="3"/>
      <c r="O83" s="3"/>
      <c r="R83" t="s">
        <v>2309</v>
      </c>
      <c r="S83" s="55" t="s">
        <v>2399</v>
      </c>
      <c r="T83" t="s">
        <v>2399</v>
      </c>
      <c r="U83" t="s">
        <v>2310</v>
      </c>
      <c r="V83" t="s">
        <v>2399</v>
      </c>
      <c r="AA83" s="68"/>
    </row>
    <row r="84" spans="1:28" x14ac:dyDescent="0.25">
      <c r="A84" s="14"/>
      <c r="B84" s="14"/>
      <c r="C84" s="14"/>
      <c r="D84" s="15"/>
      <c r="E84" s="15"/>
      <c r="F84" s="15"/>
      <c r="G84" s="15"/>
      <c r="L84" s="3"/>
      <c r="M84" s="3"/>
      <c r="N84" s="3"/>
      <c r="O84" s="3"/>
      <c r="R84" t="s">
        <v>2311</v>
      </c>
      <c r="S84" s="55" t="s">
        <v>2312</v>
      </c>
      <c r="T84" t="s">
        <v>2313</v>
      </c>
      <c r="U84" t="s">
        <v>2314</v>
      </c>
      <c r="V84" t="s">
        <v>2315</v>
      </c>
      <c r="AA84" s="68"/>
    </row>
    <row r="85" spans="1:28" x14ac:dyDescent="0.25">
      <c r="A85" s="363" t="s">
        <v>5977</v>
      </c>
      <c r="B85" s="363"/>
      <c r="C85" s="20" t="s">
        <v>971</v>
      </c>
      <c r="D85" s="31"/>
      <c r="E85" s="31"/>
      <c r="F85" s="31"/>
      <c r="G85" s="13"/>
      <c r="L85" s="3"/>
      <c r="M85" s="3"/>
      <c r="N85" s="3"/>
      <c r="O85" s="3"/>
      <c r="R85" t="s">
        <v>2316</v>
      </c>
      <c r="S85" s="55" t="s">
        <v>2317</v>
      </c>
      <c r="T85" t="s">
        <v>2318</v>
      </c>
      <c r="U85" t="s">
        <v>2319</v>
      </c>
      <c r="V85" t="s">
        <v>2320</v>
      </c>
      <c r="AA85" s="68"/>
    </row>
    <row r="86" spans="1:28" x14ac:dyDescent="0.25">
      <c r="A86" s="21">
        <f>A81+1</f>
        <v>58</v>
      </c>
      <c r="B86" s="22" t="s">
        <v>972</v>
      </c>
      <c r="C86" s="22" t="s">
        <v>973</v>
      </c>
      <c r="D86" s="292" t="s">
        <v>6716</v>
      </c>
      <c r="E86" s="290" t="s">
        <v>6717</v>
      </c>
      <c r="F86" s="293" t="s">
        <v>6715</v>
      </c>
      <c r="G86" s="46"/>
      <c r="H86" s="32" t="s">
        <v>1019</v>
      </c>
      <c r="I86" s="32" t="s">
        <v>1019</v>
      </c>
      <c r="J86" s="9" t="s">
        <v>1145</v>
      </c>
      <c r="K86" s="67" t="e">
        <f>CONCATENATE($D$86,VLOOKUP($E$86,LOV!$C$85:$D$96,2,FALSE)&amp;$F$86)</f>
        <v>#N/A</v>
      </c>
      <c r="L86" s="3"/>
      <c r="M86" s="3"/>
      <c r="N86" s="3"/>
      <c r="O86" s="3"/>
      <c r="R86" t="s">
        <v>2321</v>
      </c>
      <c r="S86" s="55" t="s">
        <v>2322</v>
      </c>
      <c r="T86" t="s">
        <v>2323</v>
      </c>
      <c r="U86" t="s">
        <v>2324</v>
      </c>
      <c r="V86" t="s">
        <v>2325</v>
      </c>
      <c r="AA86" s="68"/>
    </row>
    <row r="87" spans="1:28" x14ac:dyDescent="0.25">
      <c r="A87" s="21">
        <f>A86+1</f>
        <v>59</v>
      </c>
      <c r="B87" s="24" t="s">
        <v>976</v>
      </c>
      <c r="C87" s="23" t="s">
        <v>977</v>
      </c>
      <c r="D87" s="292" t="s">
        <v>6716</v>
      </c>
      <c r="E87" s="290" t="s">
        <v>6717</v>
      </c>
      <c r="F87" s="293" t="s">
        <v>6715</v>
      </c>
      <c r="G87" s="46"/>
      <c r="H87" s="32" t="s">
        <v>1019</v>
      </c>
      <c r="I87" s="32" t="s">
        <v>1019</v>
      </c>
      <c r="J87" s="9" t="s">
        <v>1145</v>
      </c>
      <c r="K87" t="s">
        <v>1385</v>
      </c>
      <c r="L87" s="3"/>
      <c r="M87" s="3"/>
      <c r="N87" s="3"/>
      <c r="O87" s="3"/>
      <c r="R87" t="s">
        <v>2326</v>
      </c>
      <c r="S87" s="55" t="s">
        <v>2327</v>
      </c>
      <c r="T87" t="s">
        <v>2328</v>
      </c>
      <c r="U87" t="s">
        <v>2329</v>
      </c>
      <c r="V87" t="s">
        <v>2330</v>
      </c>
      <c r="AA87" s="68"/>
    </row>
    <row r="88" spans="1:28" x14ac:dyDescent="0.25">
      <c r="D88" s="4"/>
      <c r="E88" s="4"/>
      <c r="F88" s="4"/>
      <c r="G88" s="303"/>
      <c r="L88" s="3"/>
      <c r="M88" s="3"/>
      <c r="N88" s="3"/>
      <c r="O88" s="3"/>
      <c r="R88" t="s">
        <v>2331</v>
      </c>
      <c r="S88" s="55" t="s">
        <v>2332</v>
      </c>
      <c r="T88" t="s">
        <v>2333</v>
      </c>
      <c r="U88" t="s">
        <v>2334</v>
      </c>
      <c r="V88" t="s">
        <v>2335</v>
      </c>
      <c r="AA88" s="68"/>
    </row>
    <row r="89" spans="1:28" x14ac:dyDescent="0.25">
      <c r="A89" s="369" t="s">
        <v>5978</v>
      </c>
      <c r="B89" s="369"/>
      <c r="C89" s="266" t="s">
        <v>6049</v>
      </c>
      <c r="D89" s="272"/>
      <c r="E89" s="272"/>
      <c r="F89" s="271"/>
      <c r="G89" s="303"/>
      <c r="L89" s="3"/>
      <c r="M89" s="3"/>
      <c r="N89" s="3"/>
      <c r="O89" s="3"/>
      <c r="S89" s="55"/>
      <c r="AA89" s="68"/>
    </row>
    <row r="90" spans="1:28" x14ac:dyDescent="0.25">
      <c r="A90" s="267">
        <f>A87+1</f>
        <v>60</v>
      </c>
      <c r="B90" s="268" t="s">
        <v>972</v>
      </c>
      <c r="C90" s="268" t="s">
        <v>973</v>
      </c>
      <c r="D90" s="292" t="s">
        <v>6716</v>
      </c>
      <c r="E90" s="290" t="s">
        <v>6717</v>
      </c>
      <c r="F90" s="293" t="s">
        <v>6715</v>
      </c>
      <c r="G90" s="303"/>
      <c r="K90" t="str">
        <f>SUBSTITUTE(L90,"/"," ")</f>
        <v>Jour - Day months Année - Year</v>
      </c>
      <c r="L90" t="str">
        <f>CONCATENATE($D$90,"/",VLOOKUP($E$90,LOV!$C$84:$D$96,2,FALSE),"/",Recruitment!$F$90)</f>
        <v>Jour - Day/months/Année - Year</v>
      </c>
      <c r="M90" s="3"/>
      <c r="N90" s="3"/>
      <c r="O90" s="3"/>
      <c r="S90" s="55"/>
      <c r="AA90" s="68"/>
    </row>
    <row r="91" spans="1:28" x14ac:dyDescent="0.25">
      <c r="A91" s="267">
        <f>A90+1</f>
        <v>61</v>
      </c>
      <c r="B91" s="269" t="s">
        <v>976</v>
      </c>
      <c r="C91" s="270" t="s">
        <v>977</v>
      </c>
      <c r="D91" s="292" t="s">
        <v>6716</v>
      </c>
      <c r="E91" s="290" t="s">
        <v>6717</v>
      </c>
      <c r="F91" s="293" t="s">
        <v>6715</v>
      </c>
      <c r="G91" s="303"/>
      <c r="K91" t="str">
        <f>SUBSTITUTE(L91,"/"," ")</f>
        <v>Jour - Day months Année - Year</v>
      </c>
      <c r="L91" t="str">
        <f>CONCATENATE($D$91,"/",VLOOKUP($E$91,LOV!$C$84:$D$96,2,FALSE),"/",Recruitment!$F$91)</f>
        <v>Jour - Day/months/Année - Year</v>
      </c>
      <c r="M91" s="3"/>
      <c r="N91" s="3"/>
      <c r="O91" s="3"/>
      <c r="S91" s="55"/>
      <c r="AA91" s="68"/>
    </row>
    <row r="92" spans="1:28" x14ac:dyDescent="0.25">
      <c r="D92" s="4"/>
      <c r="E92" s="4"/>
      <c r="F92" s="4"/>
      <c r="G92" s="303"/>
      <c r="L92" s="3"/>
      <c r="M92" s="3"/>
      <c r="N92" s="3"/>
      <c r="O92" s="3"/>
      <c r="S92" s="55"/>
      <c r="AA92" s="68"/>
    </row>
    <row r="93" spans="1:28" x14ac:dyDescent="0.25">
      <c r="A93" s="370" t="s">
        <v>978</v>
      </c>
      <c r="B93" s="370"/>
      <c r="C93" s="25" t="s">
        <v>979</v>
      </c>
      <c r="D93" s="33"/>
      <c r="E93" s="33"/>
      <c r="F93" s="33"/>
      <c r="G93" s="303"/>
      <c r="R93" t="s">
        <v>2336</v>
      </c>
      <c r="S93" s="55" t="s">
        <v>2337</v>
      </c>
      <c r="T93" t="s">
        <v>2338</v>
      </c>
      <c r="U93" t="s">
        <v>2339</v>
      </c>
      <c r="V93" t="s">
        <v>2340</v>
      </c>
      <c r="Y93" t="s">
        <v>6573</v>
      </c>
      <c r="Z93" t="s">
        <v>6561</v>
      </c>
      <c r="AA93" s="68" t="str">
        <f>IF($K$91="","",$K$91)</f>
        <v>Jour - Day months Année - Year</v>
      </c>
      <c r="AB93" t="s">
        <v>6048</v>
      </c>
    </row>
    <row r="94" spans="1:28" x14ac:dyDescent="0.25">
      <c r="A94" s="16">
        <f>A91+1</f>
        <v>62</v>
      </c>
      <c r="B94" s="17" t="s">
        <v>980</v>
      </c>
      <c r="C94" s="17" t="s">
        <v>3167</v>
      </c>
      <c r="D94" s="371"/>
      <c r="E94" s="371"/>
      <c r="F94" s="371"/>
      <c r="G94" s="303"/>
      <c r="H94" t="s">
        <v>1019</v>
      </c>
      <c r="I94" t="s">
        <v>2307</v>
      </c>
      <c r="J94" s="9" t="s">
        <v>1145</v>
      </c>
      <c r="K94" s="8" t="str">
        <f>TEXT(ROUNDDOWN($D$94,0),"[&gt;=1000]#"&amp;CHAR(34)&amp;" "&amp;CHAR(34)&amp;"##0;[&lt;=-1000]-#"&amp;CHAR(34)&amp;" "&amp;CHAR(34)&amp;"##0;##0")&amp;IF(MOD($D$94,1)&lt;&gt;0,", "&amp;ROUND(MOD($D$94,1)*100,0),"")</f>
        <v>0</v>
      </c>
      <c r="R94" t="s">
        <v>2341</v>
      </c>
      <c r="S94" s="55" t="s">
        <v>2342</v>
      </c>
      <c r="T94" t="s">
        <v>2343</v>
      </c>
      <c r="U94" t="s">
        <v>2344</v>
      </c>
      <c r="V94" t="s">
        <v>2345</v>
      </c>
      <c r="Y94" t="s">
        <v>6034</v>
      </c>
      <c r="Z94" t="s">
        <v>6047</v>
      </c>
      <c r="AA94" s="68" t="str">
        <f>IF($K$94="","",$K$94)</f>
        <v>0</v>
      </c>
      <c r="AB94" t="s">
        <v>2603</v>
      </c>
    </row>
    <row r="95" spans="1:28" x14ac:dyDescent="0.25">
      <c r="A95" s="16">
        <f>A94+1</f>
        <v>63</v>
      </c>
      <c r="B95" s="17" t="s">
        <v>4208</v>
      </c>
      <c r="C95" s="17" t="s">
        <v>4209</v>
      </c>
      <c r="D95" s="359">
        <f>D94*12</f>
        <v>0</v>
      </c>
      <c r="E95" s="359"/>
      <c r="F95" s="359"/>
      <c r="G95" s="303"/>
      <c r="H95" t="s">
        <v>2306</v>
      </c>
      <c r="I95" t="s">
        <v>1019</v>
      </c>
      <c r="J95" s="9" t="s">
        <v>1144</v>
      </c>
      <c r="K95" s="69"/>
      <c r="L95" s="67"/>
      <c r="R95" t="s">
        <v>2346</v>
      </c>
      <c r="S95" s="55" t="s">
        <v>2347</v>
      </c>
      <c r="T95" t="s">
        <v>2348</v>
      </c>
      <c r="U95" t="s">
        <v>2349</v>
      </c>
      <c r="V95" t="s">
        <v>2350</v>
      </c>
      <c r="AA95" s="68"/>
    </row>
    <row r="96" spans="1:28" x14ac:dyDescent="0.25">
      <c r="A96" s="16">
        <f t="shared" ref="A96:A101" si="5">A95+1</f>
        <v>64</v>
      </c>
      <c r="B96" s="17"/>
      <c r="C96" s="17" t="s">
        <v>1012</v>
      </c>
      <c r="D96" s="358" t="str">
        <f>IF(D$112="Stage / Internship","MAANNL"," ")</f>
        <v xml:space="preserve"> </v>
      </c>
      <c r="E96" s="358"/>
      <c r="F96" s="358"/>
      <c r="G96" s="306"/>
      <c r="H96" t="s">
        <v>1019</v>
      </c>
      <c r="I96" t="s">
        <v>1019</v>
      </c>
      <c r="J96" s="9" t="s">
        <v>1144</v>
      </c>
      <c r="K96" s="69"/>
      <c r="R96" t="s">
        <v>2351</v>
      </c>
      <c r="S96" s="55" t="s">
        <v>2352</v>
      </c>
      <c r="T96" t="s">
        <v>2353</v>
      </c>
      <c r="U96" t="s">
        <v>2354</v>
      </c>
      <c r="V96" t="s">
        <v>2355</v>
      </c>
      <c r="AA96" s="68"/>
    </row>
    <row r="97" spans="1:28" x14ac:dyDescent="0.25">
      <c r="A97" s="16">
        <f t="shared" si="5"/>
        <v>65</v>
      </c>
      <c r="B97" s="17" t="s">
        <v>982</v>
      </c>
      <c r="C97" s="17" t="s">
        <v>983</v>
      </c>
      <c r="D97" s="360"/>
      <c r="E97" s="360"/>
      <c r="F97" s="360"/>
      <c r="G97" s="303"/>
      <c r="H97" t="s">
        <v>1019</v>
      </c>
      <c r="I97" t="s">
        <v>1019</v>
      </c>
      <c r="J97" s="9" t="s">
        <v>1145</v>
      </c>
      <c r="K97" s="69"/>
      <c r="L97" s="63"/>
      <c r="R97" t="s">
        <v>2356</v>
      </c>
      <c r="S97" s="55" t="s">
        <v>2357</v>
      </c>
      <c r="T97" t="s">
        <v>2358</v>
      </c>
      <c r="U97" t="s">
        <v>2359</v>
      </c>
      <c r="V97" t="s">
        <v>2360</v>
      </c>
      <c r="AA97" s="68"/>
    </row>
    <row r="98" spans="1:28" x14ac:dyDescent="0.25">
      <c r="A98" s="16">
        <f t="shared" si="5"/>
        <v>66</v>
      </c>
      <c r="B98" s="17" t="s">
        <v>984</v>
      </c>
      <c r="C98" s="17" t="s">
        <v>985</v>
      </c>
      <c r="D98" s="292" t="s">
        <v>6716</v>
      </c>
      <c r="E98" s="290" t="s">
        <v>6717</v>
      </c>
      <c r="F98" s="293" t="s">
        <v>6715</v>
      </c>
      <c r="G98" s="46"/>
      <c r="H98" s="37" t="s">
        <v>1019</v>
      </c>
      <c r="I98" s="37" t="s">
        <v>1019</v>
      </c>
      <c r="J98" s="9" t="s">
        <v>1145</v>
      </c>
      <c r="K98" s="281" t="e">
        <f>SUBSTITUTE(L98,"/"," ")</f>
        <v>#N/A</v>
      </c>
      <c r="L98" s="63" t="e">
        <f>$D$98&amp;"/"&amp;VLOOKUP(Recruitment!$E$98,LOV!$C$85:$D$96,2,FALSE)&amp;"/"&amp;Recruitment!$F$98</f>
        <v>#N/A</v>
      </c>
      <c r="S98" s="55"/>
      <c r="U98" t="s">
        <v>2361</v>
      </c>
      <c r="V98" t="s">
        <v>2362</v>
      </c>
      <c r="Y98" t="s">
        <v>2811</v>
      </c>
      <c r="Z98" t="s">
        <v>6562</v>
      </c>
      <c r="AA98" s="68" t="e">
        <f>IF($K$98="","",$K$98)</f>
        <v>#N/A</v>
      </c>
      <c r="AB98" t="s">
        <v>2602</v>
      </c>
    </row>
    <row r="99" spans="1:28" x14ac:dyDescent="0.25">
      <c r="A99" s="16">
        <f t="shared" si="5"/>
        <v>67</v>
      </c>
      <c r="B99" s="19" t="s">
        <v>986</v>
      </c>
      <c r="C99" s="18" t="s">
        <v>987</v>
      </c>
      <c r="D99" s="357"/>
      <c r="E99" s="357"/>
      <c r="F99" s="357"/>
      <c r="G99" s="303"/>
      <c r="H99" t="s">
        <v>1019</v>
      </c>
      <c r="I99" t="s">
        <v>1019</v>
      </c>
      <c r="K99" s="69"/>
      <c r="L99" s="67" t="e">
        <f>TEXT(L98,"mm/dd/yyyy")</f>
        <v>#N/A</v>
      </c>
      <c r="S99" s="55"/>
      <c r="U99" t="s">
        <v>2363</v>
      </c>
      <c r="V99" t="s">
        <v>2364</v>
      </c>
      <c r="AA99" s="68"/>
    </row>
    <row r="100" spans="1:28" x14ac:dyDescent="0.25">
      <c r="A100" s="16">
        <f t="shared" si="5"/>
        <v>68</v>
      </c>
      <c r="B100" s="26" t="s">
        <v>988</v>
      </c>
      <c r="C100" s="27" t="s">
        <v>989</v>
      </c>
      <c r="D100" s="292" t="s">
        <v>6716</v>
      </c>
      <c r="E100" s="290" t="s">
        <v>6717</v>
      </c>
      <c r="F100" s="293" t="s">
        <v>6715</v>
      </c>
      <c r="G100" s="46"/>
      <c r="H100" s="37" t="s">
        <v>1019</v>
      </c>
      <c r="I100" s="37" t="s">
        <v>1019</v>
      </c>
      <c r="J100" s="9" t="s">
        <v>1145</v>
      </c>
      <c r="K100" s="69" t="s">
        <v>1385</v>
      </c>
      <c r="L100" t="e">
        <f>$D$101&amp;"/"&amp;VLOOKUP(Recruitment!$E$101,LOV!$C$85:$D$96,2,FALSE)&amp;"/"&amp;Recruitment!$F$101</f>
        <v>#N/A</v>
      </c>
      <c r="S100" s="55"/>
      <c r="U100" t="s">
        <v>2365</v>
      </c>
      <c r="V100" t="s">
        <v>2366</v>
      </c>
      <c r="AA100" s="68"/>
    </row>
    <row r="101" spans="1:28" x14ac:dyDescent="0.25">
      <c r="A101" s="16">
        <f t="shared" si="5"/>
        <v>69</v>
      </c>
      <c r="B101" s="26" t="s">
        <v>990</v>
      </c>
      <c r="C101" s="27" t="s">
        <v>991</v>
      </c>
      <c r="D101" s="292" t="s">
        <v>6716</v>
      </c>
      <c r="E101" s="290" t="s">
        <v>6717</v>
      </c>
      <c r="F101" s="293" t="s">
        <v>6715</v>
      </c>
      <c r="G101" s="46"/>
      <c r="H101" s="37" t="s">
        <v>1019</v>
      </c>
      <c r="I101" s="37" t="s">
        <v>1019</v>
      </c>
      <c r="J101" s="9" t="s">
        <v>1145</v>
      </c>
      <c r="K101" s="69" t="s">
        <v>1385</v>
      </c>
      <c r="L101" t="e">
        <f>TEXT(L100,"mm/dd/yyyy")</f>
        <v>#N/A</v>
      </c>
      <c r="S101" s="55"/>
      <c r="U101" t="s">
        <v>2367</v>
      </c>
      <c r="V101" t="s">
        <v>2368</v>
      </c>
      <c r="AA101" s="68"/>
    </row>
    <row r="102" spans="1:28" x14ac:dyDescent="0.25">
      <c r="D102" s="4"/>
      <c r="E102" s="4"/>
      <c r="F102" s="4"/>
      <c r="G102" s="303"/>
      <c r="S102" s="55"/>
      <c r="U102" t="s">
        <v>2369</v>
      </c>
      <c r="V102" t="s">
        <v>2370</v>
      </c>
      <c r="AA102" s="68"/>
    </row>
    <row r="103" spans="1:28" ht="30" x14ac:dyDescent="0.25">
      <c r="A103" s="175" t="s">
        <v>0</v>
      </c>
      <c r="B103" s="175" t="s">
        <v>4243</v>
      </c>
      <c r="C103" s="175" t="s">
        <v>4244</v>
      </c>
      <c r="D103" s="177"/>
      <c r="E103" s="177"/>
      <c r="F103" s="177"/>
      <c r="G103" s="45"/>
      <c r="S103" s="55"/>
      <c r="U103" t="s">
        <v>2371</v>
      </c>
      <c r="V103" t="s">
        <v>2372</v>
      </c>
      <c r="AA103" s="68"/>
    </row>
    <row r="104" spans="1:28" x14ac:dyDescent="0.25">
      <c r="D104" s="189" t="s">
        <v>5568</v>
      </c>
      <c r="E104" s="189" t="s">
        <v>5571</v>
      </c>
      <c r="F104" s="4"/>
      <c r="G104" s="303"/>
      <c r="S104" s="55"/>
      <c r="U104" t="s">
        <v>2373</v>
      </c>
      <c r="V104" t="s">
        <v>2374</v>
      </c>
      <c r="AA104" s="68"/>
    </row>
    <row r="105" spans="1:28" x14ac:dyDescent="0.25">
      <c r="A105" s="9">
        <f>A101+1</f>
        <v>70</v>
      </c>
      <c r="B105" t="s">
        <v>5575</v>
      </c>
      <c r="C105" t="s">
        <v>5576</v>
      </c>
      <c r="D105" s="190"/>
      <c r="E105" s="191" t="s">
        <v>4367</v>
      </c>
      <c r="F105" s="188"/>
      <c r="G105" s="303"/>
      <c r="H105" t="s">
        <v>1026</v>
      </c>
      <c r="I105" t="s">
        <v>1026</v>
      </c>
      <c r="J105" s="9" t="s">
        <v>1144</v>
      </c>
      <c r="S105" s="55"/>
      <c r="U105" t="s">
        <v>2375</v>
      </c>
      <c r="V105" t="s">
        <v>2376</v>
      </c>
      <c r="AA105" s="68"/>
    </row>
    <row r="106" spans="1:28" x14ac:dyDescent="0.25">
      <c r="A106" s="9">
        <f>A105+1</f>
        <v>71</v>
      </c>
      <c r="B106" t="s">
        <v>54</v>
      </c>
      <c r="C106" t="s">
        <v>55</v>
      </c>
      <c r="D106" s="372" t="s">
        <v>1131</v>
      </c>
      <c r="E106" s="372"/>
      <c r="F106" s="372"/>
      <c r="G106" s="13"/>
      <c r="H106" t="s">
        <v>1034</v>
      </c>
      <c r="I106" t="s">
        <v>1034</v>
      </c>
      <c r="J106" s="9" t="s">
        <v>1144</v>
      </c>
      <c r="S106" s="55"/>
      <c r="U106" t="s">
        <v>2377</v>
      </c>
      <c r="V106" t="s">
        <v>2378</v>
      </c>
      <c r="AA106" s="68"/>
    </row>
    <row r="107" spans="1:28" x14ac:dyDescent="0.25">
      <c r="A107" s="9">
        <f t="shared" ref="A107:A153" si="6">A106+1</f>
        <v>72</v>
      </c>
      <c r="B107" t="s">
        <v>56</v>
      </c>
      <c r="C107" t="s">
        <v>57</v>
      </c>
      <c r="D107" s="348" t="s">
        <v>136</v>
      </c>
      <c r="E107" s="348"/>
      <c r="F107" s="348"/>
      <c r="G107" s="303"/>
      <c r="H107" t="s">
        <v>1019</v>
      </c>
      <c r="I107" t="s">
        <v>1019</v>
      </c>
      <c r="J107" s="9" t="s">
        <v>1144</v>
      </c>
      <c r="S107" s="55"/>
      <c r="U107" t="s">
        <v>2379</v>
      </c>
      <c r="V107" t="s">
        <v>2380</v>
      </c>
      <c r="AA107" s="68"/>
    </row>
    <row r="108" spans="1:28" hidden="1" x14ac:dyDescent="0.25">
      <c r="A108" s="9">
        <f t="shared" si="6"/>
        <v>73</v>
      </c>
      <c r="B108" t="s">
        <v>58</v>
      </c>
      <c r="C108" t="s">
        <v>59</v>
      </c>
      <c r="D108" s="348"/>
      <c r="E108" s="348"/>
      <c r="F108" s="348"/>
      <c r="G108" s="303"/>
      <c r="H108" t="s">
        <v>1019</v>
      </c>
      <c r="I108" t="s">
        <v>1019</v>
      </c>
      <c r="J108" s="9" t="s">
        <v>1144</v>
      </c>
      <c r="S108" s="55"/>
      <c r="U108" t="s">
        <v>2381</v>
      </c>
      <c r="V108" t="s">
        <v>2382</v>
      </c>
      <c r="AA108" s="68"/>
    </row>
    <row r="109" spans="1:28" x14ac:dyDescent="0.25">
      <c r="A109" s="9">
        <v>73</v>
      </c>
      <c r="B109" t="s">
        <v>60</v>
      </c>
      <c r="C109" t="s">
        <v>61</v>
      </c>
      <c r="D109" s="348"/>
      <c r="E109" s="348"/>
      <c r="F109" s="348"/>
      <c r="G109" s="303"/>
      <c r="H109" t="s">
        <v>1019</v>
      </c>
      <c r="I109" t="s">
        <v>1019</v>
      </c>
      <c r="J109" s="9" t="s">
        <v>1144</v>
      </c>
      <c r="S109" s="55"/>
      <c r="U109" t="s">
        <v>2383</v>
      </c>
      <c r="V109" t="s">
        <v>2384</v>
      </c>
      <c r="AA109" s="68"/>
    </row>
    <row r="110" spans="1:28" ht="19.5" customHeight="1" x14ac:dyDescent="0.25">
      <c r="A110" s="9">
        <f t="shared" si="6"/>
        <v>74</v>
      </c>
      <c r="B110" t="s">
        <v>62</v>
      </c>
      <c r="C110" t="s">
        <v>63</v>
      </c>
      <c r="D110" s="364" t="s">
        <v>136</v>
      </c>
      <c r="E110" s="364"/>
      <c r="F110" s="364"/>
      <c r="G110" s="303"/>
      <c r="H110" s="40" t="s">
        <v>1120</v>
      </c>
      <c r="I110" s="40" t="s">
        <v>1123</v>
      </c>
      <c r="J110" s="9" t="s">
        <v>1145</v>
      </c>
      <c r="K110" t="e">
        <f>VLOOKUP($D$110,$M$13:$O$15,3,FALSE)</f>
        <v>#N/A</v>
      </c>
      <c r="S110" s="55"/>
      <c r="U110" t="s">
        <v>2385</v>
      </c>
      <c r="V110" t="s">
        <v>2386</v>
      </c>
      <c r="Y110" t="s">
        <v>6035</v>
      </c>
      <c r="Z110" t="s">
        <v>6563</v>
      </c>
      <c r="AA110" s="68" t="e">
        <f>IF($K$110="","",$K$110)</f>
        <v>#N/A</v>
      </c>
      <c r="AB110" t="s">
        <v>2592</v>
      </c>
    </row>
    <row r="111" spans="1:28" x14ac:dyDescent="0.25">
      <c r="A111" s="9">
        <f t="shared" si="6"/>
        <v>75</v>
      </c>
      <c r="B111" t="s">
        <v>64</v>
      </c>
      <c r="C111" t="s">
        <v>65</v>
      </c>
      <c r="D111" s="348" t="s">
        <v>136</v>
      </c>
      <c r="E111" s="348"/>
      <c r="F111" s="348"/>
      <c r="G111" s="303"/>
      <c r="H111" t="s">
        <v>1019</v>
      </c>
      <c r="I111" t="s">
        <v>1019</v>
      </c>
      <c r="J111" s="9" t="s">
        <v>1144</v>
      </c>
      <c r="S111" s="55"/>
      <c r="U111" t="s">
        <v>2387</v>
      </c>
      <c r="V111" t="s">
        <v>2388</v>
      </c>
      <c r="AA111" s="68"/>
    </row>
    <row r="112" spans="1:28" x14ac:dyDescent="0.25">
      <c r="A112" s="9">
        <f>A111+1</f>
        <v>76</v>
      </c>
      <c r="B112" s="10" t="s">
        <v>963</v>
      </c>
      <c r="C112" s="13" t="s">
        <v>964</v>
      </c>
      <c r="D112" s="348" t="s">
        <v>136</v>
      </c>
      <c r="E112" s="348"/>
      <c r="F112" s="348"/>
      <c r="G112" s="303"/>
      <c r="H112" t="s">
        <v>1019</v>
      </c>
      <c r="I112" t="s">
        <v>1019</v>
      </c>
      <c r="J112" s="9" t="s">
        <v>1144</v>
      </c>
      <c r="S112" s="55"/>
      <c r="U112" t="s">
        <v>2389</v>
      </c>
      <c r="V112" t="s">
        <v>2390</v>
      </c>
      <c r="AA112" s="68"/>
    </row>
    <row r="113" spans="1:68" x14ac:dyDescent="0.25">
      <c r="B113" s="282" t="s">
        <v>6057</v>
      </c>
      <c r="C113" s="13" t="s">
        <v>6056</v>
      </c>
      <c r="D113" s="348" t="s">
        <v>136</v>
      </c>
      <c r="E113" s="348"/>
      <c r="F113" s="348"/>
      <c r="G113" s="303"/>
      <c r="S113" s="55"/>
      <c r="AA113" s="68"/>
    </row>
    <row r="114" spans="1:68" x14ac:dyDescent="0.25">
      <c r="A114" s="9">
        <f>A112+1</f>
        <v>77</v>
      </c>
      <c r="B114" t="s">
        <v>66</v>
      </c>
      <c r="C114" t="s">
        <v>67</v>
      </c>
      <c r="D114" s="292" t="s">
        <v>6716</v>
      </c>
      <c r="E114" s="290" t="s">
        <v>6717</v>
      </c>
      <c r="F114" s="293" t="s">
        <v>6715</v>
      </c>
      <c r="G114" s="303"/>
      <c r="H114" s="30" t="s">
        <v>1019</v>
      </c>
      <c r="I114" s="30" t="s">
        <v>1019</v>
      </c>
      <c r="J114" s="9" t="s">
        <v>1145</v>
      </c>
      <c r="K114" t="str">
        <f>SUBSTITUTE(L114,"/"," ")</f>
        <v>Jour - Day months Année - Year</v>
      </c>
      <c r="L114" t="str">
        <f>CONCATENATE($D$114,"/",VLOOKUP($E$114,LOV!$C$84:$D$96,2,FALSE),"/",Recruitment!$F$114)</f>
        <v>Jour - Day/months/Année - Year</v>
      </c>
      <c r="S114" s="55"/>
      <c r="U114" t="s">
        <v>2391</v>
      </c>
      <c r="V114" t="s">
        <v>2392</v>
      </c>
      <c r="Y114" t="s">
        <v>6036</v>
      </c>
      <c r="Z114" t="s">
        <v>6564</v>
      </c>
      <c r="AA114" s="68" t="str">
        <f>IF($D$116="","",$D$116)</f>
        <v>menu</v>
      </c>
      <c r="AB114" t="s">
        <v>2308</v>
      </c>
    </row>
    <row r="115" spans="1:68" x14ac:dyDescent="0.25">
      <c r="A115" s="9">
        <f t="shared" si="6"/>
        <v>78</v>
      </c>
      <c r="B115" t="s">
        <v>68</v>
      </c>
      <c r="C115" t="s">
        <v>3200</v>
      </c>
      <c r="D115" s="292" t="s">
        <v>6716</v>
      </c>
      <c r="E115" s="290" t="s">
        <v>6717</v>
      </c>
      <c r="F115" s="293" t="s">
        <v>6715</v>
      </c>
      <c r="G115" s="303"/>
      <c r="H115" s="30" t="s">
        <v>1019</v>
      </c>
      <c r="I115" s="30" t="s">
        <v>1019</v>
      </c>
      <c r="J115" s="9" t="s">
        <v>1144</v>
      </c>
      <c r="L115" t="str">
        <f>CONCATENATE($D$115,"/",VLOOKUP($E$115,LOV!$C$84:$D$96,2,FALSE),"/",Recruitment!$F$115)</f>
        <v>Jour - Day/months/Année - Year</v>
      </c>
      <c r="S115" s="55"/>
      <c r="U115" t="s">
        <v>2393</v>
      </c>
      <c r="V115" t="s">
        <v>2394</v>
      </c>
      <c r="AA115" s="68"/>
    </row>
    <row r="116" spans="1:68" x14ac:dyDescent="0.25">
      <c r="A116" s="9">
        <f t="shared" si="6"/>
        <v>79</v>
      </c>
      <c r="B116" s="137" t="s">
        <v>6010</v>
      </c>
      <c r="C116" t="s">
        <v>6009</v>
      </c>
      <c r="D116" s="341" t="str">
        <f>_xlfn.IFS($D$111="To Update - 0 gap/continous contract","Keep the previous Benefits Service Date",$D$111="To Rehire - with gap/new employment",$L$116,$D$111="menu","menu")</f>
        <v>menu</v>
      </c>
      <c r="E116" s="341"/>
      <c r="F116" s="341"/>
      <c r="G116" s="303"/>
      <c r="H116" s="30" t="s">
        <v>1019</v>
      </c>
      <c r="I116" s="30" t="s">
        <v>1019</v>
      </c>
      <c r="J116" s="9" t="s">
        <v>1144</v>
      </c>
      <c r="K116" t="e">
        <f>CONCATENATE($D$116,"/",VLOOKUP($E$116,LOV!$C$84:$D$96,2,FALSE),"/",Recruitment!$F$116)</f>
        <v>#N/A</v>
      </c>
      <c r="L116" t="str">
        <f>TEXT(L114,"dd/mm/yyyy")</f>
        <v>Jour - Day/months/Année - Year</v>
      </c>
      <c r="M116" t="str">
        <f>TEXT(L115,"dd/mm/yyyy")</f>
        <v>Jour - Day/months/Année - Year</v>
      </c>
      <c r="S116" s="55"/>
      <c r="U116" s="64" t="s">
        <v>2395</v>
      </c>
      <c r="V116" t="s">
        <v>2396</v>
      </c>
      <c r="AA116" s="68"/>
    </row>
    <row r="117" spans="1:68" x14ac:dyDescent="0.25">
      <c r="A117" s="9">
        <f t="shared" si="6"/>
        <v>80</v>
      </c>
      <c r="C117" t="s">
        <v>69</v>
      </c>
      <c r="D117" s="292" t="s">
        <v>6716</v>
      </c>
      <c r="E117" s="290" t="s">
        <v>6717</v>
      </c>
      <c r="F117" s="293" t="s">
        <v>6715</v>
      </c>
      <c r="G117" s="303"/>
      <c r="I117" s="59"/>
      <c r="J117" s="133" t="s">
        <v>1144</v>
      </c>
      <c r="K117" s="59"/>
      <c r="L117" s="59"/>
      <c r="M117" s="59"/>
      <c r="N117" s="59"/>
      <c r="O117" s="59"/>
      <c r="P117" s="59"/>
      <c r="Q117" s="59"/>
      <c r="R117" s="59"/>
      <c r="S117" s="57"/>
      <c r="T117" s="59"/>
      <c r="U117" s="59" t="s">
        <v>2397</v>
      </c>
      <c r="V117" s="59" t="s">
        <v>2398</v>
      </c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  <c r="BK117" s="59"/>
      <c r="BL117" s="59"/>
      <c r="BM117" s="59"/>
      <c r="BN117" s="59"/>
      <c r="BO117" s="59"/>
      <c r="BP117" s="59"/>
    </row>
    <row r="118" spans="1:68" ht="15.75" x14ac:dyDescent="0.25">
      <c r="A118" s="9">
        <f t="shared" si="6"/>
        <v>81</v>
      </c>
      <c r="C118" t="s">
        <v>1014</v>
      </c>
      <c r="D118" s="132">
        <f>VLOOKUP($D$112,LOV!C193:D200,2,FALSE)</f>
        <v>0</v>
      </c>
      <c r="E118" s="132"/>
      <c r="F118" s="132"/>
      <c r="G118" s="303"/>
      <c r="H118" s="41" t="s">
        <v>1027</v>
      </c>
      <c r="I118" s="41" t="s">
        <v>1124</v>
      </c>
      <c r="J118" s="9" t="s">
        <v>1145</v>
      </c>
      <c r="K118" t="str">
        <f>$G$119&amp;". Niveau "&amp;$D$127</f>
        <v>. Niveau menu</v>
      </c>
      <c r="L118" t="str">
        <f>CONCATENATE($D$117,"/",VLOOKUP($E$117,LOV!$C$84:$D$96,2,FALSE),"/",Recruitment!$F$117)</f>
        <v>Jour - Day/months/Année - Year</v>
      </c>
      <c r="R118" s="65"/>
      <c r="S118" s="66"/>
      <c r="T118" s="65"/>
      <c r="U118" s="65"/>
      <c r="V118" s="65"/>
      <c r="Y118" t="s">
        <v>6037</v>
      </c>
      <c r="Z118" t="s">
        <v>6565</v>
      </c>
      <c r="AA118" s="67" t="str">
        <f>IF($K$118="","",$K$118)</f>
        <v>. Niveau menu</v>
      </c>
      <c r="AB118" t="s">
        <v>6067</v>
      </c>
    </row>
    <row r="119" spans="1:68" ht="20.100000000000001" customHeight="1" x14ac:dyDescent="0.25">
      <c r="A119" s="9">
        <f t="shared" si="6"/>
        <v>82</v>
      </c>
      <c r="B119" t="s">
        <v>70</v>
      </c>
      <c r="C119" t="s">
        <v>6575</v>
      </c>
      <c r="D119" s="353" t="s">
        <v>136</v>
      </c>
      <c r="E119" s="353"/>
      <c r="F119" s="353"/>
      <c r="G119" s="307"/>
      <c r="H119" s="41" t="s">
        <v>1028</v>
      </c>
      <c r="I119" s="41" t="s">
        <v>1125</v>
      </c>
      <c r="J119" s="9" t="s">
        <v>1144</v>
      </c>
      <c r="K119">
        <f>$G$119</f>
        <v>0</v>
      </c>
      <c r="L119" t="str">
        <f>TEXT($L$118,"mm/dd/yyyy")</f>
        <v>Jour - Day/months/Année - Year</v>
      </c>
      <c r="P119" s="325" t="s">
        <v>136</v>
      </c>
      <c r="Y119" t="s">
        <v>2757</v>
      </c>
      <c r="Z119" t="s">
        <v>6566</v>
      </c>
      <c r="AA119" s="67">
        <f>IF($K$119="","",$K$119)</f>
        <v>0</v>
      </c>
      <c r="AB119" t="s">
        <v>2601</v>
      </c>
    </row>
    <row r="120" spans="1:68" ht="20.45" customHeight="1" x14ac:dyDescent="0.25">
      <c r="A120" s="9">
        <f t="shared" si="6"/>
        <v>83</v>
      </c>
      <c r="B120" t="s">
        <v>71</v>
      </c>
      <c r="C120" t="s">
        <v>71</v>
      </c>
      <c r="D120" s="353" t="s">
        <v>136</v>
      </c>
      <c r="E120" s="353"/>
      <c r="F120" s="353"/>
      <c r="G120" s="4"/>
      <c r="J120" s="9" t="s">
        <v>1144</v>
      </c>
      <c r="P120" t="s">
        <v>3020</v>
      </c>
      <c r="AA120" s="68"/>
    </row>
    <row r="121" spans="1:68" x14ac:dyDescent="0.25">
      <c r="A121" s="9">
        <f t="shared" si="6"/>
        <v>84</v>
      </c>
      <c r="B121" t="s">
        <v>79</v>
      </c>
      <c r="C121" t="s">
        <v>77</v>
      </c>
      <c r="D121" s="341">
        <f>VLOOKUP(D120,LOV!E1250:F1304,2,0)</f>
        <v>0</v>
      </c>
      <c r="E121" s="341"/>
      <c r="F121" s="341"/>
      <c r="G121" s="4"/>
      <c r="J121" s="9" t="s">
        <v>1144</v>
      </c>
      <c r="P121" t="s">
        <v>3021</v>
      </c>
      <c r="AA121" s="68"/>
    </row>
    <row r="122" spans="1:68" x14ac:dyDescent="0.25">
      <c r="A122" s="9">
        <f t="shared" si="6"/>
        <v>85</v>
      </c>
      <c r="B122" t="s">
        <v>80</v>
      </c>
      <c r="C122" t="s">
        <v>78</v>
      </c>
      <c r="D122" s="341" t="str">
        <f>IF(D121="ADM", "No", "Yes")</f>
        <v>Yes</v>
      </c>
      <c r="E122" s="341"/>
      <c r="F122" s="341"/>
      <c r="G122" s="4"/>
      <c r="H122" s="38" t="s">
        <v>1029</v>
      </c>
      <c r="I122" s="38" t="s">
        <v>1126</v>
      </c>
      <c r="J122" s="9" t="s">
        <v>1144</v>
      </c>
      <c r="P122" t="s">
        <v>3022</v>
      </c>
      <c r="AA122" s="68"/>
    </row>
    <row r="123" spans="1:68" hidden="1" x14ac:dyDescent="0.25">
      <c r="A123" s="9">
        <f t="shared" si="6"/>
        <v>86</v>
      </c>
      <c r="B123" s="3" t="s">
        <v>72</v>
      </c>
      <c r="C123" s="3" t="s">
        <v>1030</v>
      </c>
      <c r="D123" s="364" t="s">
        <v>136</v>
      </c>
      <c r="E123" s="364"/>
      <c r="F123" s="364"/>
      <c r="G123" s="4"/>
      <c r="H123" s="38" t="s">
        <v>1041</v>
      </c>
      <c r="I123" s="38" t="s">
        <v>1130</v>
      </c>
      <c r="J123" s="9" t="s">
        <v>1144</v>
      </c>
      <c r="P123" t="s">
        <v>3023</v>
      </c>
      <c r="AA123" s="68"/>
    </row>
    <row r="124" spans="1:68" hidden="1" x14ac:dyDescent="0.25">
      <c r="A124" s="9">
        <f t="shared" si="6"/>
        <v>87</v>
      </c>
      <c r="B124" s="3" t="s">
        <v>73</v>
      </c>
      <c r="C124" s="3" t="s">
        <v>74</v>
      </c>
      <c r="D124" s="364" t="s">
        <v>136</v>
      </c>
      <c r="E124" s="364"/>
      <c r="F124" s="364"/>
      <c r="G124" s="4"/>
      <c r="H124" t="s">
        <v>1026</v>
      </c>
      <c r="I124" t="s">
        <v>1026</v>
      </c>
      <c r="J124" s="9" t="s">
        <v>1144</v>
      </c>
      <c r="P124" t="s">
        <v>3024</v>
      </c>
      <c r="AA124" s="68"/>
    </row>
    <row r="125" spans="1:68" x14ac:dyDescent="0.25">
      <c r="A125" s="9">
        <v>86</v>
      </c>
      <c r="B125" s="3"/>
      <c r="C125" s="3" t="s">
        <v>76</v>
      </c>
      <c r="D125" s="341" t="s">
        <v>938</v>
      </c>
      <c r="E125" s="341"/>
      <c r="F125" s="341"/>
      <c r="G125" s="4"/>
      <c r="H125" t="s">
        <v>1026</v>
      </c>
      <c r="I125" t="s">
        <v>1026</v>
      </c>
      <c r="J125" s="9" t="s">
        <v>1145</v>
      </c>
      <c r="P125" t="s">
        <v>3025</v>
      </c>
      <c r="AA125" s="68"/>
    </row>
    <row r="126" spans="1:68" hidden="1" x14ac:dyDescent="0.25">
      <c r="A126" s="9">
        <v>86</v>
      </c>
      <c r="B126" s="3" t="s">
        <v>1032</v>
      </c>
      <c r="C126" s="3" t="s">
        <v>1031</v>
      </c>
      <c r="D126" s="131" t="s">
        <v>136</v>
      </c>
      <c r="E126" s="131"/>
      <c r="F126" s="131"/>
      <c r="G126" s="4"/>
      <c r="H126" t="s">
        <v>1017</v>
      </c>
      <c r="I126" t="s">
        <v>1026</v>
      </c>
      <c r="J126" s="9" t="s">
        <v>1145</v>
      </c>
      <c r="K126" t="str">
        <f>TEXT(ROUNDDOWN(D130,0),"[&gt;=1000]#"&amp;CHAR(34)&amp;" "&amp;CHAR(34)&amp;"##0;[&lt;=-1000]-#"&amp;CHAR(34)&amp;" "&amp;CHAR(34)&amp;"##0;##0")&amp;IF(MOD(D130,1)&lt;&gt;0,", "&amp;ROUND(MOD(D130,1)*100,0),"")</f>
        <v>0</v>
      </c>
      <c r="P126" t="s">
        <v>3026</v>
      </c>
      <c r="Y126" t="s">
        <v>6038</v>
      </c>
      <c r="Z126" t="s">
        <v>6022</v>
      </c>
      <c r="AA126" s="68" t="str">
        <f>IF($K$126="","",$K$126)</f>
        <v>0</v>
      </c>
      <c r="AB126" t="s">
        <v>2593</v>
      </c>
    </row>
    <row r="127" spans="1:68" x14ac:dyDescent="0.25">
      <c r="A127" s="9">
        <f>A125+1</f>
        <v>87</v>
      </c>
      <c r="B127" s="207" t="s">
        <v>5619</v>
      </c>
      <c r="C127" s="208" t="s">
        <v>5618</v>
      </c>
      <c r="D127" s="348" t="s">
        <v>136</v>
      </c>
      <c r="E127" s="348"/>
      <c r="F127" s="348"/>
      <c r="G127" s="4"/>
      <c r="P127" t="s">
        <v>3027</v>
      </c>
      <c r="AA127" s="68"/>
    </row>
    <row r="128" spans="1:68" x14ac:dyDescent="0.25">
      <c r="A128" s="9">
        <f>A127+1</f>
        <v>88</v>
      </c>
      <c r="B128" s="207" t="s">
        <v>6551</v>
      </c>
      <c r="C128" s="207" t="s">
        <v>6550</v>
      </c>
      <c r="D128" s="132" t="s">
        <v>5608</v>
      </c>
      <c r="E128" s="350" t="s">
        <v>136</v>
      </c>
      <c r="F128" s="350"/>
      <c r="G128" s="4"/>
      <c r="H128" s="4" t="str">
        <f>D128&amp;" "&amp;E128</f>
        <v>40H menu</v>
      </c>
      <c r="P128" t="s">
        <v>3028</v>
      </c>
      <c r="AA128" s="68"/>
    </row>
    <row r="129" spans="1:28" x14ac:dyDescent="0.25">
      <c r="A129" s="9">
        <f t="shared" ref="A129:A148" si="7">A128+1</f>
        <v>89</v>
      </c>
      <c r="B129" s="207" t="s">
        <v>5580</v>
      </c>
      <c r="C129" s="207" t="s">
        <v>5581</v>
      </c>
      <c r="D129" s="349" t="s">
        <v>136</v>
      </c>
      <c r="E129" s="349"/>
      <c r="F129" s="197" t="str">
        <f>VLOOKUP($D$129,$A$174:$B$207,2,FALSE)</f>
        <v xml:space="preserve">  </v>
      </c>
      <c r="G129" s="4"/>
      <c r="K129" t="str">
        <f>TEXT(ROUNDDOWN(D130,0),"[&gt;=1000]#"&amp;CHAR(34)&amp;" "&amp;CHAR(34)&amp;"##0;[&lt;=-1000]-#"&amp;CHAR(34)&amp;" "&amp;CHAR(34)&amp;"##0;##0")&amp;IF(MOD(D130,1)&lt;&gt;0,", "&amp;ROUND(MOD(D130,1)*100,0),"")</f>
        <v>0</v>
      </c>
      <c r="P129" t="s">
        <v>3029</v>
      </c>
      <c r="Y129" t="s">
        <v>6038</v>
      </c>
      <c r="Z129" t="s">
        <v>6574</v>
      </c>
      <c r="AA129" s="68" t="str">
        <f>IF($K$129="","",$K$129)</f>
        <v>0</v>
      </c>
      <c r="AB129" t="s">
        <v>2593</v>
      </c>
    </row>
    <row r="130" spans="1:28" x14ac:dyDescent="0.25">
      <c r="A130" s="9">
        <f t="shared" si="7"/>
        <v>90</v>
      </c>
      <c r="B130" t="s">
        <v>81</v>
      </c>
      <c r="C130" t="s">
        <v>82</v>
      </c>
      <c r="D130" s="366"/>
      <c r="E130" s="366"/>
      <c r="F130" s="366"/>
      <c r="G130" s="4"/>
      <c r="H130" t="s">
        <v>1019</v>
      </c>
      <c r="I130" t="s">
        <v>1019</v>
      </c>
      <c r="J130" s="9" t="s">
        <v>1145</v>
      </c>
      <c r="K130" t="e">
        <f>TEXT(ROUNDDOWN(D131,0),"[&gt;=1000]#"&amp;CHAR(34)&amp;" "&amp;CHAR(34)&amp;"##0;[&lt;=-1000]-#"&amp;CHAR(34)&amp;" "&amp;CHAR(34)&amp;"##0;##0")&amp;IF(MOD(D131,1)&lt;&gt;0,", "&amp;ROUND(MOD(D131,1)*100,0),"")</f>
        <v>#VALUE!</v>
      </c>
      <c r="P130" t="s">
        <v>3030</v>
      </c>
      <c r="Y130" t="s">
        <v>6039</v>
      </c>
      <c r="Z130" t="s">
        <v>6567</v>
      </c>
      <c r="AA130" s="68" t="e">
        <f>IF($K$130="","",$K$130)</f>
        <v>#VALUE!</v>
      </c>
      <c r="AB130" t="s">
        <v>2595</v>
      </c>
    </row>
    <row r="131" spans="1:28" x14ac:dyDescent="0.25">
      <c r="A131" s="9">
        <f t="shared" si="7"/>
        <v>91</v>
      </c>
      <c r="B131" t="s">
        <v>83</v>
      </c>
      <c r="C131" t="s">
        <v>1013</v>
      </c>
      <c r="D131" s="367" t="str">
        <f>IFERROR($D$130+$D$136+$D$137+$D$142,"0.00")</f>
        <v>0.00</v>
      </c>
      <c r="E131" s="367"/>
      <c r="F131" s="367"/>
      <c r="G131" s="4"/>
      <c r="H131" t="s">
        <v>1019</v>
      </c>
      <c r="I131" t="s">
        <v>1019</v>
      </c>
      <c r="J131" s="9" t="s">
        <v>1144</v>
      </c>
      <c r="K131" t="str">
        <f>TEXT(ROUNDDOWN($D$132,0),"[&gt;=1000]#"&amp;CHAR(34)&amp;" "&amp;CHAR(34)&amp;"##0;[&lt;=-1000]-#"&amp;CHAR(34)&amp;" "&amp;CHAR(34)&amp;"##0;##0")&amp;IF(MOD($D$132,1)&lt;&gt;0,", "&amp;ROUND(MOD($D$132,1)*100,0),"")</f>
        <v>0</v>
      </c>
      <c r="P131" t="s">
        <v>3031</v>
      </c>
      <c r="Y131" t="s">
        <v>2758</v>
      </c>
      <c r="Z131" t="s">
        <v>6022</v>
      </c>
      <c r="AA131" s="68" t="str">
        <f>IF($K$131="","",$K$131)</f>
        <v>0</v>
      </c>
      <c r="AB131" t="s">
        <v>2594</v>
      </c>
    </row>
    <row r="132" spans="1:28" x14ac:dyDescent="0.25">
      <c r="A132" s="9">
        <f t="shared" si="7"/>
        <v>92</v>
      </c>
      <c r="B132" t="s">
        <v>84</v>
      </c>
      <c r="C132" t="s">
        <v>85</v>
      </c>
      <c r="D132" s="367">
        <f>IFERROR($J$133,0)</f>
        <v>0</v>
      </c>
      <c r="E132" s="367"/>
      <c r="F132" s="367"/>
      <c r="G132" s="4"/>
      <c r="H132" t="s">
        <v>1016</v>
      </c>
      <c r="I132" t="s">
        <v>1026</v>
      </c>
      <c r="J132" s="9" t="s">
        <v>1145</v>
      </c>
      <c r="K132" t="str">
        <f>TEXT(ROUNDDOWN($D$133,0),"[&gt;=1000]#"&amp;CHAR(34)&amp;" "&amp;CHAR(34)&amp;"##0;[&lt;=-1000]-#"&amp;CHAR(34)&amp;" "&amp;CHAR(34)&amp;"##0;##0")&amp;IF(MOD($D$133,1)&lt;&gt;0,", "&amp;ROUND(MOD($D$133,1)*100,0),"")</f>
        <v>0</v>
      </c>
      <c r="P132" t="s">
        <v>3164</v>
      </c>
      <c r="Y132" t="s">
        <v>6040</v>
      </c>
      <c r="Z132" t="s">
        <v>6045</v>
      </c>
      <c r="AA132" s="68" t="str">
        <f t="shared" ref="AA132" si="8">IF(K132="","",K132)</f>
        <v>0</v>
      </c>
      <c r="AB132" t="s">
        <v>2596</v>
      </c>
    </row>
    <row r="133" spans="1:28" x14ac:dyDescent="0.25">
      <c r="A133" s="9">
        <f t="shared" si="7"/>
        <v>93</v>
      </c>
      <c r="B133" t="s">
        <v>86</v>
      </c>
      <c r="C133" t="s">
        <v>87</v>
      </c>
      <c r="D133" s="342"/>
      <c r="E133" s="342"/>
      <c r="F133" s="342"/>
      <c r="G133" s="4"/>
      <c r="J133" s="59" t="e">
        <f>$D$131*12</f>
        <v>#VALUE!</v>
      </c>
      <c r="P133" t="s">
        <v>3033</v>
      </c>
      <c r="AA133" s="68"/>
    </row>
    <row r="134" spans="1:28" x14ac:dyDescent="0.25">
      <c r="A134" s="9">
        <f t="shared" si="7"/>
        <v>94</v>
      </c>
      <c r="D134" s="4"/>
      <c r="E134" s="4"/>
      <c r="F134" s="4"/>
      <c r="G134" s="4"/>
      <c r="P134" t="s">
        <v>3034</v>
      </c>
      <c r="AA134" s="68"/>
    </row>
    <row r="135" spans="1:28" x14ac:dyDescent="0.25">
      <c r="A135" s="9">
        <f t="shared" si="7"/>
        <v>95</v>
      </c>
      <c r="B135" t="s">
        <v>88</v>
      </c>
      <c r="C135" t="s">
        <v>89</v>
      </c>
      <c r="D135" s="4"/>
      <c r="E135" s="4"/>
      <c r="F135" s="4"/>
      <c r="G135" s="4"/>
      <c r="H135" t="s">
        <v>1019</v>
      </c>
      <c r="I135" t="s">
        <v>1019</v>
      </c>
      <c r="J135" s="9" t="s">
        <v>1145</v>
      </c>
      <c r="K135" t="e">
        <f>TEXT(ROUNDDOWN($D$136,0),"[&gt;=1000]#"&amp;CHAR(34)&amp;" "&amp;CHAR(34)&amp;"##0;[&lt;=-1000]-#"&amp;CHAR(34)&amp;" "&amp;CHAR(34)&amp;"##0;##0")&amp;IF(MOD($D$136,1)&lt;&gt;0,", "&amp;ROUND(MOD($D$136,1)*100,0),"")</f>
        <v>#VALUE!</v>
      </c>
      <c r="P135" t="s">
        <v>3035</v>
      </c>
      <c r="Y135" t="s">
        <v>6041</v>
      </c>
      <c r="Z135" t="s">
        <v>6568</v>
      </c>
      <c r="AA135" s="68" t="e">
        <f>IF($K$135="","",$K$135)</f>
        <v>#VALUE!</v>
      </c>
      <c r="AB135" t="s">
        <v>2597</v>
      </c>
    </row>
    <row r="136" spans="1:28" x14ac:dyDescent="0.25">
      <c r="A136" s="9">
        <f t="shared" si="7"/>
        <v>96</v>
      </c>
      <c r="B136" t="s">
        <v>90</v>
      </c>
      <c r="C136" t="s">
        <v>91</v>
      </c>
      <c r="D136" s="341" t="str">
        <f>IFERROR(INDEX(LOV!$K$2:$M$8,MATCH(Recruitment!$D$112,LOV!$J$2:$J$8,0),MATCH(Recruitment!$D$110,LOV!$K$1:$M$1,0))," ")</f>
        <v xml:space="preserve"> </v>
      </c>
      <c r="E136" s="341"/>
      <c r="F136" s="341"/>
      <c r="G136" s="4"/>
      <c r="H136" t="s">
        <v>1019</v>
      </c>
      <c r="I136" t="s">
        <v>1019</v>
      </c>
      <c r="J136" s="9" t="s">
        <v>1145</v>
      </c>
      <c r="K136" t="e">
        <f>TEXT(ROUNDDOWN($D$137,0),"[&gt;=1000]#"&amp;CHAR(34)&amp;" "&amp;CHAR(34)&amp;"##0;[&lt;=-1000]-#"&amp;CHAR(34)&amp;" "&amp;CHAR(34)&amp;"##0;##0")&amp;IF(MOD($D$137,1)&lt;&gt;0,", "&amp;ROUND(MOD($D$137,1)*100,0),"")</f>
        <v>#VALUE!</v>
      </c>
      <c r="P136" t="s">
        <v>3036</v>
      </c>
      <c r="Y136" t="s">
        <v>6042</v>
      </c>
      <c r="Z136" t="s">
        <v>6569</v>
      </c>
      <c r="AA136" s="68" t="e">
        <f>IF($K$136="","",$K$136)</f>
        <v>#VALUE!</v>
      </c>
      <c r="AB136" t="s">
        <v>2598</v>
      </c>
    </row>
    <row r="137" spans="1:28" x14ac:dyDescent="0.25">
      <c r="A137" s="9">
        <f t="shared" si="7"/>
        <v>97</v>
      </c>
      <c r="B137" t="s">
        <v>92</v>
      </c>
      <c r="C137" t="s">
        <v>93</v>
      </c>
      <c r="D137" s="341" t="str">
        <f>IFERROR(INDEX(LOV!$K$12:$M$18,MATCH(Recruitment!$D$112,LOV!$J$12:$J$18,0),MATCH(Recruitment!$D$110,LOV!$K$11:$M$11,0))," ")</f>
        <v xml:space="preserve"> </v>
      </c>
      <c r="E137" s="341"/>
      <c r="F137" s="341"/>
      <c r="G137" s="4"/>
      <c r="H137" t="s">
        <v>1019</v>
      </c>
      <c r="I137" t="s">
        <v>1019</v>
      </c>
      <c r="J137" s="9" t="s">
        <v>1144</v>
      </c>
      <c r="P137" t="s">
        <v>3037</v>
      </c>
      <c r="AA137" s="68"/>
    </row>
    <row r="138" spans="1:28" x14ac:dyDescent="0.25">
      <c r="A138" s="9">
        <f t="shared" si="7"/>
        <v>98</v>
      </c>
      <c r="B138" t="s">
        <v>94</v>
      </c>
      <c r="C138" t="s">
        <v>95</v>
      </c>
      <c r="D138" s="341" t="str">
        <f>IF(D112="CDI-Contrat durée indéterminée","Plan de participation aux profits (PPP)","Sans objet - Not Applicable")</f>
        <v>Sans objet - Not Applicable</v>
      </c>
      <c r="E138" s="341"/>
      <c r="F138" s="341"/>
      <c r="G138" s="47"/>
      <c r="H138" t="s">
        <v>1019</v>
      </c>
      <c r="I138" t="s">
        <v>1019</v>
      </c>
      <c r="J138" s="9" t="s">
        <v>1145</v>
      </c>
      <c r="K138" t="str">
        <f>VLOOKUP($D$139,LOV!$E$153:$F$158,2,FALSE)&amp;"%"</f>
        <v>%</v>
      </c>
      <c r="P138" t="s">
        <v>3038</v>
      </c>
      <c r="Y138" t="s">
        <v>6043</v>
      </c>
      <c r="Z138" t="s">
        <v>6046</v>
      </c>
      <c r="AA138" s="70" t="str">
        <f>IF($K$138="","",$K$138)</f>
        <v>%</v>
      </c>
      <c r="AB138" t="s">
        <v>2599</v>
      </c>
    </row>
    <row r="139" spans="1:28" x14ac:dyDescent="0.25">
      <c r="A139" s="9">
        <f t="shared" si="7"/>
        <v>99</v>
      </c>
      <c r="B139" t="s">
        <v>96</v>
      </c>
      <c r="C139" t="s">
        <v>97</v>
      </c>
      <c r="D139" s="368" t="s">
        <v>136</v>
      </c>
      <c r="E139" s="368"/>
      <c r="F139" s="368"/>
      <c r="G139" s="4"/>
      <c r="H139" t="s">
        <v>1018</v>
      </c>
      <c r="I139" t="s">
        <v>1127</v>
      </c>
      <c r="J139" s="9" t="s">
        <v>1144</v>
      </c>
      <c r="P139" t="s">
        <v>3039</v>
      </c>
      <c r="AA139" s="68"/>
    </row>
    <row r="140" spans="1:28" x14ac:dyDescent="0.25">
      <c r="A140" s="9">
        <f t="shared" si="7"/>
        <v>100</v>
      </c>
      <c r="B140" t="s">
        <v>98</v>
      </c>
      <c r="C140" t="s">
        <v>99</v>
      </c>
      <c r="D140" s="132" t="str">
        <f>IF(D112="Stage / Internship","Sans objet - Not Applicable","20")</f>
        <v>20</v>
      </c>
      <c r="E140" s="132"/>
      <c r="F140" s="132"/>
      <c r="G140" s="4"/>
      <c r="H140" t="s">
        <v>1039</v>
      </c>
      <c r="I140" s="42" t="s">
        <v>1039</v>
      </c>
      <c r="J140" s="9" t="s">
        <v>1144</v>
      </c>
      <c r="P140" t="s">
        <v>3040</v>
      </c>
      <c r="AA140" s="68"/>
    </row>
    <row r="141" spans="1:28" x14ac:dyDescent="0.25">
      <c r="A141" s="9">
        <f t="shared" si="7"/>
        <v>101</v>
      </c>
      <c r="B141" t="s">
        <v>6719</v>
      </c>
      <c r="C141" t="s">
        <v>6718</v>
      </c>
      <c r="D141" s="347" t="s">
        <v>136</v>
      </c>
      <c r="E141" s="347"/>
      <c r="F141" s="347"/>
      <c r="G141" s="4"/>
      <c r="I141" s="42"/>
      <c r="P141" t="s">
        <v>3041</v>
      </c>
      <c r="Y141" t="s">
        <v>6071</v>
      </c>
      <c r="Z141" t="s">
        <v>6570</v>
      </c>
      <c r="AA141" s="68" t="str">
        <f>IF($D$141="","",$D$141)</f>
        <v>menu</v>
      </c>
      <c r="AB141" t="s">
        <v>6050</v>
      </c>
    </row>
    <row r="142" spans="1:28" x14ac:dyDescent="0.25">
      <c r="A142" s="9">
        <f t="shared" si="7"/>
        <v>102</v>
      </c>
      <c r="B142" t="s">
        <v>1036</v>
      </c>
      <c r="C142" t="s">
        <v>1035</v>
      </c>
      <c r="D142" s="343" t="s">
        <v>3014</v>
      </c>
      <c r="E142" s="343"/>
      <c r="F142" s="343"/>
      <c r="G142" s="4"/>
      <c r="H142" t="s">
        <v>1019</v>
      </c>
      <c r="I142" t="s">
        <v>1019</v>
      </c>
      <c r="J142" s="9" t="s">
        <v>1144</v>
      </c>
      <c r="P142" t="s">
        <v>3042</v>
      </c>
      <c r="AA142" s="68"/>
    </row>
    <row r="143" spans="1:28" x14ac:dyDescent="0.25">
      <c r="A143" s="9">
        <f t="shared" si="7"/>
        <v>103</v>
      </c>
      <c r="B143" t="s">
        <v>1040</v>
      </c>
      <c r="C143" t="s">
        <v>100</v>
      </c>
      <c r="D143" s="344" t="s">
        <v>136</v>
      </c>
      <c r="E143" s="344"/>
      <c r="F143" s="344"/>
      <c r="G143" s="4"/>
      <c r="H143" t="s">
        <v>1019</v>
      </c>
      <c r="I143" t="s">
        <v>1019</v>
      </c>
      <c r="J143" s="9" t="s">
        <v>1144</v>
      </c>
      <c r="P143" t="s">
        <v>3043</v>
      </c>
      <c r="AA143" s="68"/>
    </row>
    <row r="144" spans="1:28" x14ac:dyDescent="0.25">
      <c r="A144" s="9">
        <f t="shared" si="7"/>
        <v>104</v>
      </c>
      <c r="C144" t="s">
        <v>1006</v>
      </c>
      <c r="D144" s="341">
        <f>VLOOKUP($D$112,LOV!B143:F150,5,FALSE)</f>
        <v>0</v>
      </c>
      <c r="E144" s="341"/>
      <c r="F144" s="341"/>
      <c r="G144" s="4"/>
      <c r="J144" s="9" t="s">
        <v>1144</v>
      </c>
      <c r="P144" t="s">
        <v>3044</v>
      </c>
      <c r="AA144" s="68"/>
    </row>
    <row r="145" spans="1:28" x14ac:dyDescent="0.25">
      <c r="A145" s="9">
        <f t="shared" si="7"/>
        <v>105</v>
      </c>
      <c r="D145" s="346"/>
      <c r="E145" s="346"/>
      <c r="F145" s="346"/>
      <c r="G145" s="4"/>
      <c r="H145" t="s">
        <v>1037</v>
      </c>
      <c r="I145" t="s">
        <v>1037</v>
      </c>
      <c r="P145" t="s">
        <v>3045</v>
      </c>
      <c r="AA145" s="68"/>
    </row>
    <row r="146" spans="1:28" x14ac:dyDescent="0.25">
      <c r="A146" s="9">
        <f t="shared" si="7"/>
        <v>106</v>
      </c>
      <c r="B146" t="s">
        <v>104</v>
      </c>
      <c r="C146" t="s">
        <v>105</v>
      </c>
      <c r="D146" s="345" t="s">
        <v>136</v>
      </c>
      <c r="E146" s="345"/>
      <c r="F146" s="345"/>
      <c r="G146" s="4"/>
      <c r="L146" t="str">
        <f>VLOOKUP($D$147,LOV!$D$185:$E$190,2,FALSE)</f>
        <v>Sans objet - Not Applicable</v>
      </c>
      <c r="P146" t="s">
        <v>1108</v>
      </c>
      <c r="Y146" t="s">
        <v>6072</v>
      </c>
      <c r="Z146" t="s">
        <v>6571</v>
      </c>
      <c r="AA146" s="68" t="str">
        <f>IF($D$146="","",$D$146)</f>
        <v>menu</v>
      </c>
      <c r="AB146" t="s">
        <v>6070</v>
      </c>
    </row>
    <row r="147" spans="1:28" x14ac:dyDescent="0.25">
      <c r="A147" s="9">
        <f t="shared" si="7"/>
        <v>107</v>
      </c>
      <c r="B147" s="60" t="s">
        <v>2289</v>
      </c>
      <c r="C147" s="61" t="s">
        <v>2290</v>
      </c>
      <c r="D147" s="341" t="str">
        <f>IF($D$146="Oui - Yes",VLOOKUP($D$112,LOV!$B$143:$C$150,2,FALSE),"Sans objet - Not Applicable")</f>
        <v>Sans objet - Not Applicable</v>
      </c>
      <c r="E147" s="341"/>
      <c r="F147" s="341"/>
      <c r="G147" s="4"/>
      <c r="H147" t="s">
        <v>1038</v>
      </c>
      <c r="I147" t="s">
        <v>1128</v>
      </c>
      <c r="J147" s="9" t="s">
        <v>1145</v>
      </c>
      <c r="L147" s="289" t="e">
        <f>IF($D$112="CDD-Contrat à durée déterminée &lt; 6 mois ",L114+14,EDATE($L$114,$L$146)-1)</f>
        <v>#VALUE!</v>
      </c>
      <c r="P147" t="s">
        <v>3046</v>
      </c>
      <c r="Z147" t="s">
        <v>6572</v>
      </c>
      <c r="AA147" s="70" t="str">
        <f>IF($D$148="","",$D$148)</f>
        <v>Sans objet - Not Applicable</v>
      </c>
      <c r="AB147" t="s">
        <v>2600</v>
      </c>
    </row>
    <row r="148" spans="1:28" x14ac:dyDescent="0.25">
      <c r="A148" s="9">
        <f t="shared" si="7"/>
        <v>108</v>
      </c>
      <c r="B148" t="s">
        <v>102</v>
      </c>
      <c r="C148" t="s">
        <v>103</v>
      </c>
      <c r="D148" s="341" t="str">
        <f>IFERROR(IF("Oui - Yes"=D146,TEXT($L$147,"dd/mm/yyyy"),"Sans objet - Not Applicable"),"Sans objet - Not Applicable")</f>
        <v>Sans objet - Not Applicable</v>
      </c>
      <c r="E148" s="341"/>
      <c r="F148" s="341"/>
      <c r="G148" s="4"/>
      <c r="J148" s="9" t="s">
        <v>1144</v>
      </c>
      <c r="L148" s="63" t="e">
        <f>IF($D$112="CDD-Contrat à durée déterminée &lt; 6 mois ",L114+14,EDATE($L$114,$L$146)-1)</f>
        <v>#VALUE!</v>
      </c>
      <c r="P148" t="s">
        <v>3047</v>
      </c>
      <c r="AA148" s="68"/>
    </row>
    <row r="149" spans="1:28" x14ac:dyDescent="0.25">
      <c r="D149" s="4"/>
      <c r="E149" s="4"/>
      <c r="F149" s="4"/>
      <c r="G149" s="4"/>
      <c r="H149" t="s">
        <v>1033</v>
      </c>
      <c r="I149" t="s">
        <v>1129</v>
      </c>
      <c r="J149" s="9" t="s">
        <v>1144</v>
      </c>
      <c r="P149" t="s">
        <v>1113</v>
      </c>
      <c r="AA149" s="68"/>
    </row>
    <row r="150" spans="1:28" ht="29.25" x14ac:dyDescent="0.25">
      <c r="A150" s="9">
        <f>A148+1</f>
        <v>109</v>
      </c>
      <c r="B150" s="28" t="s">
        <v>998</v>
      </c>
      <c r="C150" t="s">
        <v>999</v>
      </c>
      <c r="D150" s="323">
        <f>VLOOKUP($D$112,LOV!$B$143:$D$150,3,FALSE)</f>
        <v>0</v>
      </c>
      <c r="E150" s="323"/>
      <c r="F150" s="323"/>
      <c r="G150" s="4"/>
      <c r="H150" t="s">
        <v>1019</v>
      </c>
      <c r="I150" t="s">
        <v>1019</v>
      </c>
      <c r="J150" s="9" t="s">
        <v>1144</v>
      </c>
      <c r="P150" t="s">
        <v>3048</v>
      </c>
      <c r="AA150" s="68"/>
    </row>
    <row r="151" spans="1:28" x14ac:dyDescent="0.25">
      <c r="A151" s="9">
        <f t="shared" si="6"/>
        <v>110</v>
      </c>
      <c r="C151" t="s">
        <v>1002</v>
      </c>
      <c r="D151" s="132">
        <f>VLOOKUP($D$112,LOV!$B$143:$E$150,4,FALSE)</f>
        <v>0</v>
      </c>
      <c r="E151" s="132"/>
      <c r="F151" s="132"/>
      <c r="G151" s="4"/>
      <c r="H151" t="s">
        <v>1019</v>
      </c>
      <c r="I151" t="s">
        <v>1019</v>
      </c>
      <c r="J151" s="9" t="s">
        <v>1144</v>
      </c>
      <c r="P151" t="s">
        <v>3049</v>
      </c>
      <c r="AA151" s="68"/>
    </row>
    <row r="152" spans="1:28" x14ac:dyDescent="0.25">
      <c r="A152" s="9">
        <f t="shared" si="6"/>
        <v>111</v>
      </c>
      <c r="C152" t="s">
        <v>1004</v>
      </c>
      <c r="D152" s="132">
        <f>VLOOKUP($D$112,LOV!C153:D160,2,FALSE)</f>
        <v>0</v>
      </c>
      <c r="E152" s="132"/>
      <c r="F152" s="132"/>
      <c r="G152" s="4"/>
      <c r="H152" t="s">
        <v>1019</v>
      </c>
      <c r="I152" t="s">
        <v>1019</v>
      </c>
      <c r="J152" s="9" t="s">
        <v>1144</v>
      </c>
      <c r="P152" t="s">
        <v>3050</v>
      </c>
      <c r="AA152" s="68"/>
    </row>
    <row r="153" spans="1:28" x14ac:dyDescent="0.25">
      <c r="A153" s="9">
        <f t="shared" si="6"/>
        <v>112</v>
      </c>
      <c r="C153" t="s">
        <v>1005</v>
      </c>
      <c r="D153" s="132" t="s">
        <v>1011</v>
      </c>
      <c r="E153" s="132"/>
      <c r="F153" s="132"/>
      <c r="G153" s="4"/>
      <c r="P153" t="s">
        <v>3051</v>
      </c>
      <c r="AA153" s="68"/>
    </row>
    <row r="154" spans="1:28" x14ac:dyDescent="0.25"/>
    <row r="156" spans="1:28" hidden="1" x14ac:dyDescent="0.25">
      <c r="A156" s="9" t="s">
        <v>136</v>
      </c>
      <c r="B156" t="s">
        <v>136</v>
      </c>
    </row>
    <row r="157" spans="1:28" hidden="1" x14ac:dyDescent="0.25">
      <c r="A157" s="9">
        <v>1</v>
      </c>
      <c r="B157" s="4">
        <v>1</v>
      </c>
    </row>
    <row r="158" spans="1:28" hidden="1" x14ac:dyDescent="0.25">
      <c r="A158" s="9">
        <v>1.1000000000000001</v>
      </c>
      <c r="B158" s="4">
        <v>2</v>
      </c>
    </row>
    <row r="159" spans="1:28" hidden="1" x14ac:dyDescent="0.25">
      <c r="A159" s="9">
        <v>1.2</v>
      </c>
      <c r="B159" s="4">
        <v>3</v>
      </c>
    </row>
    <row r="160" spans="1:28" hidden="1" x14ac:dyDescent="0.25">
      <c r="A160" s="9">
        <v>1.3</v>
      </c>
      <c r="B160" s="4">
        <v>4</v>
      </c>
    </row>
    <row r="161" spans="1:4" hidden="1" x14ac:dyDescent="0.25">
      <c r="A161" s="9">
        <v>2</v>
      </c>
      <c r="B161" s="4">
        <v>5</v>
      </c>
    </row>
    <row r="162" spans="1:4" hidden="1" x14ac:dyDescent="0.25">
      <c r="A162" s="9">
        <v>3</v>
      </c>
      <c r="B162" s="4">
        <v>6</v>
      </c>
    </row>
    <row r="163" spans="1:4" hidden="1" x14ac:dyDescent="0.25">
      <c r="A163" s="9">
        <v>4</v>
      </c>
      <c r="B163" s="4">
        <v>7</v>
      </c>
    </row>
    <row r="164" spans="1:4" hidden="1" x14ac:dyDescent="0.25">
      <c r="A164" s="9">
        <v>5</v>
      </c>
    </row>
    <row r="165" spans="1:4" hidden="1" x14ac:dyDescent="0.25">
      <c r="A165" s="9">
        <v>6</v>
      </c>
    </row>
    <row r="166" spans="1:4" hidden="1" x14ac:dyDescent="0.25">
      <c r="A166" s="9">
        <v>7</v>
      </c>
    </row>
    <row r="167" spans="1:4" hidden="1" x14ac:dyDescent="0.25">
      <c r="A167" s="9">
        <v>8</v>
      </c>
    </row>
    <row r="168" spans="1:4" hidden="1" x14ac:dyDescent="0.25">
      <c r="A168" s="9">
        <v>9</v>
      </c>
    </row>
    <row r="169" spans="1:4" hidden="1" x14ac:dyDescent="0.25">
      <c r="A169" s="9">
        <v>10</v>
      </c>
    </row>
    <row r="170" spans="1:4" hidden="1" x14ac:dyDescent="0.25">
      <c r="A170" s="9">
        <v>11</v>
      </c>
    </row>
    <row r="171" spans="1:4" hidden="1" x14ac:dyDescent="0.25">
      <c r="A171" s="9">
        <v>12</v>
      </c>
    </row>
    <row r="172" spans="1:4" hidden="1" x14ac:dyDescent="0.25">
      <c r="A172" s="9">
        <v>13</v>
      </c>
    </row>
    <row r="173" spans="1:4" ht="15.75" hidden="1" thickBot="1" x14ac:dyDescent="0.3"/>
    <row r="174" spans="1:4" ht="15.75" hidden="1" thickBot="1" x14ac:dyDescent="0.3">
      <c r="A174" s="198" t="s">
        <v>136</v>
      </c>
      <c r="B174" s="199" t="s">
        <v>2816</v>
      </c>
    </row>
    <row r="175" spans="1:4" ht="60" hidden="1" x14ac:dyDescent="0.25">
      <c r="A175" s="200" t="s">
        <v>5584</v>
      </c>
      <c r="B175" s="201" t="s">
        <v>5585</v>
      </c>
      <c r="C175" t="s">
        <v>136</v>
      </c>
      <c r="D175" t="s">
        <v>136</v>
      </c>
    </row>
    <row r="176" spans="1:4" ht="60" hidden="1" x14ac:dyDescent="0.25">
      <c r="A176" s="200" t="s">
        <v>5586</v>
      </c>
      <c r="B176" s="201" t="s">
        <v>5587</v>
      </c>
      <c r="C176" t="s">
        <v>5610</v>
      </c>
      <c r="D176" s="206" t="s">
        <v>5607</v>
      </c>
    </row>
    <row r="177" spans="1:3" ht="60" hidden="1" x14ac:dyDescent="0.25">
      <c r="A177" s="202" t="s">
        <v>5588</v>
      </c>
      <c r="B177" s="91" t="s">
        <v>5589</v>
      </c>
      <c r="C177" t="s">
        <v>5611</v>
      </c>
    </row>
    <row r="178" spans="1:3" ht="90" hidden="1" x14ac:dyDescent="0.25">
      <c r="A178" s="202" t="s">
        <v>5590</v>
      </c>
      <c r="B178" s="91" t="s">
        <v>5591</v>
      </c>
      <c r="C178" t="s">
        <v>5612</v>
      </c>
    </row>
    <row r="179" spans="1:3" ht="45" hidden="1" x14ac:dyDescent="0.25">
      <c r="A179" s="202" t="s">
        <v>5592</v>
      </c>
      <c r="B179" s="91" t="s">
        <v>5593</v>
      </c>
      <c r="C179" t="s">
        <v>5613</v>
      </c>
    </row>
    <row r="180" spans="1:3" ht="45" hidden="1" x14ac:dyDescent="0.25">
      <c r="A180" s="202" t="s">
        <v>5594</v>
      </c>
      <c r="B180" s="91" t="s">
        <v>5595</v>
      </c>
      <c r="C180" t="s">
        <v>5614</v>
      </c>
    </row>
    <row r="181" spans="1:3" ht="30" hidden="1" x14ac:dyDescent="0.25">
      <c r="A181" s="203" t="s">
        <v>5596</v>
      </c>
      <c r="B181" s="204" t="s">
        <v>5597</v>
      </c>
      <c r="C181" t="s">
        <v>5615</v>
      </c>
    </row>
    <row r="182" spans="1:3" hidden="1" x14ac:dyDescent="0.25">
      <c r="A182" s="9" t="s">
        <v>911</v>
      </c>
      <c r="B182" t="s">
        <v>6524</v>
      </c>
      <c r="C182" t="s">
        <v>5616</v>
      </c>
    </row>
    <row r="183" spans="1:3" hidden="1" x14ac:dyDescent="0.25">
      <c r="A183" s="9" t="s">
        <v>912</v>
      </c>
      <c r="B183" t="s">
        <v>6525</v>
      </c>
      <c r="C183" t="s">
        <v>5617</v>
      </c>
    </row>
    <row r="184" spans="1:3" hidden="1" x14ac:dyDescent="0.25">
      <c r="A184" s="9" t="s">
        <v>913</v>
      </c>
      <c r="B184" t="s">
        <v>6526</v>
      </c>
      <c r="C184" t="s">
        <v>5609</v>
      </c>
    </row>
    <row r="185" spans="1:3" ht="15.75" hidden="1" x14ac:dyDescent="0.25">
      <c r="A185" s="9" t="s">
        <v>914</v>
      </c>
      <c r="B185" t="s">
        <v>6527</v>
      </c>
      <c r="C185" s="206" t="s">
        <v>5607</v>
      </c>
    </row>
    <row r="186" spans="1:3" ht="15.75" hidden="1" x14ac:dyDescent="0.25">
      <c r="A186" s="9" t="s">
        <v>916</v>
      </c>
      <c r="B186" t="s">
        <v>6528</v>
      </c>
      <c r="C186" s="206"/>
    </row>
    <row r="187" spans="1:3" ht="15.75" hidden="1" x14ac:dyDescent="0.25">
      <c r="A187" s="9" t="s">
        <v>917</v>
      </c>
      <c r="B187" t="s">
        <v>6529</v>
      </c>
      <c r="C187" s="206"/>
    </row>
    <row r="188" spans="1:3" ht="15.75" hidden="1" x14ac:dyDescent="0.25">
      <c r="A188" s="9" t="s">
        <v>6523</v>
      </c>
      <c r="B188" t="s">
        <v>6530</v>
      </c>
      <c r="C188" s="206"/>
    </row>
    <row r="189" spans="1:3" ht="15.75" hidden="1" x14ac:dyDescent="0.25">
      <c r="A189" s="9" t="s">
        <v>918</v>
      </c>
      <c r="B189" t="s">
        <v>6531</v>
      </c>
      <c r="C189" s="206"/>
    </row>
    <row r="190" spans="1:3" ht="15.75" hidden="1" x14ac:dyDescent="0.25">
      <c r="A190" s="9" t="s">
        <v>919</v>
      </c>
      <c r="B190" t="s">
        <v>6532</v>
      </c>
      <c r="C190" s="206"/>
    </row>
    <row r="191" spans="1:3" ht="15.75" hidden="1" x14ac:dyDescent="0.25">
      <c r="A191" s="9" t="s">
        <v>923</v>
      </c>
      <c r="B191" t="s">
        <v>6533</v>
      </c>
      <c r="C191" s="206"/>
    </row>
    <row r="192" spans="1:3" ht="15.75" hidden="1" x14ac:dyDescent="0.25">
      <c r="A192" s="9" t="s">
        <v>934</v>
      </c>
      <c r="B192" t="s">
        <v>6534</v>
      </c>
      <c r="C192" s="206"/>
    </row>
    <row r="193" spans="1:3" ht="15.75" hidden="1" x14ac:dyDescent="0.25">
      <c r="A193" s="9" t="s">
        <v>932</v>
      </c>
      <c r="B193" t="s">
        <v>6535</v>
      </c>
      <c r="C193" s="206"/>
    </row>
    <row r="194" spans="1:3" ht="15.75" hidden="1" x14ac:dyDescent="0.25">
      <c r="A194" s="9" t="s">
        <v>929</v>
      </c>
      <c r="B194" t="s">
        <v>6536</v>
      </c>
      <c r="C194" s="206"/>
    </row>
    <row r="195" spans="1:3" ht="15.75" hidden="1" x14ac:dyDescent="0.25">
      <c r="A195" s="9" t="s">
        <v>921</v>
      </c>
      <c r="B195" t="s">
        <v>6537</v>
      </c>
      <c r="C195" s="206"/>
    </row>
    <row r="196" spans="1:3" ht="15.75" hidden="1" x14ac:dyDescent="0.25">
      <c r="A196" s="9" t="s">
        <v>920</v>
      </c>
      <c r="B196" t="s">
        <v>6538</v>
      </c>
      <c r="C196" s="206"/>
    </row>
    <row r="197" spans="1:3" ht="15.75" hidden="1" x14ac:dyDescent="0.25">
      <c r="A197" s="9" t="s">
        <v>922</v>
      </c>
      <c r="B197" t="s">
        <v>6539</v>
      </c>
      <c r="C197" s="206"/>
    </row>
    <row r="198" spans="1:3" ht="15.75" hidden="1" x14ac:dyDescent="0.25">
      <c r="A198" s="9" t="s">
        <v>924</v>
      </c>
      <c r="B198" t="s">
        <v>6540</v>
      </c>
      <c r="C198" s="206"/>
    </row>
    <row r="199" spans="1:3" ht="15.75" hidden="1" x14ac:dyDescent="0.25">
      <c r="A199" s="9" t="s">
        <v>925</v>
      </c>
      <c r="B199" t="s">
        <v>6541</v>
      </c>
      <c r="C199" s="206"/>
    </row>
    <row r="200" spans="1:3" ht="15.75" hidden="1" x14ac:dyDescent="0.25">
      <c r="A200" s="9" t="s">
        <v>926</v>
      </c>
      <c r="B200" t="s">
        <v>6542</v>
      </c>
      <c r="C200" s="206"/>
    </row>
    <row r="201" spans="1:3" ht="15.75" hidden="1" x14ac:dyDescent="0.25">
      <c r="A201" s="9" t="s">
        <v>927</v>
      </c>
      <c r="B201" t="s">
        <v>6543</v>
      </c>
      <c r="C201" s="206"/>
    </row>
    <row r="202" spans="1:3" ht="15.75" hidden="1" x14ac:dyDescent="0.25">
      <c r="A202" s="9" t="s">
        <v>928</v>
      </c>
      <c r="B202" t="s">
        <v>6544</v>
      </c>
      <c r="C202" s="206"/>
    </row>
    <row r="203" spans="1:3" ht="15.75" hidden="1" x14ac:dyDescent="0.25">
      <c r="A203" s="9" t="s">
        <v>930</v>
      </c>
      <c r="B203" t="s">
        <v>6545</v>
      </c>
      <c r="C203" s="206"/>
    </row>
    <row r="204" spans="1:3" ht="15.75" hidden="1" x14ac:dyDescent="0.25">
      <c r="A204" s="9" t="s">
        <v>931</v>
      </c>
      <c r="B204" t="s">
        <v>6546</v>
      </c>
      <c r="C204" s="206"/>
    </row>
    <row r="205" spans="1:3" ht="15.75" hidden="1" x14ac:dyDescent="0.25">
      <c r="A205" s="9" t="s">
        <v>936</v>
      </c>
      <c r="B205" t="s">
        <v>6547</v>
      </c>
      <c r="C205" s="206"/>
    </row>
    <row r="206" spans="1:3" ht="15.75" hidden="1" x14ac:dyDescent="0.25">
      <c r="A206" s="9" t="s">
        <v>933</v>
      </c>
      <c r="B206" t="s">
        <v>6548</v>
      </c>
      <c r="C206" s="206"/>
    </row>
    <row r="207" spans="1:3" ht="15.75" hidden="1" x14ac:dyDescent="0.25">
      <c r="A207" s="9" t="s">
        <v>935</v>
      </c>
      <c r="B207" t="s">
        <v>6549</v>
      </c>
      <c r="C207" s="206"/>
    </row>
    <row r="208" spans="1:3" ht="15.75" hidden="1" x14ac:dyDescent="0.25">
      <c r="C208" s="206"/>
    </row>
    <row r="209" spans="2:5" hidden="1" x14ac:dyDescent="0.25">
      <c r="B209">
        <f>MATCH($D$22,C210:$D$210,0)</f>
        <v>2</v>
      </c>
      <c r="C209" t="e">
        <f>MATCH($D$119,$B$211:$B$536,0)</f>
        <v>#N/A</v>
      </c>
    </row>
    <row r="210" spans="2:5" hidden="1" x14ac:dyDescent="0.25">
      <c r="B210" t="s">
        <v>136</v>
      </c>
      <c r="C210" t="s">
        <v>169</v>
      </c>
      <c r="D210" t="s">
        <v>171</v>
      </c>
    </row>
    <row r="211" spans="2:5" ht="30" hidden="1" x14ac:dyDescent="0.25">
      <c r="B211" s="209" t="s">
        <v>5620</v>
      </c>
      <c r="C211" s="210" t="s">
        <v>6652</v>
      </c>
      <c r="D211" s="211" t="s">
        <v>5622</v>
      </c>
      <c r="E211" s="211" t="s">
        <v>5621</v>
      </c>
    </row>
    <row r="212" spans="2:5" hidden="1" x14ac:dyDescent="0.25">
      <c r="B212" s="91" t="s">
        <v>797</v>
      </c>
      <c r="C212" s="210" t="s">
        <v>2401</v>
      </c>
      <c r="D212" s="91" t="s">
        <v>6369</v>
      </c>
      <c r="E212" s="91"/>
    </row>
    <row r="213" spans="2:5" hidden="1" x14ac:dyDescent="0.25">
      <c r="B213" s="91" t="s">
        <v>798</v>
      </c>
      <c r="C213" s="210" t="s">
        <v>6653</v>
      </c>
      <c r="D213" s="91" t="s">
        <v>6368</v>
      </c>
      <c r="E213" s="91"/>
    </row>
    <row r="214" spans="2:5" hidden="1" x14ac:dyDescent="0.25">
      <c r="B214" s="91" t="s">
        <v>6597</v>
      </c>
      <c r="C214" s="91" t="s">
        <v>6628</v>
      </c>
      <c r="D214" s="91" t="s">
        <v>6646</v>
      </c>
      <c r="E214" s="91"/>
    </row>
    <row r="215" spans="2:5" hidden="1" x14ac:dyDescent="0.25">
      <c r="B215" s="91" t="s">
        <v>4216</v>
      </c>
      <c r="C215" s="91" t="s">
        <v>4260</v>
      </c>
      <c r="D215" s="91" t="s">
        <v>6370</v>
      </c>
      <c r="E215" s="91"/>
    </row>
    <row r="216" spans="2:5" hidden="1" x14ac:dyDescent="0.25">
      <c r="B216" s="91" t="s">
        <v>863</v>
      </c>
      <c r="C216" s="91" t="s">
        <v>2403</v>
      </c>
      <c r="D216" s="91" t="s">
        <v>6371</v>
      </c>
      <c r="E216" s="91"/>
    </row>
    <row r="217" spans="2:5" hidden="1" x14ac:dyDescent="0.25">
      <c r="B217" s="91" t="s">
        <v>6578</v>
      </c>
      <c r="C217" s="91" t="s">
        <v>6624</v>
      </c>
      <c r="D217" s="91" t="s">
        <v>6638</v>
      </c>
      <c r="E217" s="91"/>
    </row>
    <row r="218" spans="2:5" hidden="1" x14ac:dyDescent="0.25">
      <c r="B218" s="91" t="s">
        <v>6090</v>
      </c>
      <c r="C218" s="91" t="s">
        <v>6346</v>
      </c>
      <c r="D218" s="91" t="s">
        <v>6372</v>
      </c>
      <c r="E218" s="91"/>
    </row>
    <row r="219" spans="2:5" hidden="1" x14ac:dyDescent="0.25">
      <c r="B219" s="91" t="s">
        <v>710</v>
      </c>
      <c r="C219" s="91" t="s">
        <v>2404</v>
      </c>
      <c r="D219" s="91" t="s">
        <v>6373</v>
      </c>
      <c r="E219" s="91"/>
    </row>
    <row r="220" spans="2:5" hidden="1" x14ac:dyDescent="0.25">
      <c r="B220" s="211" t="s">
        <v>5623</v>
      </c>
      <c r="C220" s="210" t="s">
        <v>5624</v>
      </c>
      <c r="D220" s="211" t="s">
        <v>5625</v>
      </c>
      <c r="E220" s="211" t="s">
        <v>5626</v>
      </c>
    </row>
    <row r="221" spans="2:5" hidden="1" x14ac:dyDescent="0.25">
      <c r="B221" s="212" t="s">
        <v>732</v>
      </c>
      <c r="C221" s="210" t="s">
        <v>2405</v>
      </c>
      <c r="D221" s="211" t="s">
        <v>2405</v>
      </c>
      <c r="E221" s="211" t="s">
        <v>2405</v>
      </c>
    </row>
    <row r="222" spans="2:5" hidden="1" x14ac:dyDescent="0.25">
      <c r="B222" s="91" t="s">
        <v>788</v>
      </c>
      <c r="C222" s="91" t="s">
        <v>2406</v>
      </c>
      <c r="D222" s="91" t="s">
        <v>2406</v>
      </c>
      <c r="E222" s="91"/>
    </row>
    <row r="223" spans="2:5" hidden="1" x14ac:dyDescent="0.25">
      <c r="B223" s="91" t="s">
        <v>789</v>
      </c>
      <c r="C223" s="91" t="s">
        <v>2407</v>
      </c>
      <c r="D223" s="91" t="s">
        <v>2407</v>
      </c>
      <c r="E223" s="91"/>
    </row>
    <row r="224" spans="2:5" hidden="1" x14ac:dyDescent="0.25">
      <c r="B224" s="91" t="s">
        <v>857</v>
      </c>
      <c r="C224" s="91" t="s">
        <v>2408</v>
      </c>
      <c r="D224" s="91" t="s">
        <v>2408</v>
      </c>
      <c r="E224" s="91"/>
    </row>
    <row r="225" spans="2:5" hidden="1" x14ac:dyDescent="0.25">
      <c r="B225" s="91" t="s">
        <v>790</v>
      </c>
      <c r="C225" s="91" t="s">
        <v>2409</v>
      </c>
      <c r="D225" s="91" t="s">
        <v>2409</v>
      </c>
      <c r="E225" s="91"/>
    </row>
    <row r="226" spans="2:5" hidden="1" x14ac:dyDescent="0.25">
      <c r="B226" s="91" t="s">
        <v>889</v>
      </c>
      <c r="C226" s="91" t="s">
        <v>2410</v>
      </c>
      <c r="D226" s="91" t="s">
        <v>2410</v>
      </c>
      <c r="E226" s="91"/>
    </row>
    <row r="227" spans="2:5" hidden="1" x14ac:dyDescent="0.25">
      <c r="B227" s="91" t="s">
        <v>3178</v>
      </c>
      <c r="C227" s="91" t="s">
        <v>6347</v>
      </c>
      <c r="D227" s="91" t="s">
        <v>6374</v>
      </c>
      <c r="E227" s="91"/>
    </row>
    <row r="228" spans="2:5" hidden="1" x14ac:dyDescent="0.25">
      <c r="B228" s="91" t="s">
        <v>715</v>
      </c>
      <c r="C228" s="91" t="s">
        <v>2411</v>
      </c>
      <c r="D228" s="91" t="s">
        <v>2411</v>
      </c>
      <c r="E228" s="91"/>
    </row>
    <row r="229" spans="2:5" hidden="1" x14ac:dyDescent="0.25">
      <c r="B229" s="91" t="s">
        <v>738</v>
      </c>
      <c r="C229" s="91" t="s">
        <v>2412</v>
      </c>
      <c r="D229" s="91" t="s">
        <v>2412</v>
      </c>
      <c r="E229" s="91"/>
    </row>
    <row r="230" spans="2:5" hidden="1" x14ac:dyDescent="0.25">
      <c r="B230" s="91" t="s">
        <v>713</v>
      </c>
      <c r="C230" s="91" t="s">
        <v>2413</v>
      </c>
      <c r="D230" s="91" t="s">
        <v>6375</v>
      </c>
      <c r="E230" s="91"/>
    </row>
    <row r="231" spans="2:5" hidden="1" x14ac:dyDescent="0.25">
      <c r="B231" s="91" t="s">
        <v>716</v>
      </c>
      <c r="C231" s="91" t="s">
        <v>2414</v>
      </c>
      <c r="D231" s="91" t="s">
        <v>6376</v>
      </c>
      <c r="E231" s="91"/>
    </row>
    <row r="232" spans="2:5" hidden="1" x14ac:dyDescent="0.25">
      <c r="B232" s="91" t="s">
        <v>858</v>
      </c>
      <c r="C232" s="91" t="s">
        <v>2415</v>
      </c>
      <c r="D232" s="91" t="s">
        <v>6377</v>
      </c>
      <c r="E232" s="91"/>
    </row>
    <row r="233" spans="2:5" hidden="1" x14ac:dyDescent="0.25">
      <c r="B233" s="91" t="s">
        <v>892</v>
      </c>
      <c r="C233" s="91" t="s">
        <v>2416</v>
      </c>
      <c r="D233" s="91" t="s">
        <v>6378</v>
      </c>
      <c r="E233" s="91"/>
    </row>
    <row r="234" spans="2:5" hidden="1" x14ac:dyDescent="0.25">
      <c r="B234" s="91" t="s">
        <v>724</v>
      </c>
      <c r="C234" s="91" t="s">
        <v>2417</v>
      </c>
      <c r="D234" s="91" t="s">
        <v>6379</v>
      </c>
      <c r="E234" s="91"/>
    </row>
    <row r="235" spans="2:5" hidden="1" x14ac:dyDescent="0.25">
      <c r="B235" s="91" t="s">
        <v>859</v>
      </c>
      <c r="C235" s="91" t="s">
        <v>2418</v>
      </c>
      <c r="D235" s="91" t="s">
        <v>6380</v>
      </c>
      <c r="E235" s="91"/>
    </row>
    <row r="236" spans="2:5" hidden="1" x14ac:dyDescent="0.25">
      <c r="B236" s="91" t="s">
        <v>893</v>
      </c>
      <c r="C236" s="91" t="s">
        <v>2419</v>
      </c>
      <c r="D236" s="91" t="s">
        <v>6381</v>
      </c>
      <c r="E236" s="91"/>
    </row>
    <row r="237" spans="2:5" hidden="1" x14ac:dyDescent="0.25">
      <c r="B237" s="91" t="s">
        <v>714</v>
      </c>
      <c r="C237" s="91" t="s">
        <v>6436</v>
      </c>
      <c r="D237" s="91" t="s">
        <v>6382</v>
      </c>
      <c r="E237" s="91"/>
    </row>
    <row r="238" spans="2:5" hidden="1" x14ac:dyDescent="0.25">
      <c r="B238" s="91" t="s">
        <v>717</v>
      </c>
      <c r="C238" s="91" t="s">
        <v>6437</v>
      </c>
      <c r="D238" s="91" t="s">
        <v>2421</v>
      </c>
      <c r="E238" s="91"/>
    </row>
    <row r="239" spans="2:5" hidden="1" x14ac:dyDescent="0.25">
      <c r="B239" s="91" t="s">
        <v>718</v>
      </c>
      <c r="C239" s="91" t="s">
        <v>6438</v>
      </c>
      <c r="D239" s="91" t="s">
        <v>6383</v>
      </c>
      <c r="E239" s="91"/>
    </row>
    <row r="240" spans="2:5" hidden="1" x14ac:dyDescent="0.25">
      <c r="B240" s="91" t="s">
        <v>6584</v>
      </c>
      <c r="C240" s="91" t="s">
        <v>6625</v>
      </c>
      <c r="D240" s="91" t="s">
        <v>6640</v>
      </c>
      <c r="E240" s="91"/>
    </row>
    <row r="241" spans="2:5" hidden="1" x14ac:dyDescent="0.25">
      <c r="B241" s="91" t="s">
        <v>719</v>
      </c>
      <c r="C241" s="91" t="s">
        <v>2423</v>
      </c>
      <c r="D241" s="91" t="s">
        <v>6384</v>
      </c>
      <c r="E241" s="91"/>
    </row>
    <row r="242" spans="2:5" hidden="1" x14ac:dyDescent="0.25">
      <c r="B242" s="91" t="s">
        <v>799</v>
      </c>
      <c r="C242" s="91" t="s">
        <v>2424</v>
      </c>
      <c r="D242" s="91" t="s">
        <v>6385</v>
      </c>
      <c r="E242" s="91"/>
    </row>
    <row r="243" spans="2:5" hidden="1" x14ac:dyDescent="0.25">
      <c r="B243" s="91" t="s">
        <v>754</v>
      </c>
      <c r="C243" s="91" t="s">
        <v>2425</v>
      </c>
      <c r="D243" s="91" t="s">
        <v>6386</v>
      </c>
      <c r="E243" s="91"/>
    </row>
    <row r="244" spans="2:5" hidden="1" x14ac:dyDescent="0.25">
      <c r="B244" s="91" t="s">
        <v>4218</v>
      </c>
      <c r="C244" s="91" t="s">
        <v>4261</v>
      </c>
      <c r="D244" s="91" t="s">
        <v>6387</v>
      </c>
      <c r="E244" s="91"/>
    </row>
    <row r="245" spans="2:5" hidden="1" x14ac:dyDescent="0.25">
      <c r="B245" s="91" t="s">
        <v>4210</v>
      </c>
      <c r="C245" s="91" t="s">
        <v>4262</v>
      </c>
      <c r="D245" s="91" t="s">
        <v>6388</v>
      </c>
      <c r="E245" s="91"/>
    </row>
    <row r="246" spans="2:5" hidden="1" x14ac:dyDescent="0.25">
      <c r="B246" s="91" t="s">
        <v>4221</v>
      </c>
      <c r="C246" s="91" t="s">
        <v>6390</v>
      </c>
      <c r="D246" s="91" t="s">
        <v>6389</v>
      </c>
      <c r="E246" s="91"/>
    </row>
    <row r="247" spans="2:5" hidden="1" x14ac:dyDescent="0.25">
      <c r="B247" s="91" t="s">
        <v>4227</v>
      </c>
      <c r="C247" s="91" t="s">
        <v>6391</v>
      </c>
      <c r="D247" s="91" t="s">
        <v>6392</v>
      </c>
      <c r="E247" s="91"/>
    </row>
    <row r="248" spans="2:5" hidden="1" x14ac:dyDescent="0.25">
      <c r="B248" s="91" t="s">
        <v>6599</v>
      </c>
      <c r="C248" s="91" t="s">
        <v>6620</v>
      </c>
      <c r="D248" s="91" t="s">
        <v>6647</v>
      </c>
      <c r="E248" s="91"/>
    </row>
    <row r="249" spans="2:5" hidden="1" x14ac:dyDescent="0.25">
      <c r="B249" s="91" t="s">
        <v>721</v>
      </c>
      <c r="C249" s="91" t="s">
        <v>2426</v>
      </c>
      <c r="D249" s="91" t="s">
        <v>6393</v>
      </c>
      <c r="E249" s="91"/>
    </row>
    <row r="250" spans="2:5" hidden="1" x14ac:dyDescent="0.25">
      <c r="B250" s="91" t="s">
        <v>741</v>
      </c>
      <c r="C250" s="91" t="s">
        <v>2427</v>
      </c>
      <c r="D250" s="91" t="s">
        <v>6394</v>
      </c>
      <c r="E250" s="91"/>
    </row>
    <row r="251" spans="2:5" hidden="1" x14ac:dyDescent="0.25">
      <c r="B251" s="91" t="s">
        <v>742</v>
      </c>
      <c r="C251" s="91" t="s">
        <v>2428</v>
      </c>
      <c r="D251" s="91" t="s">
        <v>6395</v>
      </c>
      <c r="E251" s="91"/>
    </row>
    <row r="252" spans="2:5" hidden="1" x14ac:dyDescent="0.25">
      <c r="B252" s="91" t="s">
        <v>3183</v>
      </c>
      <c r="C252" s="91" t="s">
        <v>3193</v>
      </c>
      <c r="D252" s="91" t="s">
        <v>6396</v>
      </c>
      <c r="E252" s="91"/>
    </row>
    <row r="253" spans="2:5" hidden="1" x14ac:dyDescent="0.25">
      <c r="B253" s="91" t="s">
        <v>6594</v>
      </c>
      <c r="C253" s="91" t="s">
        <v>6617</v>
      </c>
      <c r="D253" s="91" t="s">
        <v>6643</v>
      </c>
      <c r="E253" s="91"/>
    </row>
    <row r="254" spans="2:5" hidden="1" x14ac:dyDescent="0.25">
      <c r="B254" s="91" t="s">
        <v>725</v>
      </c>
      <c r="C254" s="91" t="s">
        <v>2429</v>
      </c>
      <c r="D254" s="91" t="s">
        <v>6397</v>
      </c>
      <c r="E254" s="91"/>
    </row>
    <row r="255" spans="2:5" hidden="1" x14ac:dyDescent="0.25">
      <c r="B255" s="91" t="s">
        <v>862</v>
      </c>
      <c r="C255" s="91" t="s">
        <v>2430</v>
      </c>
      <c r="D255" s="91" t="s">
        <v>6398</v>
      </c>
      <c r="E255" s="91"/>
    </row>
    <row r="256" spans="2:5" hidden="1" x14ac:dyDescent="0.25">
      <c r="B256" s="91" t="s">
        <v>3171</v>
      </c>
      <c r="C256" s="91" t="s">
        <v>3186</v>
      </c>
      <c r="D256" s="91" t="s">
        <v>6399</v>
      </c>
      <c r="E256" s="91"/>
    </row>
    <row r="257" spans="2:5" hidden="1" x14ac:dyDescent="0.25">
      <c r="B257" s="91" t="s">
        <v>6091</v>
      </c>
      <c r="C257" s="91" t="s">
        <v>6348</v>
      </c>
      <c r="D257" s="91" t="s">
        <v>6400</v>
      </c>
      <c r="E257" s="91"/>
    </row>
    <row r="258" spans="2:5" hidden="1" x14ac:dyDescent="0.25">
      <c r="B258" s="91" t="s">
        <v>881</v>
      </c>
      <c r="C258" s="91" t="s">
        <v>2432</v>
      </c>
      <c r="D258" s="91" t="s">
        <v>6401</v>
      </c>
      <c r="E258" s="91"/>
    </row>
    <row r="259" spans="2:5" hidden="1" x14ac:dyDescent="0.25">
      <c r="B259" s="91" t="s">
        <v>6580</v>
      </c>
      <c r="C259" s="91" t="s">
        <v>6607</v>
      </c>
      <c r="D259" s="91" t="s">
        <v>6639</v>
      </c>
      <c r="E259" s="91"/>
    </row>
    <row r="260" spans="2:5" hidden="1" x14ac:dyDescent="0.25">
      <c r="B260" s="91" t="s">
        <v>6595</v>
      </c>
      <c r="C260" s="91" t="s">
        <v>6618</v>
      </c>
      <c r="D260" s="91" t="s">
        <v>6644</v>
      </c>
      <c r="E260" s="91"/>
    </row>
    <row r="261" spans="2:5" hidden="1" x14ac:dyDescent="0.25">
      <c r="B261" s="91" t="s">
        <v>4220</v>
      </c>
      <c r="C261" s="91" t="s">
        <v>4265</v>
      </c>
      <c r="D261" s="91" t="s">
        <v>6402</v>
      </c>
      <c r="E261" s="91"/>
    </row>
    <row r="262" spans="2:5" hidden="1" x14ac:dyDescent="0.25">
      <c r="B262" s="91" t="s">
        <v>4226</v>
      </c>
      <c r="C262" s="91" t="s">
        <v>4266</v>
      </c>
      <c r="D262" s="91" t="s">
        <v>6403</v>
      </c>
      <c r="E262" s="91"/>
    </row>
    <row r="263" spans="2:5" hidden="1" x14ac:dyDescent="0.25">
      <c r="B263" s="91" t="s">
        <v>6092</v>
      </c>
      <c r="C263" s="91" t="s">
        <v>6349</v>
      </c>
      <c r="D263" s="91" t="s">
        <v>6404</v>
      </c>
      <c r="E263" s="91"/>
    </row>
    <row r="264" spans="2:5" hidden="1" x14ac:dyDescent="0.25">
      <c r="B264" s="91" t="s">
        <v>6600</v>
      </c>
      <c r="C264" s="91" t="s">
        <v>6621</v>
      </c>
      <c r="D264" s="91" t="s">
        <v>6648</v>
      </c>
      <c r="E264" s="91"/>
    </row>
    <row r="265" spans="2:5" hidden="1" x14ac:dyDescent="0.25">
      <c r="B265" s="91" t="s">
        <v>794</v>
      </c>
      <c r="C265" s="91" t="s">
        <v>6406</v>
      </c>
      <c r="D265" s="91" t="s">
        <v>6405</v>
      </c>
      <c r="E265" s="91"/>
    </row>
    <row r="266" spans="2:5" hidden="1" x14ac:dyDescent="0.25">
      <c r="B266" s="91" t="s">
        <v>800</v>
      </c>
      <c r="C266" s="91" t="s">
        <v>6407</v>
      </c>
      <c r="D266" s="91" t="s">
        <v>6449</v>
      </c>
      <c r="E266" s="91"/>
    </row>
    <row r="267" spans="2:5" hidden="1" x14ac:dyDescent="0.25">
      <c r="B267" s="91" t="s">
        <v>776</v>
      </c>
      <c r="C267" s="91" t="s">
        <v>6408</v>
      </c>
      <c r="D267" s="91" t="s">
        <v>6439</v>
      </c>
      <c r="E267" s="91"/>
    </row>
    <row r="268" spans="2:5" hidden="1" x14ac:dyDescent="0.25">
      <c r="B268" s="91" t="s">
        <v>805</v>
      </c>
      <c r="C268" s="91" t="s">
        <v>6409</v>
      </c>
      <c r="D268" s="91" t="s">
        <v>6440</v>
      </c>
      <c r="E268" s="91"/>
    </row>
    <row r="269" spans="2:5" hidden="1" x14ac:dyDescent="0.25">
      <c r="B269" s="91" t="s">
        <v>751</v>
      </c>
      <c r="C269" s="91" t="s">
        <v>6410</v>
      </c>
      <c r="D269" s="91" t="s">
        <v>6441</v>
      </c>
      <c r="E269" s="91"/>
    </row>
    <row r="270" spans="2:5" hidden="1" x14ac:dyDescent="0.25">
      <c r="B270" s="91" t="s">
        <v>775</v>
      </c>
      <c r="C270" s="91" t="s">
        <v>6411</v>
      </c>
      <c r="D270" s="91" t="s">
        <v>6442</v>
      </c>
      <c r="E270" s="91"/>
    </row>
    <row r="271" spans="2:5" hidden="1" x14ac:dyDescent="0.25">
      <c r="B271" s="91" t="s">
        <v>825</v>
      </c>
      <c r="C271" s="91" t="s">
        <v>6412</v>
      </c>
      <c r="D271" s="91" t="s">
        <v>6443</v>
      </c>
      <c r="E271" s="91"/>
    </row>
    <row r="272" spans="2:5" hidden="1" x14ac:dyDescent="0.25">
      <c r="B272" s="91" t="s">
        <v>795</v>
      </c>
      <c r="C272" s="91" t="s">
        <v>6413</v>
      </c>
      <c r="D272" s="91" t="s">
        <v>6444</v>
      </c>
      <c r="E272" s="91"/>
    </row>
    <row r="273" spans="2:5" hidden="1" x14ac:dyDescent="0.25">
      <c r="B273" s="91" t="s">
        <v>793</v>
      </c>
      <c r="C273" s="91" t="s">
        <v>6414</v>
      </c>
      <c r="D273" s="91" t="s">
        <v>6445</v>
      </c>
      <c r="E273" s="91"/>
    </row>
    <row r="274" spans="2:5" hidden="1" x14ac:dyDescent="0.25">
      <c r="B274" s="91" t="s">
        <v>6093</v>
      </c>
      <c r="C274" s="91" t="s">
        <v>6415</v>
      </c>
      <c r="D274" s="91" t="s">
        <v>6446</v>
      </c>
      <c r="E274" s="91"/>
    </row>
    <row r="275" spans="2:5" hidden="1" x14ac:dyDescent="0.25">
      <c r="B275" s="91" t="s">
        <v>826</v>
      </c>
      <c r="C275" s="91" t="s">
        <v>6416</v>
      </c>
      <c r="D275" s="91" t="s">
        <v>6447</v>
      </c>
      <c r="E275" s="91"/>
    </row>
    <row r="276" spans="2:5" hidden="1" x14ac:dyDescent="0.25">
      <c r="B276" s="91" t="s">
        <v>796</v>
      </c>
      <c r="C276" s="91" t="s">
        <v>6417</v>
      </c>
      <c r="D276" s="91" t="s">
        <v>6448</v>
      </c>
      <c r="E276" s="91"/>
    </row>
    <row r="277" spans="2:5" hidden="1" x14ac:dyDescent="0.25">
      <c r="B277" s="213" t="s">
        <v>5627</v>
      </c>
      <c r="C277" s="210" t="s">
        <v>2431</v>
      </c>
      <c r="D277" s="211" t="s">
        <v>5628</v>
      </c>
      <c r="E277" s="211" t="s">
        <v>5629</v>
      </c>
    </row>
    <row r="278" spans="2:5" hidden="1" x14ac:dyDescent="0.25">
      <c r="B278" s="91" t="s">
        <v>804</v>
      </c>
      <c r="C278" s="91" t="s">
        <v>6418</v>
      </c>
      <c r="D278" s="91" t="s">
        <v>6450</v>
      </c>
      <c r="E278" s="91"/>
    </row>
    <row r="279" spans="2:5" hidden="1" x14ac:dyDescent="0.25">
      <c r="B279" s="91" t="s">
        <v>803</v>
      </c>
      <c r="C279" s="91" t="s">
        <v>6419</v>
      </c>
      <c r="D279" s="91" t="s">
        <v>6451</v>
      </c>
      <c r="E279" s="91"/>
    </row>
    <row r="280" spans="2:5" ht="30" hidden="1" x14ac:dyDescent="0.25">
      <c r="B280" s="212" t="s">
        <v>5630</v>
      </c>
      <c r="C280" s="210" t="s">
        <v>5631</v>
      </c>
      <c r="D280" s="211" t="s">
        <v>5632</v>
      </c>
      <c r="E280" s="211" t="s">
        <v>5633</v>
      </c>
    </row>
    <row r="281" spans="2:5" hidden="1" x14ac:dyDescent="0.25">
      <c r="B281" s="91" t="s">
        <v>6589</v>
      </c>
      <c r="C281" s="91" t="s">
        <v>6631</v>
      </c>
      <c r="D281" s="91" t="s">
        <v>6641</v>
      </c>
      <c r="E281" s="91"/>
    </row>
    <row r="282" spans="2:5" hidden="1" x14ac:dyDescent="0.25">
      <c r="B282" s="91" t="s">
        <v>6591</v>
      </c>
      <c r="C282" s="91" t="s">
        <v>6632</v>
      </c>
      <c r="D282" s="91" t="s">
        <v>6642</v>
      </c>
      <c r="E282" s="91"/>
    </row>
    <row r="283" spans="2:5" hidden="1" x14ac:dyDescent="0.25">
      <c r="B283" s="91" t="s">
        <v>801</v>
      </c>
      <c r="C283" s="91" t="s">
        <v>6420</v>
      </c>
      <c r="D283" s="91" t="s">
        <v>6452</v>
      </c>
      <c r="E283" s="91"/>
    </row>
    <row r="284" spans="2:5" hidden="1" x14ac:dyDescent="0.25">
      <c r="B284" s="91" t="s">
        <v>802</v>
      </c>
      <c r="C284" s="91" t="s">
        <v>6421</v>
      </c>
      <c r="D284" s="91" t="s">
        <v>6453</v>
      </c>
      <c r="E284" s="91"/>
    </row>
    <row r="285" spans="2:5" hidden="1" x14ac:dyDescent="0.25">
      <c r="B285" s="91" t="s">
        <v>6585</v>
      </c>
      <c r="C285" s="91" t="s">
        <v>6626</v>
      </c>
      <c r="D285" s="91" t="s">
        <v>6611</v>
      </c>
      <c r="E285" s="91"/>
    </row>
    <row r="286" spans="2:5" hidden="1" x14ac:dyDescent="0.25">
      <c r="B286" s="91" t="s">
        <v>6094</v>
      </c>
      <c r="C286" s="91" t="s">
        <v>6350</v>
      </c>
      <c r="D286" s="91" t="s">
        <v>6350</v>
      </c>
      <c r="E286" s="91"/>
    </row>
    <row r="287" spans="2:5" hidden="1" x14ac:dyDescent="0.25">
      <c r="B287" s="91" t="s">
        <v>6588</v>
      </c>
      <c r="C287" s="91" t="s">
        <v>2432</v>
      </c>
      <c r="D287" s="91" t="s">
        <v>6401</v>
      </c>
      <c r="E287" s="91"/>
    </row>
    <row r="288" spans="2:5" hidden="1" x14ac:dyDescent="0.25">
      <c r="B288" s="91" t="s">
        <v>6587</v>
      </c>
      <c r="C288" s="91" t="s">
        <v>6630</v>
      </c>
      <c r="D288" s="91" t="s">
        <v>6613</v>
      </c>
      <c r="E288" s="91"/>
    </row>
    <row r="289" spans="2:5" hidden="1" x14ac:dyDescent="0.25">
      <c r="B289" s="91" t="s">
        <v>735</v>
      </c>
      <c r="C289" s="91" t="s">
        <v>2447</v>
      </c>
      <c r="D289" s="91" t="s">
        <v>6454</v>
      </c>
      <c r="E289" s="91"/>
    </row>
    <row r="290" spans="2:5" hidden="1" x14ac:dyDescent="0.25">
      <c r="B290" s="91" t="s">
        <v>6095</v>
      </c>
      <c r="C290" s="91" t="s">
        <v>6351</v>
      </c>
      <c r="D290" s="91" t="s">
        <v>6455</v>
      </c>
      <c r="E290" s="91"/>
    </row>
    <row r="291" spans="2:5" hidden="1" x14ac:dyDescent="0.25">
      <c r="B291" s="91" t="s">
        <v>6096</v>
      </c>
      <c r="C291" s="91" t="s">
        <v>6352</v>
      </c>
      <c r="D291" s="91" t="s">
        <v>6456</v>
      </c>
      <c r="E291" s="91"/>
    </row>
    <row r="292" spans="2:5" hidden="1" x14ac:dyDescent="0.25">
      <c r="B292" s="91" t="s">
        <v>734</v>
      </c>
      <c r="C292" s="91" t="s">
        <v>2448</v>
      </c>
      <c r="D292" s="91" t="s">
        <v>6457</v>
      </c>
      <c r="E292" s="91"/>
    </row>
    <row r="293" spans="2:5" hidden="1" x14ac:dyDescent="0.25">
      <c r="B293" s="213" t="s">
        <v>5634</v>
      </c>
      <c r="C293" s="210" t="s">
        <v>2446</v>
      </c>
      <c r="D293" s="211" t="s">
        <v>5635</v>
      </c>
      <c r="E293" s="211" t="s">
        <v>5636</v>
      </c>
    </row>
    <row r="294" spans="2:5" ht="30" hidden="1" x14ac:dyDescent="0.25">
      <c r="B294" s="212" t="s">
        <v>5637</v>
      </c>
      <c r="C294" s="210" t="s">
        <v>5638</v>
      </c>
      <c r="D294" s="211" t="s">
        <v>5639</v>
      </c>
      <c r="E294" s="211" t="s">
        <v>5640</v>
      </c>
    </row>
    <row r="295" spans="2:5" hidden="1" x14ac:dyDescent="0.25">
      <c r="B295" s="91" t="s">
        <v>6097</v>
      </c>
      <c r="C295" s="91" t="s">
        <v>6353</v>
      </c>
      <c r="D295" s="91" t="s">
        <v>6353</v>
      </c>
      <c r="E295" s="91"/>
    </row>
    <row r="296" spans="2:5" hidden="1" x14ac:dyDescent="0.25">
      <c r="B296" s="91" t="s">
        <v>860</v>
      </c>
      <c r="C296" s="91" t="s">
        <v>2449</v>
      </c>
      <c r="D296" s="91" t="s">
        <v>2449</v>
      </c>
      <c r="E296" s="91"/>
    </row>
    <row r="297" spans="2:5" hidden="1" x14ac:dyDescent="0.25">
      <c r="B297" s="91" t="s">
        <v>723</v>
      </c>
      <c r="C297" s="91" t="s">
        <v>2450</v>
      </c>
      <c r="D297" s="91" t="s">
        <v>2450</v>
      </c>
      <c r="E297" s="91"/>
    </row>
    <row r="298" spans="2:5" hidden="1" x14ac:dyDescent="0.25">
      <c r="B298" s="91" t="s">
        <v>861</v>
      </c>
      <c r="C298" s="91" t="s">
        <v>2451</v>
      </c>
      <c r="D298" s="91" t="s">
        <v>2451</v>
      </c>
      <c r="E298" s="91"/>
    </row>
    <row r="299" spans="2:5" hidden="1" x14ac:dyDescent="0.25">
      <c r="B299" s="91" t="s">
        <v>6586</v>
      </c>
      <c r="C299" s="91" t="s">
        <v>6612</v>
      </c>
      <c r="D299" s="91" t="s">
        <v>6612</v>
      </c>
      <c r="E299" s="91"/>
    </row>
    <row r="300" spans="2:5" hidden="1" x14ac:dyDescent="0.25">
      <c r="B300" s="91" t="s">
        <v>778</v>
      </c>
      <c r="C300" s="91" t="s">
        <v>2452</v>
      </c>
      <c r="D300" s="91" t="s">
        <v>2452</v>
      </c>
      <c r="E300" s="91"/>
    </row>
    <row r="301" spans="2:5" hidden="1" x14ac:dyDescent="0.25">
      <c r="B301" s="91" t="s">
        <v>733</v>
      </c>
      <c r="C301" s="91" t="s">
        <v>2453</v>
      </c>
      <c r="D301" s="91" t="s">
        <v>2453</v>
      </c>
      <c r="E301" s="91"/>
    </row>
    <row r="302" spans="2:5" hidden="1" x14ac:dyDescent="0.25">
      <c r="B302" s="91" t="s">
        <v>726</v>
      </c>
      <c r="C302" s="91" t="s">
        <v>2454</v>
      </c>
      <c r="D302" s="91" t="s">
        <v>6458</v>
      </c>
      <c r="E302" s="91"/>
    </row>
    <row r="303" spans="2:5" hidden="1" x14ac:dyDescent="0.25">
      <c r="B303" s="91" t="s">
        <v>830</v>
      </c>
      <c r="C303" s="91" t="s">
        <v>2455</v>
      </c>
      <c r="D303" s="91" t="s">
        <v>6459</v>
      </c>
      <c r="E303" s="91"/>
    </row>
    <row r="304" spans="2:5" hidden="1" x14ac:dyDescent="0.25">
      <c r="B304" s="91" t="s">
        <v>727</v>
      </c>
      <c r="C304" s="91" t="s">
        <v>2456</v>
      </c>
      <c r="D304" s="91" t="s">
        <v>6460</v>
      </c>
      <c r="E304" s="91"/>
    </row>
    <row r="305" spans="2:5" hidden="1" x14ac:dyDescent="0.25">
      <c r="B305" s="91" t="s">
        <v>707</v>
      </c>
      <c r="C305" s="91" t="s">
        <v>2457</v>
      </c>
      <c r="D305" s="91" t="s">
        <v>6461</v>
      </c>
      <c r="E305" s="91"/>
    </row>
    <row r="306" spans="2:5" hidden="1" x14ac:dyDescent="0.25">
      <c r="B306" s="91" t="s">
        <v>4213</v>
      </c>
      <c r="C306" s="91" t="s">
        <v>4268</v>
      </c>
      <c r="D306" s="91" t="s">
        <v>6462</v>
      </c>
      <c r="E306" s="91"/>
    </row>
    <row r="307" spans="2:5" hidden="1" x14ac:dyDescent="0.25">
      <c r="B307" s="91" t="s">
        <v>728</v>
      </c>
      <c r="C307" s="91" t="s">
        <v>2458</v>
      </c>
      <c r="D307" s="91" t="s">
        <v>6463</v>
      </c>
      <c r="E307" s="91"/>
    </row>
    <row r="308" spans="2:5" hidden="1" x14ac:dyDescent="0.25">
      <c r="B308" s="91" t="s">
        <v>787</v>
      </c>
      <c r="C308" s="91" t="s">
        <v>2462</v>
      </c>
      <c r="D308" s="91" t="s">
        <v>6464</v>
      </c>
      <c r="E308" s="91"/>
    </row>
    <row r="309" spans="2:5" ht="30" hidden="1" x14ac:dyDescent="0.25">
      <c r="B309" s="214" t="s">
        <v>5641</v>
      </c>
      <c r="C309" s="210" t="s">
        <v>5642</v>
      </c>
      <c r="D309" s="211" t="s">
        <v>5643</v>
      </c>
      <c r="E309" s="211" t="s">
        <v>5644</v>
      </c>
    </row>
    <row r="310" spans="2:5" ht="30" hidden="1" x14ac:dyDescent="0.25">
      <c r="B310" s="201" t="s">
        <v>5669</v>
      </c>
      <c r="C310" s="210" t="s">
        <v>5670</v>
      </c>
      <c r="D310" s="211" t="s">
        <v>5671</v>
      </c>
      <c r="E310" s="211" t="s">
        <v>5672</v>
      </c>
    </row>
    <row r="311" spans="2:5" ht="45" hidden="1" x14ac:dyDescent="0.25">
      <c r="B311" s="214" t="s">
        <v>5645</v>
      </c>
      <c r="C311" s="210" t="s">
        <v>5646</v>
      </c>
      <c r="D311" s="211" t="s">
        <v>5647</v>
      </c>
      <c r="E311" s="211" t="s">
        <v>5648</v>
      </c>
    </row>
    <row r="312" spans="2:5" ht="30" hidden="1" x14ac:dyDescent="0.25">
      <c r="B312" s="214" t="s">
        <v>5649</v>
      </c>
      <c r="C312" s="210" t="s">
        <v>5650</v>
      </c>
      <c r="D312" s="211" t="s">
        <v>5651</v>
      </c>
      <c r="E312" s="211" t="s">
        <v>5652</v>
      </c>
    </row>
    <row r="313" spans="2:5" ht="30" hidden="1" x14ac:dyDescent="0.25">
      <c r="B313" s="201" t="s">
        <v>5657</v>
      </c>
      <c r="C313" s="210" t="s">
        <v>5658</v>
      </c>
      <c r="D313" s="211" t="s">
        <v>5659</v>
      </c>
      <c r="E313" s="211" t="s">
        <v>5660</v>
      </c>
    </row>
    <row r="314" spans="2:5" ht="30" hidden="1" x14ac:dyDescent="0.25">
      <c r="B314" s="215" t="s">
        <v>5661</v>
      </c>
      <c r="C314" s="210" t="s">
        <v>5662</v>
      </c>
      <c r="D314" s="211" t="s">
        <v>5663</v>
      </c>
      <c r="E314" s="211" t="s">
        <v>5664</v>
      </c>
    </row>
    <row r="315" spans="2:5" ht="45" hidden="1" x14ac:dyDescent="0.25">
      <c r="B315" s="214" t="s">
        <v>5653</v>
      </c>
      <c r="C315" s="210" t="s">
        <v>5654</v>
      </c>
      <c r="D315" s="211" t="s">
        <v>5655</v>
      </c>
      <c r="E315" s="211" t="s">
        <v>5656</v>
      </c>
    </row>
    <row r="316" spans="2:5" ht="30" hidden="1" x14ac:dyDescent="0.25">
      <c r="B316" s="214" t="s">
        <v>5665</v>
      </c>
      <c r="C316" s="210" t="s">
        <v>5666</v>
      </c>
      <c r="D316" s="211" t="s">
        <v>5667</v>
      </c>
      <c r="E316" s="211" t="s">
        <v>5668</v>
      </c>
    </row>
    <row r="317" spans="2:5" ht="30" hidden="1" x14ac:dyDescent="0.25">
      <c r="B317" s="214" t="s">
        <v>5673</v>
      </c>
      <c r="C317" s="210" t="s">
        <v>5674</v>
      </c>
      <c r="D317" s="211" t="s">
        <v>5675</v>
      </c>
      <c r="E317" s="211" t="s">
        <v>5676</v>
      </c>
    </row>
    <row r="318" spans="2:5" ht="30" hidden="1" x14ac:dyDescent="0.25">
      <c r="B318" s="201" t="s">
        <v>5681</v>
      </c>
      <c r="C318" s="210" t="s">
        <v>5682</v>
      </c>
      <c r="D318" s="211" t="s">
        <v>5683</v>
      </c>
      <c r="E318" s="211" t="s">
        <v>5684</v>
      </c>
    </row>
    <row r="319" spans="2:5" ht="45" hidden="1" x14ac:dyDescent="0.25">
      <c r="B319" s="214" t="s">
        <v>5677</v>
      </c>
      <c r="C319" s="210" t="s">
        <v>5678</v>
      </c>
      <c r="D319" s="211" t="s">
        <v>5679</v>
      </c>
      <c r="E319" s="211" t="s">
        <v>5680</v>
      </c>
    </row>
    <row r="320" spans="2:5" ht="30" hidden="1" x14ac:dyDescent="0.25">
      <c r="B320" s="214" t="s">
        <v>5685</v>
      </c>
      <c r="C320" s="210" t="s">
        <v>5686</v>
      </c>
      <c r="D320" s="211" t="s">
        <v>5687</v>
      </c>
      <c r="E320" s="211" t="s">
        <v>5688</v>
      </c>
    </row>
    <row r="321" spans="2:5" hidden="1" x14ac:dyDescent="0.25">
      <c r="B321" s="214" t="s">
        <v>5689</v>
      </c>
      <c r="C321" s="210" t="s">
        <v>5690</v>
      </c>
      <c r="D321" s="211" t="s">
        <v>5691</v>
      </c>
      <c r="E321" s="211" t="s">
        <v>5692</v>
      </c>
    </row>
    <row r="322" spans="2:5" hidden="1" x14ac:dyDescent="0.25">
      <c r="B322" s="91" t="s">
        <v>6636</v>
      </c>
      <c r="C322" s="91" t="s">
        <v>6635</v>
      </c>
      <c r="D322" s="91" t="s">
        <v>6651</v>
      </c>
      <c r="E322" s="91"/>
    </row>
    <row r="323" spans="2:5" hidden="1" x14ac:dyDescent="0.25">
      <c r="B323" s="91" t="s">
        <v>832</v>
      </c>
      <c r="C323" s="91" t="s">
        <v>2463</v>
      </c>
      <c r="D323" s="91" t="s">
        <v>6465</v>
      </c>
      <c r="E323" s="91"/>
    </row>
    <row r="324" spans="2:5" hidden="1" x14ac:dyDescent="0.25">
      <c r="B324" s="91" t="s">
        <v>806</v>
      </c>
      <c r="C324" s="91" t="s">
        <v>2464</v>
      </c>
      <c r="D324" s="91" t="s">
        <v>6466</v>
      </c>
      <c r="E324" s="91"/>
    </row>
    <row r="325" spans="2:5" hidden="1" x14ac:dyDescent="0.25">
      <c r="B325" s="91" t="s">
        <v>4212</v>
      </c>
      <c r="C325" s="91" t="s">
        <v>4269</v>
      </c>
      <c r="D325" s="91" t="s">
        <v>6467</v>
      </c>
      <c r="E325" s="91"/>
    </row>
    <row r="326" spans="2:5" hidden="1" x14ac:dyDescent="0.25">
      <c r="B326" s="91" t="s">
        <v>749</v>
      </c>
      <c r="C326" s="91" t="s">
        <v>2465</v>
      </c>
      <c r="D326" s="91" t="s">
        <v>2465</v>
      </c>
      <c r="E326" s="91"/>
    </row>
    <row r="327" spans="2:5" hidden="1" x14ac:dyDescent="0.25">
      <c r="B327" s="91" t="s">
        <v>4217</v>
      </c>
      <c r="C327" s="91" t="s">
        <v>4270</v>
      </c>
      <c r="D327" s="91" t="s">
        <v>6468</v>
      </c>
      <c r="E327" s="91"/>
    </row>
    <row r="328" spans="2:5" hidden="1" x14ac:dyDescent="0.25">
      <c r="B328" s="91" t="s">
        <v>3169</v>
      </c>
      <c r="C328" s="91" t="s">
        <v>3185</v>
      </c>
      <c r="D328" s="91" t="s">
        <v>3185</v>
      </c>
      <c r="E328" s="91"/>
    </row>
    <row r="329" spans="2:5" hidden="1" x14ac:dyDescent="0.25">
      <c r="B329" s="216" t="s">
        <v>5693</v>
      </c>
      <c r="C329" s="210" t="s">
        <v>5694</v>
      </c>
      <c r="D329" s="211" t="s">
        <v>5695</v>
      </c>
      <c r="E329" s="211" t="s">
        <v>5696</v>
      </c>
    </row>
    <row r="330" spans="2:5" hidden="1" x14ac:dyDescent="0.25">
      <c r="B330" s="91" t="s">
        <v>6602</v>
      </c>
      <c r="C330" s="91" t="s">
        <v>6633</v>
      </c>
      <c r="D330" s="91" t="s">
        <v>6649</v>
      </c>
      <c r="E330" s="91"/>
    </row>
    <row r="331" spans="2:5" ht="30" hidden="1" x14ac:dyDescent="0.25">
      <c r="B331" s="209" t="s">
        <v>5697</v>
      </c>
      <c r="C331" s="210" t="s">
        <v>5698</v>
      </c>
      <c r="D331" s="211" t="s">
        <v>5699</v>
      </c>
      <c r="E331" s="211" t="s">
        <v>5700</v>
      </c>
    </row>
    <row r="332" spans="2:5" hidden="1" x14ac:dyDescent="0.25">
      <c r="B332" s="91" t="s">
        <v>765</v>
      </c>
      <c r="C332" s="91" t="s">
        <v>2466</v>
      </c>
      <c r="D332" s="91" t="s">
        <v>2466</v>
      </c>
      <c r="E332" s="91"/>
    </row>
    <row r="333" spans="2:5" hidden="1" x14ac:dyDescent="0.25">
      <c r="B333" s="91" t="s">
        <v>730</v>
      </c>
      <c r="C333" s="91" t="s">
        <v>2467</v>
      </c>
      <c r="D333" s="91" t="s">
        <v>6469</v>
      </c>
      <c r="E333" s="91"/>
    </row>
    <row r="334" spans="2:5" hidden="1" x14ac:dyDescent="0.25">
      <c r="B334" s="91" t="s">
        <v>731</v>
      </c>
      <c r="C334" s="91" t="s">
        <v>2468</v>
      </c>
      <c r="D334" s="91" t="s">
        <v>6470</v>
      </c>
      <c r="E334" s="91"/>
    </row>
    <row r="335" spans="2:5" hidden="1" x14ac:dyDescent="0.25">
      <c r="B335" s="91" t="s">
        <v>745</v>
      </c>
      <c r="C335" s="91" t="s">
        <v>2469</v>
      </c>
      <c r="D335" s="91" t="s">
        <v>6471</v>
      </c>
      <c r="E335" s="91"/>
    </row>
    <row r="336" spans="2:5" hidden="1" x14ac:dyDescent="0.25">
      <c r="B336" s="91" t="s">
        <v>867</v>
      </c>
      <c r="C336" s="91" t="s">
        <v>2470</v>
      </c>
      <c r="D336" s="91" t="s">
        <v>6472</v>
      </c>
      <c r="E336" s="91"/>
    </row>
    <row r="337" spans="2:5" hidden="1" x14ac:dyDescent="0.25">
      <c r="B337" s="91" t="s">
        <v>873</v>
      </c>
      <c r="C337" s="91" t="s">
        <v>2471</v>
      </c>
      <c r="D337" s="91" t="s">
        <v>6473</v>
      </c>
      <c r="E337" s="91"/>
    </row>
    <row r="338" spans="2:5" hidden="1" x14ac:dyDescent="0.25">
      <c r="B338" s="91" t="s">
        <v>747</v>
      </c>
      <c r="C338" s="91" t="s">
        <v>2472</v>
      </c>
      <c r="D338" s="91" t="s">
        <v>6474</v>
      </c>
      <c r="E338" s="91"/>
    </row>
    <row r="339" spans="2:5" hidden="1" x14ac:dyDescent="0.25">
      <c r="B339" s="91" t="s">
        <v>758</v>
      </c>
      <c r="C339" s="91" t="s">
        <v>2473</v>
      </c>
      <c r="D339" s="91" t="s">
        <v>6475</v>
      </c>
      <c r="E339" s="91"/>
    </row>
    <row r="340" spans="2:5" hidden="1" x14ac:dyDescent="0.25">
      <c r="B340" s="91" t="s">
        <v>746</v>
      </c>
      <c r="C340" s="91" t="s">
        <v>2474</v>
      </c>
      <c r="D340" s="91" t="s">
        <v>6476</v>
      </c>
      <c r="E340" s="91"/>
    </row>
    <row r="341" spans="2:5" hidden="1" x14ac:dyDescent="0.25">
      <c r="B341" s="91" t="s">
        <v>838</v>
      </c>
      <c r="C341" s="91" t="s">
        <v>2475</v>
      </c>
      <c r="D341" s="91" t="s">
        <v>6477</v>
      </c>
      <c r="E341" s="91"/>
    </row>
    <row r="342" spans="2:5" hidden="1" x14ac:dyDescent="0.25">
      <c r="B342" s="91" t="s">
        <v>769</v>
      </c>
      <c r="C342" s="91" t="s">
        <v>2476</v>
      </c>
      <c r="D342" s="91" t="s">
        <v>6478</v>
      </c>
      <c r="E342" s="91"/>
    </row>
    <row r="343" spans="2:5" hidden="1" x14ac:dyDescent="0.25">
      <c r="B343" s="91" t="s">
        <v>760</v>
      </c>
      <c r="C343" s="91" t="s">
        <v>2477</v>
      </c>
      <c r="D343" s="91" t="s">
        <v>6479</v>
      </c>
      <c r="E343" s="91"/>
    </row>
    <row r="344" spans="2:5" hidden="1" x14ac:dyDescent="0.25">
      <c r="B344" s="91" t="s">
        <v>807</v>
      </c>
      <c r="C344" s="91" t="s">
        <v>2478</v>
      </c>
      <c r="D344" s="91" t="s">
        <v>6480</v>
      </c>
      <c r="E344" s="91"/>
    </row>
    <row r="345" spans="2:5" hidden="1" x14ac:dyDescent="0.25">
      <c r="B345" s="91" t="s">
        <v>871</v>
      </c>
      <c r="C345" s="91" t="s">
        <v>2479</v>
      </c>
      <c r="D345" s="91" t="s">
        <v>6481</v>
      </c>
      <c r="E345" s="91"/>
    </row>
    <row r="346" spans="2:5" hidden="1" x14ac:dyDescent="0.25">
      <c r="B346" s="91" t="s">
        <v>759</v>
      </c>
      <c r="C346" s="91" t="s">
        <v>2480</v>
      </c>
      <c r="D346" s="91" t="s">
        <v>6482</v>
      </c>
      <c r="E346" s="91"/>
    </row>
    <row r="347" spans="2:5" hidden="1" x14ac:dyDescent="0.25">
      <c r="B347" s="91" t="s">
        <v>761</v>
      </c>
      <c r="C347" s="91" t="s">
        <v>2481</v>
      </c>
      <c r="D347" s="91" t="s">
        <v>6483</v>
      </c>
      <c r="E347" s="91"/>
    </row>
    <row r="348" spans="2:5" hidden="1" x14ac:dyDescent="0.25">
      <c r="B348" s="91" t="s">
        <v>870</v>
      </c>
      <c r="C348" s="91" t="s">
        <v>2482</v>
      </c>
      <c r="D348" s="91" t="s">
        <v>6484</v>
      </c>
      <c r="E348" s="91"/>
    </row>
    <row r="349" spans="2:5" hidden="1" x14ac:dyDescent="0.25">
      <c r="B349" s="91" t="s">
        <v>736</v>
      </c>
      <c r="C349" s="91" t="s">
        <v>2484</v>
      </c>
      <c r="D349" s="91" t="s">
        <v>6485</v>
      </c>
      <c r="E349" s="91"/>
    </row>
    <row r="350" spans="2:5" hidden="1" x14ac:dyDescent="0.25">
      <c r="B350" s="91" t="s">
        <v>829</v>
      </c>
      <c r="C350" s="91" t="s">
        <v>2486</v>
      </c>
      <c r="D350" s="91" t="s">
        <v>6486</v>
      </c>
      <c r="E350" s="91"/>
    </row>
    <row r="351" spans="2:5" hidden="1" x14ac:dyDescent="0.25">
      <c r="B351" s="91" t="s">
        <v>766</v>
      </c>
      <c r="C351" s="91" t="s">
        <v>2487</v>
      </c>
      <c r="D351" s="91" t="s">
        <v>6487</v>
      </c>
      <c r="E351" s="91"/>
    </row>
    <row r="352" spans="2:5" hidden="1" x14ac:dyDescent="0.25">
      <c r="B352" s="91" t="s">
        <v>784</v>
      </c>
      <c r="C352" s="91" t="s">
        <v>2488</v>
      </c>
      <c r="D352" s="91" t="s">
        <v>6488</v>
      </c>
      <c r="E352" s="91"/>
    </row>
    <row r="353" spans="2:5" hidden="1" x14ac:dyDescent="0.25">
      <c r="B353" s="91" t="s">
        <v>833</v>
      </c>
      <c r="C353" s="91" t="s">
        <v>2489</v>
      </c>
      <c r="D353" s="91" t="s">
        <v>6489</v>
      </c>
      <c r="E353" s="91"/>
    </row>
    <row r="354" spans="2:5" hidden="1" x14ac:dyDescent="0.25">
      <c r="B354" s="91" t="s">
        <v>757</v>
      </c>
      <c r="C354" s="91" t="s">
        <v>2490</v>
      </c>
      <c r="D354" s="91" t="s">
        <v>6490</v>
      </c>
      <c r="E354" s="91"/>
    </row>
    <row r="355" spans="2:5" hidden="1" x14ac:dyDescent="0.25">
      <c r="B355" s="91" t="s">
        <v>756</v>
      </c>
      <c r="C355" s="91" t="s">
        <v>2491</v>
      </c>
      <c r="D355" s="91" t="s">
        <v>6491</v>
      </c>
      <c r="E355" s="91"/>
    </row>
    <row r="356" spans="2:5" hidden="1" x14ac:dyDescent="0.25">
      <c r="B356" s="91" t="s">
        <v>729</v>
      </c>
      <c r="C356" s="91" t="s">
        <v>6354</v>
      </c>
      <c r="D356" s="91" t="s">
        <v>6492</v>
      </c>
      <c r="E356" s="91"/>
    </row>
    <row r="357" spans="2:5" hidden="1" x14ac:dyDescent="0.25">
      <c r="B357" s="91" t="s">
        <v>712</v>
      </c>
      <c r="C357" s="91" t="s">
        <v>2492</v>
      </c>
      <c r="D357" s="91" t="s">
        <v>6493</v>
      </c>
      <c r="E357" s="91"/>
    </row>
    <row r="358" spans="2:5" hidden="1" x14ac:dyDescent="0.25">
      <c r="B358" s="91" t="s">
        <v>750</v>
      </c>
      <c r="C358" s="91" t="s">
        <v>2493</v>
      </c>
      <c r="D358" s="91" t="s">
        <v>6494</v>
      </c>
      <c r="E358" s="91"/>
    </row>
    <row r="359" spans="2:5" hidden="1" x14ac:dyDescent="0.25">
      <c r="B359" s="91" t="s">
        <v>764</v>
      </c>
      <c r="C359" s="91" t="s">
        <v>2494</v>
      </c>
      <c r="D359" s="91" t="s">
        <v>6495</v>
      </c>
      <c r="E359" s="91"/>
    </row>
    <row r="360" spans="2:5" hidden="1" x14ac:dyDescent="0.25">
      <c r="B360" s="91" t="s">
        <v>781</v>
      </c>
      <c r="C360" s="91" t="s">
        <v>2495</v>
      </c>
      <c r="D360" s="91" t="s">
        <v>6496</v>
      </c>
      <c r="E360" s="91"/>
    </row>
    <row r="361" spans="2:5" hidden="1" x14ac:dyDescent="0.25">
      <c r="B361" s="91" t="s">
        <v>868</v>
      </c>
      <c r="C361" s="91" t="s">
        <v>2496</v>
      </c>
      <c r="D361" s="91" t="s">
        <v>6497</v>
      </c>
      <c r="E361" s="91"/>
    </row>
    <row r="362" spans="2:5" hidden="1" x14ac:dyDescent="0.25">
      <c r="B362" s="91" t="s">
        <v>767</v>
      </c>
      <c r="C362" s="91" t="s">
        <v>2497</v>
      </c>
      <c r="D362" s="91" t="s">
        <v>6498</v>
      </c>
      <c r="E362" s="91"/>
    </row>
    <row r="363" spans="2:5" hidden="1" x14ac:dyDescent="0.25">
      <c r="B363" s="91" t="s">
        <v>836</v>
      </c>
      <c r="C363" s="91" t="s">
        <v>2498</v>
      </c>
      <c r="D363" s="91" t="s">
        <v>6499</v>
      </c>
      <c r="E363" s="91"/>
    </row>
    <row r="364" spans="2:5" hidden="1" x14ac:dyDescent="0.25">
      <c r="B364" s="91" t="s">
        <v>770</v>
      </c>
      <c r="C364" s="91" t="s">
        <v>2499</v>
      </c>
      <c r="D364" s="91" t="s">
        <v>6500</v>
      </c>
      <c r="E364" s="91"/>
    </row>
    <row r="365" spans="2:5" hidden="1" x14ac:dyDescent="0.25">
      <c r="B365" s="91" t="s">
        <v>763</v>
      </c>
      <c r="C365" s="91" t="s">
        <v>2500</v>
      </c>
      <c r="D365" s="91" t="s">
        <v>6501</v>
      </c>
      <c r="E365" s="91"/>
    </row>
    <row r="366" spans="2:5" hidden="1" x14ac:dyDescent="0.25">
      <c r="B366" s="91" t="s">
        <v>837</v>
      </c>
      <c r="C366" s="91" t="s">
        <v>2501</v>
      </c>
      <c r="D366" s="91" t="s">
        <v>6502</v>
      </c>
      <c r="E366" s="91"/>
    </row>
    <row r="367" spans="2:5" hidden="1" x14ac:dyDescent="0.25">
      <c r="B367" s="91" t="s">
        <v>874</v>
      </c>
      <c r="C367" s="91" t="s">
        <v>2502</v>
      </c>
      <c r="D367" s="91" t="s">
        <v>6503</v>
      </c>
      <c r="E367" s="91"/>
    </row>
    <row r="368" spans="2:5" hidden="1" x14ac:dyDescent="0.25">
      <c r="B368" s="91" t="s">
        <v>872</v>
      </c>
      <c r="C368" s="91" t="s">
        <v>2503</v>
      </c>
      <c r="D368" s="91" t="s">
        <v>6504</v>
      </c>
      <c r="E368" s="91"/>
    </row>
    <row r="369" spans="2:5" hidden="1" x14ac:dyDescent="0.25">
      <c r="B369" s="91" t="s">
        <v>748</v>
      </c>
      <c r="C369" s="91" t="s">
        <v>2504</v>
      </c>
      <c r="D369" s="91" t="s">
        <v>6505</v>
      </c>
      <c r="E369" s="91"/>
    </row>
    <row r="370" spans="2:5" hidden="1" x14ac:dyDescent="0.25">
      <c r="B370" s="91" t="s">
        <v>740</v>
      </c>
      <c r="C370" s="91" t="s">
        <v>2505</v>
      </c>
      <c r="D370" s="91" t="s">
        <v>6506</v>
      </c>
      <c r="E370" s="91"/>
    </row>
    <row r="371" spans="2:5" hidden="1" x14ac:dyDescent="0.25">
      <c r="B371" s="91" t="s">
        <v>6098</v>
      </c>
      <c r="C371" s="91" t="s">
        <v>6423</v>
      </c>
      <c r="D371" s="91" t="s">
        <v>6507</v>
      </c>
      <c r="E371" s="91"/>
    </row>
    <row r="372" spans="2:5" ht="30" hidden="1" x14ac:dyDescent="0.25">
      <c r="B372" s="200" t="s">
        <v>5701</v>
      </c>
      <c r="C372" s="210" t="s">
        <v>5702</v>
      </c>
      <c r="D372" s="211" t="s">
        <v>5703</v>
      </c>
      <c r="E372" s="211" t="s">
        <v>5704</v>
      </c>
    </row>
    <row r="373" spans="2:5" ht="30" hidden="1" x14ac:dyDescent="0.25">
      <c r="B373" s="201" t="s">
        <v>5705</v>
      </c>
      <c r="C373" s="210" t="s">
        <v>5706</v>
      </c>
      <c r="D373" s="211" t="s">
        <v>5707</v>
      </c>
      <c r="E373" s="211" t="s">
        <v>5708</v>
      </c>
    </row>
    <row r="374" spans="2:5" ht="30" hidden="1" x14ac:dyDescent="0.25">
      <c r="B374" s="201" t="s">
        <v>5709</v>
      </c>
      <c r="C374" s="210" t="s">
        <v>5710</v>
      </c>
      <c r="D374" s="211" t="s">
        <v>5711</v>
      </c>
      <c r="E374" s="211" t="s">
        <v>5712</v>
      </c>
    </row>
    <row r="375" spans="2:5" hidden="1" x14ac:dyDescent="0.25">
      <c r="B375" s="91" t="s">
        <v>6099</v>
      </c>
      <c r="C375" s="91" t="s">
        <v>6424</v>
      </c>
      <c r="D375" s="91" t="s">
        <v>6508</v>
      </c>
      <c r="E375" s="91"/>
    </row>
    <row r="376" spans="2:5" ht="30" hidden="1" x14ac:dyDescent="0.25">
      <c r="B376" s="213" t="s">
        <v>5720</v>
      </c>
      <c r="C376" s="210" t="s">
        <v>5721</v>
      </c>
      <c r="D376" s="211" t="s">
        <v>5722</v>
      </c>
      <c r="E376" s="211" t="s">
        <v>5723</v>
      </c>
    </row>
    <row r="377" spans="2:5" ht="30" hidden="1" x14ac:dyDescent="0.25">
      <c r="B377" s="213" t="s">
        <v>5717</v>
      </c>
      <c r="C377" s="210" t="s">
        <v>2483</v>
      </c>
      <c r="D377" s="211" t="s">
        <v>5718</v>
      </c>
      <c r="E377" s="211" t="s">
        <v>5719</v>
      </c>
    </row>
    <row r="378" spans="2:5" ht="30" hidden="1" x14ac:dyDescent="0.25">
      <c r="B378" s="212" t="s">
        <v>5728</v>
      </c>
      <c r="C378" s="210" t="s">
        <v>5729</v>
      </c>
      <c r="D378" s="211" t="s">
        <v>5730</v>
      </c>
      <c r="E378" s="211" t="s">
        <v>5731</v>
      </c>
    </row>
    <row r="379" spans="2:5" ht="30" hidden="1" x14ac:dyDescent="0.25">
      <c r="B379" s="212" t="s">
        <v>5724</v>
      </c>
      <c r="C379" s="210" t="s">
        <v>5725</v>
      </c>
      <c r="D379" s="211" t="s">
        <v>5726</v>
      </c>
      <c r="E379" s="211" t="s">
        <v>5727</v>
      </c>
    </row>
    <row r="380" spans="2:5" ht="30" hidden="1" x14ac:dyDescent="0.25">
      <c r="B380" s="200" t="s">
        <v>5713</v>
      </c>
      <c r="C380" s="210" t="s">
        <v>5714</v>
      </c>
      <c r="D380" s="211" t="s">
        <v>5715</v>
      </c>
      <c r="E380" s="211" t="s">
        <v>5716</v>
      </c>
    </row>
    <row r="381" spans="2:5" hidden="1" x14ac:dyDescent="0.25">
      <c r="B381" s="91" t="s">
        <v>6100</v>
      </c>
      <c r="C381" s="91" t="s">
        <v>6355</v>
      </c>
      <c r="D381" s="91" t="s">
        <v>6509</v>
      </c>
      <c r="E381" s="91"/>
    </row>
    <row r="382" spans="2:5" hidden="1" x14ac:dyDescent="0.25">
      <c r="B382" s="91" t="s">
        <v>4224</v>
      </c>
      <c r="C382" s="91" t="s">
        <v>4272</v>
      </c>
      <c r="D382" s="91" t="s">
        <v>6510</v>
      </c>
      <c r="E382" s="91"/>
    </row>
    <row r="383" spans="2:5" hidden="1" x14ac:dyDescent="0.25">
      <c r="B383" s="91" t="s">
        <v>772</v>
      </c>
      <c r="C383" s="91" t="s">
        <v>2506</v>
      </c>
      <c r="D383" s="91" t="s">
        <v>6511</v>
      </c>
      <c r="E383" s="91"/>
    </row>
    <row r="384" spans="2:5" hidden="1" x14ac:dyDescent="0.25">
      <c r="B384" s="91" t="s">
        <v>4215</v>
      </c>
      <c r="C384" s="91" t="s">
        <v>4273</v>
      </c>
      <c r="D384" s="91" t="s">
        <v>6512</v>
      </c>
      <c r="E384" s="91"/>
    </row>
    <row r="385" spans="2:5" ht="30" hidden="1" x14ac:dyDescent="0.25">
      <c r="B385" s="217" t="s">
        <v>5740</v>
      </c>
      <c r="C385" s="210" t="s">
        <v>5741</v>
      </c>
      <c r="D385" s="211" t="s">
        <v>5742</v>
      </c>
      <c r="E385" s="211" t="s">
        <v>5743</v>
      </c>
    </row>
    <row r="386" spans="2:5" hidden="1" x14ac:dyDescent="0.25">
      <c r="B386" s="217" t="s">
        <v>5756</v>
      </c>
      <c r="C386" s="210" t="s">
        <v>2507</v>
      </c>
      <c r="D386" s="211" t="s">
        <v>5757</v>
      </c>
      <c r="E386" s="211" t="s">
        <v>5758</v>
      </c>
    </row>
    <row r="387" spans="2:5" ht="45" hidden="1" x14ac:dyDescent="0.25">
      <c r="B387" s="217" t="s">
        <v>5759</v>
      </c>
      <c r="C387" s="210" t="s">
        <v>5760</v>
      </c>
      <c r="D387" s="211" t="s">
        <v>5761</v>
      </c>
      <c r="E387" s="211" t="s">
        <v>5762</v>
      </c>
    </row>
    <row r="388" spans="2:5" ht="30" hidden="1" x14ac:dyDescent="0.25">
      <c r="B388" s="217" t="s">
        <v>5763</v>
      </c>
      <c r="C388" s="210" t="s">
        <v>5764</v>
      </c>
      <c r="D388" s="211" t="s">
        <v>5765</v>
      </c>
      <c r="E388" s="211" t="s">
        <v>5766</v>
      </c>
    </row>
    <row r="389" spans="2:5" ht="30" hidden="1" x14ac:dyDescent="0.25">
      <c r="B389" s="217" t="s">
        <v>5732</v>
      </c>
      <c r="C389" s="210" t="s">
        <v>5733</v>
      </c>
      <c r="D389" s="211" t="s">
        <v>5734</v>
      </c>
      <c r="E389" s="211" t="s">
        <v>5735</v>
      </c>
    </row>
    <row r="390" spans="2:5" ht="45" hidden="1" x14ac:dyDescent="0.25">
      <c r="B390" s="217" t="s">
        <v>5736</v>
      </c>
      <c r="C390" s="210" t="s">
        <v>5737</v>
      </c>
      <c r="D390" s="211" t="s">
        <v>5738</v>
      </c>
      <c r="E390" s="211" t="s">
        <v>5739</v>
      </c>
    </row>
    <row r="391" spans="2:5" ht="30" hidden="1" x14ac:dyDescent="0.25">
      <c r="B391" s="217" t="s">
        <v>5744</v>
      </c>
      <c r="C391" s="210" t="s">
        <v>5745</v>
      </c>
      <c r="D391" s="211" t="s">
        <v>5746</v>
      </c>
      <c r="E391" s="211" t="s">
        <v>5747</v>
      </c>
    </row>
    <row r="392" spans="2:5" ht="30" hidden="1" x14ac:dyDescent="0.25">
      <c r="B392" s="217" t="s">
        <v>5752</v>
      </c>
      <c r="C392" s="210" t="s">
        <v>5753</v>
      </c>
      <c r="D392" s="211" t="s">
        <v>5754</v>
      </c>
      <c r="E392" s="211" t="s">
        <v>5755</v>
      </c>
    </row>
    <row r="393" spans="2:5" ht="45" hidden="1" x14ac:dyDescent="0.25">
      <c r="B393" s="217" t="s">
        <v>5748</v>
      </c>
      <c r="C393" s="210" t="s">
        <v>5749</v>
      </c>
      <c r="D393" s="211" t="s">
        <v>5750</v>
      </c>
      <c r="E393" s="211" t="s">
        <v>5751</v>
      </c>
    </row>
    <row r="394" spans="2:5" hidden="1" x14ac:dyDescent="0.25">
      <c r="B394" s="91" t="s">
        <v>6101</v>
      </c>
      <c r="C394" s="91" t="s">
        <v>6356</v>
      </c>
      <c r="D394" s="91" t="s">
        <v>6356</v>
      </c>
      <c r="E394" s="91"/>
    </row>
    <row r="395" spans="2:5" hidden="1" x14ac:dyDescent="0.25">
      <c r="B395" s="91" t="s">
        <v>865</v>
      </c>
      <c r="C395" s="91" t="s">
        <v>2508</v>
      </c>
      <c r="D395" s="91" t="s">
        <v>2508</v>
      </c>
      <c r="E395" s="91"/>
    </row>
    <row r="396" spans="2:5" hidden="1" x14ac:dyDescent="0.25">
      <c r="B396" s="91" t="s">
        <v>771</v>
      </c>
      <c r="C396" s="91" t="s">
        <v>2509</v>
      </c>
      <c r="D396" s="91" t="s">
        <v>2509</v>
      </c>
      <c r="E396" s="91"/>
    </row>
    <row r="397" spans="2:5" hidden="1" x14ac:dyDescent="0.25">
      <c r="B397" s="91" t="s">
        <v>779</v>
      </c>
      <c r="C397" s="91" t="s">
        <v>2510</v>
      </c>
      <c r="D397" s="91" t="s">
        <v>2510</v>
      </c>
      <c r="E397" s="91"/>
    </row>
    <row r="398" spans="2:5" hidden="1" x14ac:dyDescent="0.25">
      <c r="B398" s="91" t="s">
        <v>880</v>
      </c>
      <c r="C398" s="91" t="s">
        <v>2511</v>
      </c>
      <c r="D398" s="91" t="s">
        <v>2511</v>
      </c>
      <c r="E398" s="91"/>
    </row>
    <row r="399" spans="2:5" hidden="1" x14ac:dyDescent="0.25">
      <c r="B399" s="91" t="s">
        <v>6590</v>
      </c>
      <c r="C399" s="91" t="s">
        <v>6614</v>
      </c>
      <c r="D399" s="91" t="s">
        <v>6614</v>
      </c>
      <c r="E399" s="91"/>
    </row>
    <row r="400" spans="2:5" hidden="1" x14ac:dyDescent="0.25">
      <c r="B400" s="91" t="s">
        <v>6592</v>
      </c>
      <c r="C400" s="91" t="s">
        <v>6615</v>
      </c>
      <c r="D400" s="91" t="s">
        <v>6615</v>
      </c>
      <c r="E400" s="91"/>
    </row>
    <row r="401" spans="2:5" hidden="1" x14ac:dyDescent="0.25">
      <c r="B401" s="91" t="s">
        <v>777</v>
      </c>
      <c r="C401" s="91" t="s">
        <v>2512</v>
      </c>
      <c r="D401" s="91" t="s">
        <v>2512</v>
      </c>
      <c r="E401" s="91"/>
    </row>
    <row r="402" spans="2:5" hidden="1" x14ac:dyDescent="0.25">
      <c r="B402" s="91" t="s">
        <v>879</v>
      </c>
      <c r="C402" s="91" t="s">
        <v>6357</v>
      </c>
      <c r="D402" s="91" t="s">
        <v>6357</v>
      </c>
      <c r="E402" s="91"/>
    </row>
    <row r="403" spans="2:5" hidden="1" x14ac:dyDescent="0.25">
      <c r="B403" s="91" t="s">
        <v>839</v>
      </c>
      <c r="C403" s="91" t="s">
        <v>6422</v>
      </c>
      <c r="D403" s="91" t="s">
        <v>6513</v>
      </c>
      <c r="E403" s="91"/>
    </row>
    <row r="404" spans="2:5" hidden="1" x14ac:dyDescent="0.25">
      <c r="B404" s="91" t="s">
        <v>4225</v>
      </c>
      <c r="C404" s="91" t="s">
        <v>4274</v>
      </c>
      <c r="D404" s="91" t="s">
        <v>4274</v>
      </c>
      <c r="E404" s="91"/>
    </row>
    <row r="405" spans="2:5" hidden="1" x14ac:dyDescent="0.25">
      <c r="B405" s="91" t="s">
        <v>3174</v>
      </c>
      <c r="C405" s="91" t="s">
        <v>4275</v>
      </c>
      <c r="D405" s="91" t="s">
        <v>4275</v>
      </c>
      <c r="E405" s="91"/>
    </row>
    <row r="406" spans="2:5" hidden="1" x14ac:dyDescent="0.25">
      <c r="B406" s="91" t="s">
        <v>780</v>
      </c>
      <c r="C406" s="91" t="s">
        <v>2515</v>
      </c>
      <c r="D406" s="91" t="s">
        <v>2515</v>
      </c>
      <c r="E406" s="91"/>
    </row>
    <row r="407" spans="2:5" hidden="1" x14ac:dyDescent="0.25">
      <c r="B407" s="91" t="s">
        <v>792</v>
      </c>
      <c r="C407" s="91" t="s">
        <v>2516</v>
      </c>
      <c r="D407" s="91" t="s">
        <v>2516</v>
      </c>
      <c r="E407" s="91"/>
    </row>
    <row r="408" spans="2:5" hidden="1" x14ac:dyDescent="0.25">
      <c r="B408" s="91" t="s">
        <v>3170</v>
      </c>
      <c r="C408" s="91" t="s">
        <v>4276</v>
      </c>
      <c r="D408" s="91" t="s">
        <v>4276</v>
      </c>
      <c r="E408" s="91"/>
    </row>
    <row r="409" spans="2:5" hidden="1" x14ac:dyDescent="0.25">
      <c r="B409" s="91" t="s">
        <v>3175</v>
      </c>
      <c r="C409" s="91" t="s">
        <v>4277</v>
      </c>
      <c r="D409" s="91" t="s">
        <v>4277</v>
      </c>
      <c r="E409" s="91"/>
    </row>
    <row r="410" spans="2:5" hidden="1" x14ac:dyDescent="0.25">
      <c r="B410" s="91" t="s">
        <v>774</v>
      </c>
      <c r="C410" s="91" t="s">
        <v>2519</v>
      </c>
      <c r="D410" s="91" t="s">
        <v>6514</v>
      </c>
      <c r="E410" s="91"/>
    </row>
    <row r="411" spans="2:5" hidden="1" x14ac:dyDescent="0.25">
      <c r="B411" s="91" t="s">
        <v>737</v>
      </c>
      <c r="C411" s="91" t="s">
        <v>2520</v>
      </c>
      <c r="D411" s="91" t="s">
        <v>6515</v>
      </c>
      <c r="E411" s="91"/>
    </row>
    <row r="412" spans="2:5" hidden="1" x14ac:dyDescent="0.25">
      <c r="B412" s="91" t="s">
        <v>835</v>
      </c>
      <c r="C412" s="91" t="s">
        <v>2521</v>
      </c>
      <c r="D412" s="91" t="s">
        <v>2521</v>
      </c>
      <c r="E412" s="91"/>
    </row>
    <row r="413" spans="2:5" hidden="1" x14ac:dyDescent="0.25">
      <c r="B413" s="91" t="s">
        <v>6596</v>
      </c>
      <c r="C413" s="91" t="s">
        <v>6627</v>
      </c>
      <c r="D413" s="91" t="s">
        <v>6645</v>
      </c>
      <c r="E413" s="91"/>
    </row>
    <row r="414" spans="2:5" hidden="1" x14ac:dyDescent="0.25">
      <c r="B414" s="91" t="s">
        <v>6102</v>
      </c>
      <c r="C414" s="91" t="s">
        <v>6358</v>
      </c>
      <c r="D414" s="91" t="s">
        <v>6358</v>
      </c>
      <c r="E414" s="91"/>
    </row>
    <row r="415" spans="2:5" hidden="1" x14ac:dyDescent="0.25">
      <c r="B415" s="91" t="s">
        <v>782</v>
      </c>
      <c r="C415" s="91" t="s">
        <v>2523</v>
      </c>
      <c r="D415" s="91" t="s">
        <v>2523</v>
      </c>
      <c r="E415" s="91"/>
    </row>
    <row r="416" spans="2:5" hidden="1" x14ac:dyDescent="0.25">
      <c r="B416" s="91" t="s">
        <v>6603</v>
      </c>
      <c r="C416" s="91" t="s">
        <v>6634</v>
      </c>
      <c r="D416" s="91" t="s">
        <v>6650</v>
      </c>
      <c r="E416" s="91"/>
    </row>
    <row r="417" spans="2:5" ht="45" hidden="1" x14ac:dyDescent="0.25">
      <c r="B417" s="216" t="s">
        <v>5767</v>
      </c>
      <c r="C417" s="210" t="s">
        <v>5768</v>
      </c>
      <c r="D417" s="211" t="s">
        <v>5769</v>
      </c>
      <c r="E417" s="211" t="s">
        <v>5770</v>
      </c>
    </row>
    <row r="418" spans="2:5" ht="45" hidden="1" x14ac:dyDescent="0.25">
      <c r="B418" s="218" t="s">
        <v>5771</v>
      </c>
      <c r="C418" s="210" t="s">
        <v>5772</v>
      </c>
      <c r="D418" s="211" t="s">
        <v>5773</v>
      </c>
      <c r="E418" s="211" t="s">
        <v>5774</v>
      </c>
    </row>
    <row r="419" spans="2:5" hidden="1" x14ac:dyDescent="0.25">
      <c r="B419" s="216" t="s">
        <v>5783</v>
      </c>
      <c r="C419" s="210" t="s">
        <v>2522</v>
      </c>
      <c r="D419" s="211" t="s">
        <v>5784</v>
      </c>
      <c r="E419" s="211" t="s">
        <v>5785</v>
      </c>
    </row>
    <row r="420" spans="2:5" ht="30" hidden="1" x14ac:dyDescent="0.25">
      <c r="B420" s="209" t="s">
        <v>5775</v>
      </c>
      <c r="C420" s="210" t="s">
        <v>5776</v>
      </c>
      <c r="D420" s="211" t="s">
        <v>5777</v>
      </c>
      <c r="E420" s="211" t="s">
        <v>5778</v>
      </c>
    </row>
    <row r="421" spans="2:5" hidden="1" x14ac:dyDescent="0.25">
      <c r="B421" s="216" t="s">
        <v>5786</v>
      </c>
      <c r="C421" s="210" t="s">
        <v>5787</v>
      </c>
      <c r="D421" s="211" t="s">
        <v>5788</v>
      </c>
      <c r="E421" s="211" t="s">
        <v>5789</v>
      </c>
    </row>
    <row r="422" spans="2:5" ht="30" hidden="1" x14ac:dyDescent="0.25">
      <c r="B422" s="218" t="s">
        <v>5779</v>
      </c>
      <c r="C422" s="210" t="s">
        <v>5780</v>
      </c>
      <c r="D422" s="211" t="s">
        <v>5781</v>
      </c>
      <c r="E422" s="211" t="s">
        <v>5782</v>
      </c>
    </row>
    <row r="423" spans="2:5" hidden="1" x14ac:dyDescent="0.25">
      <c r="B423" s="91" t="s">
        <v>808</v>
      </c>
      <c r="C423" s="91" t="s">
        <v>2524</v>
      </c>
      <c r="D423" s="91" t="s">
        <v>2524</v>
      </c>
      <c r="E423" s="91"/>
    </row>
    <row r="424" spans="2:5" hidden="1" x14ac:dyDescent="0.25">
      <c r="B424" s="91" t="s">
        <v>773</v>
      </c>
      <c r="C424" s="91" t="s">
        <v>2525</v>
      </c>
      <c r="D424" s="91" t="s">
        <v>2525</v>
      </c>
      <c r="E424" s="91"/>
    </row>
    <row r="425" spans="2:5" hidden="1" x14ac:dyDescent="0.25">
      <c r="B425" s="91" t="s">
        <v>840</v>
      </c>
      <c r="C425" s="91" t="s">
        <v>2526</v>
      </c>
      <c r="D425" s="91" t="s">
        <v>2526</v>
      </c>
      <c r="E425" s="91"/>
    </row>
    <row r="426" spans="2:5" hidden="1" x14ac:dyDescent="0.25">
      <c r="B426" s="91" t="s">
        <v>809</v>
      </c>
      <c r="C426" s="91" t="s">
        <v>2527</v>
      </c>
      <c r="D426" s="91" t="s">
        <v>2527</v>
      </c>
      <c r="E426" s="91"/>
    </row>
    <row r="427" spans="2:5" hidden="1" x14ac:dyDescent="0.25">
      <c r="B427" s="91" t="s">
        <v>841</v>
      </c>
      <c r="C427" s="91" t="s">
        <v>2528</v>
      </c>
      <c r="D427" s="91" t="s">
        <v>2528</v>
      </c>
      <c r="E427" s="91"/>
    </row>
    <row r="428" spans="2:5" hidden="1" x14ac:dyDescent="0.25">
      <c r="B428" s="91" t="s">
        <v>4222</v>
      </c>
      <c r="C428" s="91" t="s">
        <v>4278</v>
      </c>
      <c r="D428" s="91" t="s">
        <v>4278</v>
      </c>
      <c r="E428" s="91"/>
    </row>
    <row r="429" spans="2:5" hidden="1" x14ac:dyDescent="0.25">
      <c r="B429" s="91" t="s">
        <v>743</v>
      </c>
      <c r="C429" s="91" t="s">
        <v>2529</v>
      </c>
      <c r="D429" s="91" t="s">
        <v>2529</v>
      </c>
      <c r="E429" s="91"/>
    </row>
    <row r="430" spans="2:5" hidden="1" x14ac:dyDescent="0.25">
      <c r="B430" s="91" t="s">
        <v>744</v>
      </c>
      <c r="C430" s="91" t="s">
        <v>2530</v>
      </c>
      <c r="D430" s="91" t="s">
        <v>2530</v>
      </c>
      <c r="E430" s="91"/>
    </row>
    <row r="431" spans="2:5" hidden="1" x14ac:dyDescent="0.25">
      <c r="B431" s="91" t="s">
        <v>4230</v>
      </c>
      <c r="C431" s="91" t="s">
        <v>4279</v>
      </c>
      <c r="D431" s="91" t="s">
        <v>4279</v>
      </c>
      <c r="E431" s="91"/>
    </row>
    <row r="432" spans="2:5" hidden="1" x14ac:dyDescent="0.25">
      <c r="B432" s="91" t="s">
        <v>842</v>
      </c>
      <c r="C432" s="91" t="s">
        <v>2531</v>
      </c>
      <c r="D432" s="91" t="s">
        <v>2531</v>
      </c>
      <c r="E432" s="91"/>
    </row>
    <row r="433" spans="2:5" ht="30" hidden="1" x14ac:dyDescent="0.25">
      <c r="B433" s="201" t="s">
        <v>5794</v>
      </c>
      <c r="C433" s="210" t="s">
        <v>5795</v>
      </c>
      <c r="D433" s="211" t="s">
        <v>5795</v>
      </c>
      <c r="E433" s="211" t="s">
        <v>5795</v>
      </c>
    </row>
    <row r="434" spans="2:5" hidden="1" x14ac:dyDescent="0.25">
      <c r="B434" s="91" t="s">
        <v>6103</v>
      </c>
      <c r="C434" s="91" t="s">
        <v>6359</v>
      </c>
      <c r="D434" s="91" t="s">
        <v>6359</v>
      </c>
      <c r="E434" s="91"/>
    </row>
    <row r="435" spans="2:5" hidden="1" x14ac:dyDescent="0.25">
      <c r="B435" s="213" t="s">
        <v>5796</v>
      </c>
      <c r="C435" s="210" t="s">
        <v>5797</v>
      </c>
      <c r="D435" s="211" t="s">
        <v>5797</v>
      </c>
      <c r="E435" s="211" t="s">
        <v>5797</v>
      </c>
    </row>
    <row r="436" spans="2:5" hidden="1" x14ac:dyDescent="0.25">
      <c r="B436" s="91" t="s">
        <v>844</v>
      </c>
      <c r="C436" s="91" t="s">
        <v>2532</v>
      </c>
      <c r="D436" s="91" t="s">
        <v>2532</v>
      </c>
      <c r="E436" s="91"/>
    </row>
    <row r="437" spans="2:5" hidden="1" x14ac:dyDescent="0.25">
      <c r="B437" s="91" t="s">
        <v>823</v>
      </c>
      <c r="C437" s="91" t="s">
        <v>2533</v>
      </c>
      <c r="D437" s="91" t="s">
        <v>2533</v>
      </c>
      <c r="E437" s="91"/>
    </row>
    <row r="438" spans="2:5" ht="45" hidden="1" x14ac:dyDescent="0.25">
      <c r="B438" s="213" t="s">
        <v>5798</v>
      </c>
      <c r="C438" s="210" t="s">
        <v>5799</v>
      </c>
      <c r="D438" s="211" t="s">
        <v>5799</v>
      </c>
      <c r="E438" s="211" t="s">
        <v>5799</v>
      </c>
    </row>
    <row r="439" spans="2:5" hidden="1" x14ac:dyDescent="0.25">
      <c r="B439" s="214" t="s">
        <v>5790</v>
      </c>
      <c r="C439" s="210" t="s">
        <v>5791</v>
      </c>
      <c r="D439" s="211" t="s">
        <v>5791</v>
      </c>
      <c r="E439" s="211" t="s">
        <v>5791</v>
      </c>
    </row>
    <row r="440" spans="2:5" hidden="1" x14ac:dyDescent="0.25">
      <c r="B440" s="91" t="s">
        <v>843</v>
      </c>
      <c r="C440" s="91" t="s">
        <v>2534</v>
      </c>
      <c r="D440" s="91" t="s">
        <v>2534</v>
      </c>
      <c r="E440" s="91"/>
    </row>
    <row r="441" spans="2:5" ht="30" hidden="1" x14ac:dyDescent="0.25">
      <c r="B441" s="214" t="s">
        <v>5792</v>
      </c>
      <c r="C441" s="210" t="s">
        <v>5793</v>
      </c>
      <c r="D441" s="211" t="s">
        <v>5793</v>
      </c>
      <c r="E441" s="211" t="s">
        <v>5793</v>
      </c>
    </row>
    <row r="442" spans="2:5" hidden="1" x14ac:dyDescent="0.25">
      <c r="B442" s="91" t="s">
        <v>3182</v>
      </c>
      <c r="C442" s="91" t="s">
        <v>3192</v>
      </c>
      <c r="D442" s="91" t="s">
        <v>3192</v>
      </c>
      <c r="E442" s="91"/>
    </row>
    <row r="443" spans="2:5" hidden="1" x14ac:dyDescent="0.25">
      <c r="B443" s="91" t="s">
        <v>845</v>
      </c>
      <c r="C443" s="91" t="s">
        <v>2535</v>
      </c>
      <c r="D443" s="91" t="s">
        <v>2535</v>
      </c>
      <c r="E443" s="91"/>
    </row>
    <row r="444" spans="2:5" hidden="1" x14ac:dyDescent="0.25">
      <c r="B444" s="91" t="s">
        <v>753</v>
      </c>
      <c r="C444" s="91" t="s">
        <v>2536</v>
      </c>
      <c r="D444" s="91" t="s">
        <v>2536</v>
      </c>
      <c r="E444" s="91"/>
    </row>
    <row r="445" spans="2:5" hidden="1" x14ac:dyDescent="0.25">
      <c r="B445" s="91" t="s">
        <v>846</v>
      </c>
      <c r="C445" s="91" t="s">
        <v>2537</v>
      </c>
      <c r="D445" s="91" t="s">
        <v>2537</v>
      </c>
      <c r="E445" s="91"/>
    </row>
    <row r="446" spans="2:5" hidden="1" x14ac:dyDescent="0.25">
      <c r="B446" s="91" t="s">
        <v>752</v>
      </c>
      <c r="C446" s="91" t="s">
        <v>2538</v>
      </c>
      <c r="D446" s="91" t="s">
        <v>2538</v>
      </c>
      <c r="E446" s="91"/>
    </row>
    <row r="447" spans="2:5" hidden="1" x14ac:dyDescent="0.25">
      <c r="B447" s="91" t="s">
        <v>847</v>
      </c>
      <c r="C447" s="91" t="s">
        <v>2539</v>
      </c>
      <c r="D447" s="91" t="s">
        <v>2539</v>
      </c>
      <c r="E447" s="91"/>
    </row>
    <row r="448" spans="2:5" hidden="1" x14ac:dyDescent="0.25">
      <c r="B448" s="91" t="s">
        <v>4214</v>
      </c>
      <c r="C448" s="91" t="s">
        <v>4280</v>
      </c>
      <c r="D448" s="91" t="s">
        <v>4280</v>
      </c>
      <c r="E448" s="91"/>
    </row>
    <row r="449" spans="2:5" hidden="1" x14ac:dyDescent="0.25">
      <c r="B449" s="91" t="s">
        <v>3173</v>
      </c>
      <c r="C449" s="91" t="s">
        <v>3188</v>
      </c>
      <c r="D449" s="91" t="s">
        <v>3188</v>
      </c>
      <c r="E449" s="91"/>
    </row>
    <row r="450" spans="2:5" hidden="1" x14ac:dyDescent="0.25">
      <c r="B450" s="91" t="s">
        <v>848</v>
      </c>
      <c r="C450" s="91" t="s">
        <v>2540</v>
      </c>
      <c r="D450" s="91" t="s">
        <v>2540</v>
      </c>
      <c r="E450" s="91"/>
    </row>
    <row r="451" spans="2:5" hidden="1" x14ac:dyDescent="0.25">
      <c r="B451" s="91" t="s">
        <v>849</v>
      </c>
      <c r="C451" s="91" t="s">
        <v>2541</v>
      </c>
      <c r="D451" s="91" t="s">
        <v>2541</v>
      </c>
      <c r="E451" s="91"/>
    </row>
    <row r="452" spans="2:5" hidden="1" x14ac:dyDescent="0.25">
      <c r="B452" s="91" t="s">
        <v>850</v>
      </c>
      <c r="C452" s="91" t="s">
        <v>2542</v>
      </c>
      <c r="D452" s="91" t="s">
        <v>2542</v>
      </c>
      <c r="E452" s="91"/>
    </row>
    <row r="453" spans="2:5" hidden="1" x14ac:dyDescent="0.25">
      <c r="B453" s="91" t="s">
        <v>4223</v>
      </c>
      <c r="C453" s="91" t="s">
        <v>4281</v>
      </c>
      <c r="D453" s="91" t="s">
        <v>4281</v>
      </c>
      <c r="E453" s="91"/>
    </row>
    <row r="454" spans="2:5" hidden="1" x14ac:dyDescent="0.25">
      <c r="B454" s="91" t="s">
        <v>866</v>
      </c>
      <c r="C454" s="91" t="s">
        <v>2543</v>
      </c>
      <c r="D454" s="91" t="s">
        <v>2543</v>
      </c>
      <c r="E454" s="91"/>
    </row>
    <row r="455" spans="2:5" hidden="1" x14ac:dyDescent="0.25">
      <c r="B455" s="214" t="s">
        <v>5800</v>
      </c>
      <c r="C455" s="210" t="s">
        <v>5801</v>
      </c>
      <c r="D455" s="211" t="s">
        <v>5801</v>
      </c>
      <c r="E455" s="211" t="s">
        <v>5801</v>
      </c>
    </row>
    <row r="456" spans="2:5" hidden="1" x14ac:dyDescent="0.25">
      <c r="B456" s="91" t="s">
        <v>708</v>
      </c>
      <c r="C456" s="91" t="s">
        <v>2544</v>
      </c>
      <c r="D456" s="91" t="s">
        <v>2544</v>
      </c>
      <c r="E456" s="91"/>
    </row>
    <row r="457" spans="2:5" hidden="1" x14ac:dyDescent="0.25">
      <c r="B457" s="91" t="s">
        <v>739</v>
      </c>
      <c r="C457" s="91" t="s">
        <v>2545</v>
      </c>
      <c r="D457" s="91" t="s">
        <v>2545</v>
      </c>
      <c r="E457" s="91"/>
    </row>
    <row r="458" spans="2:5" ht="45" hidden="1" x14ac:dyDescent="0.25">
      <c r="B458" s="217" t="s">
        <v>5802</v>
      </c>
      <c r="C458" s="210" t="s">
        <v>5803</v>
      </c>
      <c r="D458" s="211" t="s">
        <v>5803</v>
      </c>
      <c r="E458" s="211" t="s">
        <v>5804</v>
      </c>
    </row>
    <row r="459" spans="2:5" ht="45" hidden="1" x14ac:dyDescent="0.25">
      <c r="B459" s="214" t="s">
        <v>5805</v>
      </c>
      <c r="C459" s="210" t="s">
        <v>5806</v>
      </c>
      <c r="D459" s="211" t="s">
        <v>5806</v>
      </c>
      <c r="E459" s="211" t="s">
        <v>5806</v>
      </c>
    </row>
    <row r="460" spans="2:5" hidden="1" x14ac:dyDescent="0.25">
      <c r="B460" s="91" t="s">
        <v>783</v>
      </c>
      <c r="C460" s="91" t="s">
        <v>2546</v>
      </c>
      <c r="D460" s="91" t="s">
        <v>2546</v>
      </c>
      <c r="E460" s="91"/>
    </row>
    <row r="461" spans="2:5" hidden="1" x14ac:dyDescent="0.25">
      <c r="B461" s="91" t="s">
        <v>875</v>
      </c>
      <c r="C461" s="91" t="s">
        <v>2547</v>
      </c>
      <c r="D461" s="91" t="s">
        <v>2547</v>
      </c>
      <c r="E461" s="91"/>
    </row>
    <row r="462" spans="2:5" hidden="1" x14ac:dyDescent="0.25">
      <c r="B462" s="91" t="s">
        <v>831</v>
      </c>
      <c r="C462" s="91" t="s">
        <v>2548</v>
      </c>
      <c r="D462" s="91" t="s">
        <v>2548</v>
      </c>
      <c r="E462" s="91"/>
    </row>
    <row r="463" spans="2:5" hidden="1" x14ac:dyDescent="0.25">
      <c r="B463" s="91" t="s">
        <v>810</v>
      </c>
      <c r="C463" s="91" t="s">
        <v>2549</v>
      </c>
      <c r="D463" s="91" t="s">
        <v>2549</v>
      </c>
      <c r="E463" s="91"/>
    </row>
    <row r="464" spans="2:5" hidden="1" x14ac:dyDescent="0.25">
      <c r="B464" s="91" t="s">
        <v>811</v>
      </c>
      <c r="C464" s="91" t="s">
        <v>2550</v>
      </c>
      <c r="D464" s="91" t="s">
        <v>6516</v>
      </c>
      <c r="E464" s="91"/>
    </row>
    <row r="465" spans="2:5" hidden="1" x14ac:dyDescent="0.25">
      <c r="B465" s="91" t="s">
        <v>855</v>
      </c>
      <c r="C465" s="91" t="s">
        <v>2551</v>
      </c>
      <c r="D465" s="91" t="s">
        <v>2551</v>
      </c>
      <c r="E465" s="91"/>
    </row>
    <row r="466" spans="2:5" hidden="1" x14ac:dyDescent="0.25">
      <c r="B466" s="91" t="s">
        <v>6104</v>
      </c>
      <c r="C466" s="91" t="s">
        <v>6360</v>
      </c>
      <c r="D466" s="91" t="s">
        <v>6517</v>
      </c>
      <c r="E466" s="91"/>
    </row>
    <row r="467" spans="2:5" hidden="1" x14ac:dyDescent="0.25">
      <c r="B467" s="91" t="s">
        <v>6105</v>
      </c>
      <c r="C467" s="91" t="s">
        <v>6361</v>
      </c>
      <c r="D467" s="91" t="s">
        <v>6361</v>
      </c>
      <c r="E467" s="91"/>
    </row>
    <row r="468" spans="2:5" hidden="1" x14ac:dyDescent="0.25">
      <c r="B468" s="91" t="s">
        <v>820</v>
      </c>
      <c r="C468" s="91" t="s">
        <v>2552</v>
      </c>
      <c r="D468" s="91" t="s">
        <v>2552</v>
      </c>
      <c r="E468" s="91"/>
    </row>
    <row r="469" spans="2:5" hidden="1" x14ac:dyDescent="0.25">
      <c r="B469" s="91" t="s">
        <v>6583</v>
      </c>
      <c r="C469" s="91" t="s">
        <v>6610</v>
      </c>
      <c r="D469" s="91" t="s">
        <v>6610</v>
      </c>
      <c r="E469" s="91"/>
    </row>
    <row r="470" spans="2:5" hidden="1" x14ac:dyDescent="0.25">
      <c r="B470" s="91" t="s">
        <v>864</v>
      </c>
      <c r="C470" s="91" t="s">
        <v>2553</v>
      </c>
      <c r="D470" s="91" t="s">
        <v>2553</v>
      </c>
      <c r="E470" s="91"/>
    </row>
    <row r="471" spans="2:5" hidden="1" x14ac:dyDescent="0.25">
      <c r="B471" s="91" t="s">
        <v>3168</v>
      </c>
      <c r="C471" s="91" t="s">
        <v>3184</v>
      </c>
      <c r="D471" s="91" t="s">
        <v>3184</v>
      </c>
      <c r="E471" s="91"/>
    </row>
    <row r="472" spans="2:5" hidden="1" x14ac:dyDescent="0.25">
      <c r="B472" s="91" t="s">
        <v>6581</v>
      </c>
      <c r="C472" s="91" t="s">
        <v>6608</v>
      </c>
      <c r="D472" s="91" t="s">
        <v>6608</v>
      </c>
      <c r="E472" s="91"/>
    </row>
    <row r="473" spans="2:5" hidden="1" x14ac:dyDescent="0.25">
      <c r="B473" s="91" t="s">
        <v>814</v>
      </c>
      <c r="C473" s="91" t="s">
        <v>2554</v>
      </c>
      <c r="D473" s="91" t="s">
        <v>2554</v>
      </c>
      <c r="E473" s="91"/>
    </row>
    <row r="474" spans="2:5" hidden="1" x14ac:dyDescent="0.25">
      <c r="B474" s="91" t="s">
        <v>834</v>
      </c>
      <c r="C474" s="91" t="s">
        <v>2555</v>
      </c>
      <c r="D474" s="91" t="s">
        <v>2555</v>
      </c>
      <c r="E474" s="91"/>
    </row>
    <row r="475" spans="2:5" hidden="1" x14ac:dyDescent="0.25">
      <c r="B475" s="91" t="s">
        <v>815</v>
      </c>
      <c r="C475" s="91" t="s">
        <v>2556</v>
      </c>
      <c r="D475" s="91" t="s">
        <v>2556</v>
      </c>
      <c r="E475" s="91"/>
    </row>
    <row r="476" spans="2:5" hidden="1" x14ac:dyDescent="0.25">
      <c r="B476" s="91" t="s">
        <v>6579</v>
      </c>
      <c r="C476" s="91" t="s">
        <v>6606</v>
      </c>
      <c r="D476" s="91" t="s">
        <v>6606</v>
      </c>
      <c r="E476" s="91"/>
    </row>
    <row r="477" spans="2:5" hidden="1" x14ac:dyDescent="0.25">
      <c r="B477" s="91" t="s">
        <v>6106</v>
      </c>
      <c r="C477" s="91" t="s">
        <v>6362</v>
      </c>
      <c r="D477" s="91" t="s">
        <v>6362</v>
      </c>
      <c r="E477" s="91"/>
    </row>
    <row r="478" spans="2:5" hidden="1" x14ac:dyDescent="0.25">
      <c r="B478" s="91" t="s">
        <v>755</v>
      </c>
      <c r="C478" s="91" t="s">
        <v>2557</v>
      </c>
      <c r="D478" s="91" t="s">
        <v>2557</v>
      </c>
      <c r="E478" s="91"/>
    </row>
    <row r="479" spans="2:5" hidden="1" x14ac:dyDescent="0.25">
      <c r="B479" s="91" t="s">
        <v>785</v>
      </c>
      <c r="C479" s="91" t="s">
        <v>2558</v>
      </c>
      <c r="D479" s="91" t="s">
        <v>2558</v>
      </c>
      <c r="E479" s="91"/>
    </row>
    <row r="480" spans="2:5" hidden="1" x14ac:dyDescent="0.25">
      <c r="B480" s="91" t="s">
        <v>851</v>
      </c>
      <c r="C480" s="91" t="s">
        <v>2559</v>
      </c>
      <c r="D480" s="91" t="s">
        <v>2559</v>
      </c>
      <c r="E480" s="91"/>
    </row>
    <row r="481" spans="2:5" hidden="1" x14ac:dyDescent="0.25">
      <c r="B481" s="91" t="s">
        <v>711</v>
      </c>
      <c r="C481" s="91" t="s">
        <v>2560</v>
      </c>
      <c r="D481" s="91" t="s">
        <v>2560</v>
      </c>
      <c r="E481" s="91"/>
    </row>
    <row r="482" spans="2:5" hidden="1" x14ac:dyDescent="0.25">
      <c r="B482" s="91" t="s">
        <v>3172</v>
      </c>
      <c r="C482" s="91" t="s">
        <v>3187</v>
      </c>
      <c r="D482" s="91" t="s">
        <v>3187</v>
      </c>
      <c r="E482" s="91"/>
    </row>
    <row r="483" spans="2:5" hidden="1" x14ac:dyDescent="0.25">
      <c r="B483" s="91" t="s">
        <v>852</v>
      </c>
      <c r="C483" s="91" t="s">
        <v>2561</v>
      </c>
      <c r="D483" s="91" t="s">
        <v>2561</v>
      </c>
      <c r="E483" s="91"/>
    </row>
    <row r="484" spans="2:5" hidden="1" x14ac:dyDescent="0.25">
      <c r="B484" s="91" t="s">
        <v>818</v>
      </c>
      <c r="C484" s="91" t="s">
        <v>2563</v>
      </c>
      <c r="D484" s="91" t="s">
        <v>2563</v>
      </c>
      <c r="E484" s="91"/>
    </row>
    <row r="485" spans="2:5" hidden="1" x14ac:dyDescent="0.25">
      <c r="B485" s="91" t="s">
        <v>3176</v>
      </c>
      <c r="C485" s="91" t="s">
        <v>3189</v>
      </c>
      <c r="D485" s="91" t="s">
        <v>3189</v>
      </c>
      <c r="E485" s="91"/>
    </row>
    <row r="486" spans="2:5" hidden="1" x14ac:dyDescent="0.25">
      <c r="B486" s="91" t="s">
        <v>819</v>
      </c>
      <c r="C486" s="91" t="s">
        <v>2564</v>
      </c>
      <c r="D486" s="91" t="s">
        <v>2564</v>
      </c>
      <c r="E486" s="91"/>
    </row>
    <row r="487" spans="2:5" hidden="1" x14ac:dyDescent="0.25">
      <c r="B487" s="91" t="s">
        <v>6593</v>
      </c>
      <c r="C487" s="91" t="s">
        <v>6616</v>
      </c>
      <c r="D487" s="91" t="s">
        <v>6616</v>
      </c>
      <c r="E487" s="91"/>
    </row>
    <row r="488" spans="2:5" hidden="1" x14ac:dyDescent="0.25">
      <c r="B488" s="91" t="s">
        <v>6605</v>
      </c>
      <c r="C488" s="91" t="s">
        <v>6623</v>
      </c>
      <c r="D488" s="91" t="s">
        <v>6623</v>
      </c>
      <c r="E488" s="91"/>
    </row>
    <row r="489" spans="2:5" hidden="1" x14ac:dyDescent="0.25">
      <c r="B489" s="91" t="s">
        <v>816</v>
      </c>
      <c r="C489" s="91" t="s">
        <v>6363</v>
      </c>
      <c r="D489" s="91" t="s">
        <v>6363</v>
      </c>
      <c r="E489" s="91"/>
    </row>
    <row r="490" spans="2:5" hidden="1" x14ac:dyDescent="0.25">
      <c r="B490" s="91" t="s">
        <v>6107</v>
      </c>
      <c r="C490" s="91" t="s">
        <v>6364</v>
      </c>
      <c r="D490" s="91" t="s">
        <v>6364</v>
      </c>
      <c r="E490" s="91"/>
    </row>
    <row r="491" spans="2:5" hidden="1" x14ac:dyDescent="0.25">
      <c r="B491" s="91" t="s">
        <v>786</v>
      </c>
      <c r="C491" s="91" t="s">
        <v>2565</v>
      </c>
      <c r="D491" s="91" t="s">
        <v>2565</v>
      </c>
      <c r="E491" s="91"/>
    </row>
    <row r="492" spans="2:5" hidden="1" x14ac:dyDescent="0.25">
      <c r="B492" s="91" t="s">
        <v>4219</v>
      </c>
      <c r="C492" s="91" t="s">
        <v>4282</v>
      </c>
      <c r="D492" s="91" t="s">
        <v>4282</v>
      </c>
      <c r="E492" s="91"/>
    </row>
    <row r="493" spans="2:5" hidden="1" x14ac:dyDescent="0.25">
      <c r="B493" s="91" t="s">
        <v>817</v>
      </c>
      <c r="C493" s="91" t="s">
        <v>2566</v>
      </c>
      <c r="D493" s="91" t="s">
        <v>2566</v>
      </c>
      <c r="E493" s="91"/>
    </row>
    <row r="494" spans="2:5" hidden="1" x14ac:dyDescent="0.25">
      <c r="B494" s="91" t="s">
        <v>827</v>
      </c>
      <c r="C494" s="91" t="s">
        <v>2567</v>
      </c>
      <c r="D494" s="91" t="s">
        <v>2567</v>
      </c>
      <c r="E494" s="91"/>
    </row>
    <row r="495" spans="2:5" hidden="1" x14ac:dyDescent="0.25">
      <c r="B495" s="91" t="s">
        <v>6582</v>
      </c>
      <c r="C495" s="91" t="s">
        <v>6609</v>
      </c>
      <c r="D495" s="91" t="s">
        <v>6609</v>
      </c>
      <c r="E495" s="91"/>
    </row>
    <row r="496" spans="2:5" hidden="1" x14ac:dyDescent="0.25">
      <c r="B496" s="91" t="s">
        <v>709</v>
      </c>
      <c r="C496" s="91" t="s">
        <v>2568</v>
      </c>
      <c r="D496" s="91" t="s">
        <v>2568</v>
      </c>
      <c r="E496" s="91"/>
    </row>
    <row r="497" spans="2:5" hidden="1" x14ac:dyDescent="0.25">
      <c r="B497" s="91" t="s">
        <v>6601</v>
      </c>
      <c r="C497" s="91" t="s">
        <v>6622</v>
      </c>
      <c r="D497" s="91" t="s">
        <v>6622</v>
      </c>
      <c r="E497" s="91"/>
    </row>
    <row r="498" spans="2:5" hidden="1" x14ac:dyDescent="0.25">
      <c r="B498" s="91" t="s">
        <v>882</v>
      </c>
      <c r="C498" s="91" t="s">
        <v>2569</v>
      </c>
      <c r="D498" s="91" t="s">
        <v>2569</v>
      </c>
      <c r="E498" s="91"/>
    </row>
    <row r="499" spans="2:5" hidden="1" x14ac:dyDescent="0.25">
      <c r="B499" s="91" t="s">
        <v>821</v>
      </c>
      <c r="C499" s="91" t="s">
        <v>2570</v>
      </c>
      <c r="D499" s="91" t="s">
        <v>2570</v>
      </c>
      <c r="E499" s="91"/>
    </row>
    <row r="500" spans="2:5" hidden="1" x14ac:dyDescent="0.25">
      <c r="B500" s="91" t="s">
        <v>883</v>
      </c>
      <c r="C500" s="91" t="s">
        <v>2571</v>
      </c>
      <c r="D500" s="91" t="s">
        <v>2571</v>
      </c>
      <c r="E500" s="91"/>
    </row>
    <row r="501" spans="2:5" hidden="1" x14ac:dyDescent="0.25">
      <c r="B501" s="91" t="s">
        <v>822</v>
      </c>
      <c r="C501" s="91" t="s">
        <v>2572</v>
      </c>
      <c r="D501" s="91" t="s">
        <v>2572</v>
      </c>
      <c r="E501" s="91"/>
    </row>
    <row r="502" spans="2:5" hidden="1" x14ac:dyDescent="0.25">
      <c r="B502" s="91" t="s">
        <v>813</v>
      </c>
      <c r="C502" s="91" t="s">
        <v>2573</v>
      </c>
      <c r="D502" s="91" t="s">
        <v>6518</v>
      </c>
      <c r="E502" s="91"/>
    </row>
    <row r="503" spans="2:5" hidden="1" x14ac:dyDescent="0.25">
      <c r="B503" s="91" t="s">
        <v>3180</v>
      </c>
      <c r="C503" s="91" t="s">
        <v>3191</v>
      </c>
      <c r="D503" s="91" t="s">
        <v>3191</v>
      </c>
      <c r="E503" s="91"/>
    </row>
    <row r="504" spans="2:5" hidden="1" x14ac:dyDescent="0.25">
      <c r="B504" s="91" t="s">
        <v>4228</v>
      </c>
      <c r="C504" s="91" t="s">
        <v>4283</v>
      </c>
      <c r="D504" s="91" t="s">
        <v>4283</v>
      </c>
      <c r="E504" s="91"/>
    </row>
    <row r="505" spans="2:5" hidden="1" x14ac:dyDescent="0.25">
      <c r="B505" s="91" t="s">
        <v>6108</v>
      </c>
      <c r="C505" s="91" t="s">
        <v>6425</v>
      </c>
      <c r="D505" s="91" t="s">
        <v>6519</v>
      </c>
      <c r="E505" s="91"/>
    </row>
    <row r="506" spans="2:5" hidden="1" x14ac:dyDescent="0.25">
      <c r="B506" s="200" t="s">
        <v>884</v>
      </c>
      <c r="C506" s="210" t="s">
        <v>5807</v>
      </c>
      <c r="D506" s="211" t="s">
        <v>2574</v>
      </c>
      <c r="E506" s="211" t="s">
        <v>5807</v>
      </c>
    </row>
    <row r="507" spans="2:5" hidden="1" x14ac:dyDescent="0.25">
      <c r="B507" s="91" t="s">
        <v>6109</v>
      </c>
      <c r="C507" s="91" t="s">
        <v>6365</v>
      </c>
      <c r="D507" s="91" t="s">
        <v>6365</v>
      </c>
      <c r="E507" s="91"/>
    </row>
    <row r="508" spans="2:5" hidden="1" x14ac:dyDescent="0.25">
      <c r="B508" t="s">
        <v>4284</v>
      </c>
      <c r="C508" t="s">
        <v>4285</v>
      </c>
      <c r="D508" t="s">
        <v>4285</v>
      </c>
    </row>
    <row r="509" spans="2:5" hidden="1" x14ac:dyDescent="0.25">
      <c r="B509" t="s">
        <v>3177</v>
      </c>
      <c r="C509" t="s">
        <v>3190</v>
      </c>
      <c r="D509" t="s">
        <v>3190</v>
      </c>
    </row>
    <row r="510" spans="2:5" hidden="1" x14ac:dyDescent="0.25">
      <c r="B510" t="s">
        <v>886</v>
      </c>
      <c r="C510" t="s">
        <v>2576</v>
      </c>
      <c r="D510" t="s">
        <v>2576</v>
      </c>
    </row>
    <row r="511" spans="2:5" hidden="1" x14ac:dyDescent="0.25">
      <c r="B511" t="s">
        <v>6598</v>
      </c>
      <c r="C511" t="s">
        <v>6619</v>
      </c>
      <c r="D511" t="s">
        <v>6619</v>
      </c>
    </row>
    <row r="512" spans="2:5" hidden="1" x14ac:dyDescent="0.25">
      <c r="B512" t="s">
        <v>891</v>
      </c>
      <c r="C512" t="s">
        <v>2577</v>
      </c>
      <c r="D512" t="s">
        <v>2577</v>
      </c>
    </row>
    <row r="513" spans="2:5" hidden="1" x14ac:dyDescent="0.25">
      <c r="B513" t="s">
        <v>824</v>
      </c>
      <c r="C513" t="s">
        <v>2578</v>
      </c>
      <c r="D513" t="s">
        <v>6520</v>
      </c>
    </row>
    <row r="514" spans="2:5" hidden="1" x14ac:dyDescent="0.25">
      <c r="B514" t="s">
        <v>885</v>
      </c>
      <c r="C514" t="s">
        <v>2579</v>
      </c>
      <c r="D514" t="s">
        <v>6521</v>
      </c>
    </row>
    <row r="515" spans="2:5" hidden="1" x14ac:dyDescent="0.25">
      <c r="B515" t="s">
        <v>854</v>
      </c>
      <c r="C515" t="s">
        <v>2580</v>
      </c>
      <c r="D515" t="s">
        <v>6522</v>
      </c>
    </row>
    <row r="516" spans="2:5" ht="30" hidden="1" x14ac:dyDescent="0.25">
      <c r="B516" s="311" t="s">
        <v>5808</v>
      </c>
      <c r="C516" s="314" t="s">
        <v>5809</v>
      </c>
      <c r="D516" s="313" t="s">
        <v>5810</v>
      </c>
      <c r="E516" s="313" t="s">
        <v>5811</v>
      </c>
    </row>
    <row r="517" spans="2:5" hidden="1" x14ac:dyDescent="0.25">
      <c r="B517" s="313" t="s">
        <v>5824</v>
      </c>
      <c r="C517" s="314" t="s">
        <v>2581</v>
      </c>
      <c r="D517" s="313" t="s">
        <v>5825</v>
      </c>
      <c r="E517" s="313" t="s">
        <v>5826</v>
      </c>
    </row>
    <row r="518" spans="2:5" ht="30" hidden="1" x14ac:dyDescent="0.25">
      <c r="B518" s="313" t="s">
        <v>5827</v>
      </c>
      <c r="C518" s="314" t="s">
        <v>5828</v>
      </c>
      <c r="D518" s="313" t="s">
        <v>5829</v>
      </c>
      <c r="E518" s="313" t="s">
        <v>5830</v>
      </c>
    </row>
    <row r="519" spans="2:5" ht="30" hidden="1" x14ac:dyDescent="0.25">
      <c r="B519" s="311" t="s">
        <v>5816</v>
      </c>
      <c r="C519" s="314" t="s">
        <v>5817</v>
      </c>
      <c r="D519" s="313" t="s">
        <v>5818</v>
      </c>
      <c r="E519" s="313" t="s">
        <v>5819</v>
      </c>
    </row>
    <row r="520" spans="2:5" ht="30" hidden="1" x14ac:dyDescent="0.25">
      <c r="B520" s="312" t="s">
        <v>5812</v>
      </c>
      <c r="C520" s="314" t="s">
        <v>5813</v>
      </c>
      <c r="D520" s="313" t="s">
        <v>5814</v>
      </c>
      <c r="E520" s="313" t="s">
        <v>5815</v>
      </c>
    </row>
    <row r="521" spans="2:5" hidden="1" x14ac:dyDescent="0.25">
      <c r="B521" s="310" t="s">
        <v>5831</v>
      </c>
      <c r="C521" s="314" t="s">
        <v>5832</v>
      </c>
      <c r="D521" s="313" t="s">
        <v>5833</v>
      </c>
      <c r="E521" s="313" t="s">
        <v>5834</v>
      </c>
    </row>
    <row r="522" spans="2:5" ht="30" hidden="1" x14ac:dyDescent="0.25">
      <c r="B522" s="311" t="s">
        <v>5820</v>
      </c>
      <c r="C522" s="314" t="s">
        <v>5821</v>
      </c>
      <c r="D522" s="313" t="s">
        <v>5822</v>
      </c>
      <c r="E522" s="313" t="s">
        <v>5823</v>
      </c>
    </row>
    <row r="523" spans="2:5" hidden="1" x14ac:dyDescent="0.25">
      <c r="B523" t="s">
        <v>6110</v>
      </c>
      <c r="C523" t="s">
        <v>6366</v>
      </c>
      <c r="D523" t="s">
        <v>6430</v>
      </c>
    </row>
    <row r="524" spans="2:5" hidden="1" x14ac:dyDescent="0.25">
      <c r="B524" s="310" t="s">
        <v>5839</v>
      </c>
      <c r="C524" s="314" t="s">
        <v>5840</v>
      </c>
      <c r="D524" s="313" t="s">
        <v>5841</v>
      </c>
      <c r="E524" s="313" t="s">
        <v>5842</v>
      </c>
    </row>
    <row r="525" spans="2:5" hidden="1" x14ac:dyDescent="0.25">
      <c r="B525" s="312" t="s">
        <v>5835</v>
      </c>
      <c r="C525" s="314" t="s">
        <v>5836</v>
      </c>
      <c r="D525" s="313" t="s">
        <v>5837</v>
      </c>
      <c r="E525" s="313" t="s">
        <v>5838</v>
      </c>
    </row>
    <row r="526" spans="2:5" hidden="1" x14ac:dyDescent="0.25">
      <c r="B526" t="s">
        <v>6577</v>
      </c>
      <c r="C526" t="s">
        <v>6629</v>
      </c>
      <c r="D526" t="s">
        <v>6637</v>
      </c>
    </row>
    <row r="527" spans="2:5" hidden="1" x14ac:dyDescent="0.25">
      <c r="B527" t="s">
        <v>4232</v>
      </c>
      <c r="C527" t="s">
        <v>4288</v>
      </c>
      <c r="D527" t="s">
        <v>6431</v>
      </c>
    </row>
    <row r="528" spans="2:5" hidden="1" x14ac:dyDescent="0.25">
      <c r="B528" t="s">
        <v>6111</v>
      </c>
      <c r="C528" t="s">
        <v>6426</v>
      </c>
      <c r="D528" t="s">
        <v>6432</v>
      </c>
    </row>
    <row r="529" spans="2:5" ht="30" hidden="1" x14ac:dyDescent="0.25">
      <c r="B529" s="298" t="s">
        <v>5955</v>
      </c>
      <c r="C529" s="314" t="s">
        <v>5847</v>
      </c>
      <c r="D529" s="313" t="s">
        <v>5848</v>
      </c>
      <c r="E529" s="313" t="s">
        <v>5960</v>
      </c>
    </row>
    <row r="530" spans="2:5" hidden="1" x14ac:dyDescent="0.25">
      <c r="B530" t="s">
        <v>6112</v>
      </c>
      <c r="C530" t="s">
        <v>6427</v>
      </c>
      <c r="D530" t="s">
        <v>6433</v>
      </c>
    </row>
    <row r="531" spans="2:5" ht="30" hidden="1" x14ac:dyDescent="0.25">
      <c r="B531" s="55" t="s">
        <v>5956</v>
      </c>
      <c r="C531" s="314" t="s">
        <v>5850</v>
      </c>
      <c r="D531" s="313" t="s">
        <v>5851</v>
      </c>
      <c r="E531" s="313" t="s">
        <v>5961</v>
      </c>
    </row>
    <row r="532" spans="2:5" hidden="1" x14ac:dyDescent="0.25">
      <c r="B532" t="s">
        <v>6113</v>
      </c>
      <c r="C532" t="s">
        <v>6428</v>
      </c>
      <c r="D532" t="s">
        <v>6434</v>
      </c>
    </row>
    <row r="533" spans="2:5" hidden="1" x14ac:dyDescent="0.25">
      <c r="B533" s="298" t="s">
        <v>5958</v>
      </c>
      <c r="C533" s="314" t="s">
        <v>5844</v>
      </c>
      <c r="D533" s="313" t="s">
        <v>5845</v>
      </c>
      <c r="E533" s="313" t="s">
        <v>5959</v>
      </c>
    </row>
    <row r="534" spans="2:5" ht="30" hidden="1" x14ac:dyDescent="0.25">
      <c r="B534" s="298" t="s">
        <v>5957</v>
      </c>
      <c r="C534" s="314" t="s">
        <v>5853</v>
      </c>
      <c r="D534" s="313" t="s">
        <v>5854</v>
      </c>
      <c r="E534" s="313" t="s">
        <v>5962</v>
      </c>
    </row>
    <row r="535" spans="2:5" hidden="1" x14ac:dyDescent="0.25">
      <c r="B535" t="s">
        <v>6114</v>
      </c>
      <c r="C535" t="s">
        <v>6429</v>
      </c>
      <c r="D535" t="s">
        <v>6435</v>
      </c>
    </row>
    <row r="536" spans="2:5" hidden="1" x14ac:dyDescent="0.25">
      <c r="B536" t="s">
        <v>6115</v>
      </c>
      <c r="C536" t="s">
        <v>6367</v>
      </c>
      <c r="D536" t="s">
        <v>6367</v>
      </c>
    </row>
  </sheetData>
  <sheetProtection algorithmName="SHA-512" hashValue="PK4e80dG8S0l91K0MN7sH/FY/aAhWqsYSDLk4drp/B4Lvi6mw2FpJ2/dcQDgJEilCLFvHJW9b7H6ssOfEgoORQ==" saltValue="f7UeczPUI2VR+vyA9vnSQQ==" spinCount="100000" sheet="1" objects="1" scenarios="1"/>
  <protectedRanges>
    <protectedRange sqref="D8:F9" name="Range8"/>
    <protectedRange sqref="D105:F105 D119:F120 D122:F124 D133:F133 D139:F139 D142:F143 D146:F146 D107:F113 D116:F116 D117:E117 D114:E115 D126:F130" name="Contract Information"/>
    <protectedRange sqref="D79:F79 D81:F81 D80:E80" name="Previous Employment"/>
    <protectedRange sqref="F80 F86:F87 F98 F117 F114:F115 F90:F91 F100:F101 D41:F55" name="Citizen Passport"/>
    <protectedRange sqref="D10:F18" name="HR Information"/>
    <protectedRange sqref="D22 D24:D25 D26:F37" name="Employee Information"/>
    <protectedRange sqref="D61:F75" name="Contact Information"/>
    <protectedRange sqref="D86:E87 D94 D97:F97 D99:F99 D98:E98 D90:E91 D100:E101" name="Trainee and CDD Info"/>
  </protectedRanges>
  <sortState xmlns:xlrd2="http://schemas.microsoft.com/office/spreadsheetml/2017/richdata2" ref="B212:E536">
    <sortCondition ref="B211"/>
  </sortState>
  <mergeCells count="95">
    <mergeCell ref="A1:F5"/>
    <mergeCell ref="D130:F130"/>
    <mergeCell ref="D131:F131"/>
    <mergeCell ref="D132:F132"/>
    <mergeCell ref="D139:F139"/>
    <mergeCell ref="A89:B89"/>
    <mergeCell ref="A93:B93"/>
    <mergeCell ref="D94:F94"/>
    <mergeCell ref="D113:F113"/>
    <mergeCell ref="D120:F120"/>
    <mergeCell ref="D109:F109"/>
    <mergeCell ref="D111:F111"/>
    <mergeCell ref="D110:F110"/>
    <mergeCell ref="D106:F106"/>
    <mergeCell ref="D107:F107"/>
    <mergeCell ref="D108:F108"/>
    <mergeCell ref="D122:F122"/>
    <mergeCell ref="D121:F121"/>
    <mergeCell ref="D123:F123"/>
    <mergeCell ref="D124:F124"/>
    <mergeCell ref="D125:F125"/>
    <mergeCell ref="D97:F97"/>
    <mergeCell ref="A40:C40"/>
    <mergeCell ref="A48:C48"/>
    <mergeCell ref="D42:F42"/>
    <mergeCell ref="D43:F43"/>
    <mergeCell ref="D46:F46"/>
    <mergeCell ref="D41:F41"/>
    <mergeCell ref="D69:F69"/>
    <mergeCell ref="A85:B85"/>
    <mergeCell ref="D10:F10"/>
    <mergeCell ref="D11:F11"/>
    <mergeCell ref="D13:F13"/>
    <mergeCell ref="D14:F14"/>
    <mergeCell ref="D15:F15"/>
    <mergeCell ref="D22:F22"/>
    <mergeCell ref="D23:F23"/>
    <mergeCell ref="D24:F24"/>
    <mergeCell ref="D25:F25"/>
    <mergeCell ref="D32:F32"/>
    <mergeCell ref="D34:F34"/>
    <mergeCell ref="D37:F37"/>
    <mergeCell ref="D26:F26"/>
    <mergeCell ref="D68:F68"/>
    <mergeCell ref="D96:F96"/>
    <mergeCell ref="D73:F73"/>
    <mergeCell ref="D74:F74"/>
    <mergeCell ref="D75:F75"/>
    <mergeCell ref="D79:F79"/>
    <mergeCell ref="D95:F95"/>
    <mergeCell ref="D70:F70"/>
    <mergeCell ref="D8:F8"/>
    <mergeCell ref="D116:F116"/>
    <mergeCell ref="D119:F119"/>
    <mergeCell ref="D12:F12"/>
    <mergeCell ref="D66:F66"/>
    <mergeCell ref="D63:F63"/>
    <mergeCell ref="D65:F65"/>
    <mergeCell ref="D62:F62"/>
    <mergeCell ref="D64:F64"/>
    <mergeCell ref="D49:F49"/>
    <mergeCell ref="D50:F50"/>
    <mergeCell ref="D61:F61"/>
    <mergeCell ref="D47:F47"/>
    <mergeCell ref="D27:F27"/>
    <mergeCell ref="D99:F99"/>
    <mergeCell ref="D30:F30"/>
    <mergeCell ref="D9:F9"/>
    <mergeCell ref="D16:F16"/>
    <mergeCell ref="D127:F127"/>
    <mergeCell ref="D129:E129"/>
    <mergeCell ref="E128:F128"/>
    <mergeCell ref="D31:F31"/>
    <mergeCell ref="D35:F35"/>
    <mergeCell ref="D28:F28"/>
    <mergeCell ref="D29:F29"/>
    <mergeCell ref="D36:F36"/>
    <mergeCell ref="D81:F81"/>
    <mergeCell ref="D67:F67"/>
    <mergeCell ref="D51:F51"/>
    <mergeCell ref="D54:F54"/>
    <mergeCell ref="D55:F55"/>
    <mergeCell ref="D112:F112"/>
    <mergeCell ref="D148:F148"/>
    <mergeCell ref="D136:F136"/>
    <mergeCell ref="D137:F137"/>
    <mergeCell ref="D138:F138"/>
    <mergeCell ref="D133:F133"/>
    <mergeCell ref="D147:F147"/>
    <mergeCell ref="D142:F142"/>
    <mergeCell ref="D143:F143"/>
    <mergeCell ref="D146:F146"/>
    <mergeCell ref="D144:F144"/>
    <mergeCell ref="D145:F145"/>
    <mergeCell ref="D141:F141"/>
  </mergeCells>
  <dataValidations count="45">
    <dataValidation type="list" allowBlank="1" showInputMessage="1" showErrorMessage="1" sqref="D13" xr:uid="{00000000-0002-0000-0100-000000000000}">
      <formula1>appsource</formula1>
    </dataValidation>
    <dataValidation type="list" allowBlank="1" showInputMessage="1" showErrorMessage="1" sqref="D14" xr:uid="{00000000-0002-0000-0100-000001000000}">
      <formula1>RFRec</formula1>
    </dataValidation>
    <dataValidation type="list" allowBlank="1" showInputMessage="1" showErrorMessage="1" sqref="D17:D18 D33 D114:D115 D52:D53 D80 D86:D87 D90:D91 D98 D117 D100:D101 D44:D45" xr:uid="{00000000-0002-0000-0100-000002000000}">
      <formula1>date</formula1>
    </dataValidation>
    <dataValidation type="list" allowBlank="1" showInputMessage="1" showErrorMessage="1" sqref="E17:E18 E33 E114:E115 E52:E53 E80 E86:E87 E90:E91 E98 E117 E100:E101 E44:E45" xr:uid="{00000000-0002-0000-0100-000003000000}">
      <formula1>mois</formula1>
    </dataValidation>
    <dataValidation type="list" allowBlank="1" showInputMessage="1" showErrorMessage="1" sqref="G17:G18 G80 G98 G86:G87 G114:G116 G100:G101" xr:uid="{00000000-0002-0000-0100-000004000000}">
      <formula1>year</formula1>
    </dataValidation>
    <dataValidation type="list" allowBlank="1" showInputMessage="1" showErrorMessage="1" sqref="D15 D79 D143 D146" xr:uid="{00000000-0002-0000-0100-000005000000}">
      <formula1>yesorno</formula1>
    </dataValidation>
    <dataValidation type="list" allowBlank="1" showInputMessage="1" showErrorMessage="1" sqref="D22" xr:uid="{00000000-0002-0000-0100-000006000000}">
      <formula1>title</formula1>
    </dataValidation>
    <dataValidation type="list" allowBlank="1" showInputMessage="1" showErrorMessage="1" sqref="D28" xr:uid="{00000000-0002-0000-0100-000007000000}">
      <formula1>marital</formula1>
    </dataValidation>
    <dataValidation type="list" allowBlank="1" showInputMessage="1" showErrorMessage="1" sqref="F33:G33" xr:uid="{00000000-0002-0000-0100-000008000000}">
      <formula1>ans</formula1>
    </dataValidation>
    <dataValidation type="list" allowBlank="1" showInputMessage="1" showErrorMessage="1" sqref="G65 D34:G34 D42:G42 D66:F66" xr:uid="{00000000-0002-0000-0100-000009000000}">
      <formula1>BLocation</formula1>
    </dataValidation>
    <dataValidation type="list" allowBlank="1" showInputMessage="1" showErrorMessage="1" sqref="F90:F91 G52:G53 F80 F86:F87 F98 G44:G45 F100:F101" xr:uid="{00000000-0002-0000-0100-00000A000000}">
      <formula1>anyear</formula1>
    </dataValidation>
    <dataValidation type="list" allowBlank="1" showInputMessage="1" showErrorMessage="1" sqref="D41:G41" xr:uid="{00000000-0002-0000-0100-00000B000000}">
      <formula1>citizenship</formula1>
    </dataValidation>
    <dataValidation type="list" allowBlank="1" showInputMessage="1" showErrorMessage="1" sqref="G107" xr:uid="{00000000-0002-0000-0100-00000C000000}">
      <formula1>BusinessUnit</formula1>
    </dataValidation>
    <dataValidation type="list" allowBlank="1" showInputMessage="1" showErrorMessage="1" errorTitle="Erreur" error="Merci de renseigner le lieu d'exécution du contrat." sqref="D110:F110" xr:uid="{00000000-0002-0000-0100-00000D000000}">
      <formula1>location</formula1>
    </dataValidation>
    <dataValidation type="list" allowBlank="1" showInputMessage="1" showErrorMessage="1" sqref="D111" xr:uid="{00000000-0002-0000-0100-00000E000000}">
      <formula1>rehiretype</formula1>
    </dataValidation>
    <dataValidation type="list" allowBlank="1" showInputMessage="1" showErrorMessage="1" sqref="G118" xr:uid="{00000000-0002-0000-0100-00000F000000}">
      <formula1>jobtitle</formula1>
    </dataValidation>
    <dataValidation type="list" allowBlank="1" showInputMessage="1" showErrorMessage="1" sqref="D126" xr:uid="{00000000-0002-0000-0100-000010000000}">
      <formula1>Steps</formula1>
    </dataValidation>
    <dataValidation type="list" allowBlank="1" showInputMessage="1" showErrorMessage="1" sqref="D124:F124" xr:uid="{00000000-0002-0000-0100-000011000000}">
      <formula1>function</formula1>
    </dataValidation>
    <dataValidation type="list" allowBlank="1" showInputMessage="1" showErrorMessage="1" sqref="G112:G113" xr:uid="{00000000-0002-0000-0100-000012000000}">
      <formula1>typeofcontract</formula1>
    </dataValidation>
    <dataValidation type="list" allowBlank="1" showInputMessage="1" showErrorMessage="1" sqref="D69" xr:uid="{00000000-0002-0000-0100-000013000000}">
      <formula1>preferredno</formula1>
    </dataValidation>
    <dataValidation type="list" allowBlank="1" showInputMessage="1" showErrorMessage="1" sqref="G35:G37 D36:F36" xr:uid="{00000000-0002-0000-0100-000014000000}">
      <formula1>educinfo</formula1>
    </dataValidation>
    <dataValidation type="list" allowBlank="1" showInputMessage="1" showErrorMessage="1" sqref="G49" xr:uid="{00000000-0002-0000-0100-000015000000}">
      <formula1>visatype</formula1>
    </dataValidation>
    <dataValidation type="list" allowBlank="1" showInputMessage="1" showErrorMessage="1" sqref="D50:G50" xr:uid="{00000000-0002-0000-0100-000016000000}">
      <formula1>visastatus</formula1>
    </dataValidation>
    <dataValidation type="list" allowBlank="1" showInputMessage="1" showErrorMessage="1" sqref="G74" xr:uid="{00000000-0002-0000-0100-000017000000}">
      <formula1>linkemer</formula1>
    </dataValidation>
    <dataValidation type="textLength" operator="lessThan" allowBlank="1" showInputMessage="1" showErrorMessage="1" error="Vous avez dépassé le nombre de caractères maximum pour ce champs." sqref="D61:F63" xr:uid="{00000000-0002-0000-0100-000018000000}">
      <formula1>32</formula1>
    </dataValidation>
    <dataValidation type="list" allowBlank="1" showInputMessage="1" showErrorMessage="1" sqref="D123:F123" xr:uid="{00000000-0002-0000-0100-00001A000000}">
      <formula1>salarygrade</formula1>
    </dataValidation>
    <dataValidation type="list" allowBlank="1" showInputMessage="1" showErrorMessage="1" sqref="D74:F74" xr:uid="{00000000-0002-0000-0100-00001C000000}">
      <formula1>$P$119:$P$153</formula1>
    </dataValidation>
    <dataValidation type="list" allowBlank="1" showInputMessage="1" showErrorMessage="1" sqref="G138 D139" xr:uid="{00000000-0002-0000-0100-00001D000000}">
      <formula1>Incentive</formula1>
    </dataValidation>
    <dataValidation type="list" allowBlank="1" showInputMessage="1" showErrorMessage="1" sqref="F17:F18 F117 F114:F115" xr:uid="{00000000-0002-0000-0100-00001E000000}">
      <formula1>Updatedyear</formula1>
    </dataValidation>
    <dataValidation type="list" allowBlank="1" showInputMessage="1" showErrorMessage="1" sqref="D120:F120" xr:uid="{00000000-0002-0000-0100-00001F000000}">
      <formula1>UpdatedJC</formula1>
    </dataValidation>
    <dataValidation type="list" allowBlank="1" showInputMessage="1" showErrorMessage="1" sqref="E128:F128" xr:uid="{00000000-0002-0000-0100-000022000000}">
      <formula1>IF($G$6=TRUE,SalaryAdminv6,SalaryAdminv5)</formula1>
    </dataValidation>
    <dataValidation type="list" allowBlank="1" showInputMessage="1" showErrorMessage="1" sqref="F52:F53 F44:F45" xr:uid="{00000000-0002-0000-0100-000024000000}">
      <formula1>visayear</formula1>
    </dataValidation>
    <dataValidation type="custom" allowBlank="1" showInputMessage="1" showErrorMessage="1" errorTitle="Erreur" error="Merci de saisir le code postal (caractères numériques)." sqref="D65:F65" xr:uid="{702FC968-52F0-44AE-9224-2C6BFC1C33EB}">
      <formula1>ISNUMBER($D$65)</formula1>
    </dataValidation>
    <dataValidation type="custom" allowBlank="1" showInputMessage="1" showErrorMessage="1" errorTitle="Erreur" error="Merci de saisir la ville (caractère alphabétiques)." sqref="D64:F64" xr:uid="{D3E78B2A-172F-4A58-93F1-2DF45D7C559C}">
      <formula1>ISTEXT($D$64)</formula1>
    </dataValidation>
    <dataValidation type="custom" allowBlank="1" showInputMessage="1" showErrorMessage="1" errorTitle="Erreur " error="Merci de saisir le contact d'urgence ( caractère alphabétiques)." sqref="D73:F73" xr:uid="{0C9E3E79-C867-4084-B111-482C6208A624}">
      <formula1>ISTEXT($D$73)</formula1>
    </dataValidation>
    <dataValidation type="custom" allowBlank="1" showInputMessage="1" showErrorMessage="1" sqref="D94:F94" xr:uid="{E90052E2-E62F-45C6-80B3-4EBFA1F889F6}">
      <formula1>ISNUMBER(D94)</formula1>
    </dataValidation>
    <dataValidation type="custom" allowBlank="1" showInputMessage="1" showErrorMessage="1" sqref="D130:F130" xr:uid="{7FEA7B97-2180-450B-9B47-0876A47C6689}">
      <formula1>ISNUMBER($D$130)</formula1>
    </dataValidation>
    <dataValidation type="list" allowBlank="1" showInputMessage="1" showErrorMessage="1" sqref="D37:F37" xr:uid="{A9C5EF0A-81B7-49DD-A5FB-A9971FA91A0E}">
      <formula1>NAtionality</formula1>
    </dataValidation>
    <dataValidation type="list" allowBlank="1" showInputMessage="1" showErrorMessage="1" sqref="E128" xr:uid="{8DB63D4E-DD71-4777-8CD4-336F86BEF9CB}">
      <formula1>$A$174:$A$181</formula1>
    </dataValidation>
    <dataValidation type="list" allowBlank="1" showInputMessage="1" showErrorMessage="1" sqref="D129:E129" xr:uid="{054A944D-E79F-4EB1-A7ED-EA62ED221514}">
      <formula1>MultiChoix</formula1>
    </dataValidation>
    <dataValidation type="custom" allowBlank="1" showInputMessage="1" showErrorMessage="1" sqref="D97:F97" xr:uid="{CF35BC8F-583B-4148-A347-ACE27C7AD960}">
      <formula1>ISNUMBER($D$97)</formula1>
    </dataValidation>
    <dataValidation type="custom" allowBlank="1" showInputMessage="1" showErrorMessage="1" sqref="D133:F133" xr:uid="{9FEBB9A0-34DE-4AA4-81D5-9C879C7E0D33}">
      <formula1>ISNUMBER($D$133)</formula1>
    </dataValidation>
    <dataValidation type="list" allowBlank="1" showInputMessage="1" showErrorMessage="1" sqref="D127:F127" xr:uid="{80CDE426-6F41-48AC-A046-90249074A8A1}">
      <formula1>IF($G$6=TRUE,levelv2,levelv1)</formula1>
    </dataValidation>
    <dataValidation type="list" allowBlank="1" showInputMessage="1" showErrorMessage="1" sqref="D119:F119" xr:uid="{80C70486-F930-482F-A90B-C3504FB2FF8A}">
      <formula1>$B$210:$B$536</formula1>
    </dataValidation>
    <dataValidation type="list" allowBlank="1" showInputMessage="1" showErrorMessage="1" errorTitle="Erreur" error="Merci de renseigner l'unité d'affaires." sqref="D107:F107" xr:uid="{8AA69332-E3E9-4D1C-854C-88EDB6F388A1}">
      <formula1>BusinessUnit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SavetoCDFData_Click">
                <anchor moveWithCells="1" sizeWithCells="1">
                  <from>
                    <xdr:col>4</xdr:col>
                    <xdr:colOff>276225</xdr:colOff>
                    <xdr:row>0</xdr:row>
                    <xdr:rowOff>66675</xdr:rowOff>
                  </from>
                  <to>
                    <xdr:col>5</xdr:col>
                    <xdr:colOff>1533525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Check Box 12">
              <controlPr locked="0" defaultSize="0" autoFill="0" autoLine="0" autoPict="0" macro="[0]!CheckBox12_Click">
                <anchor moveWithCells="1">
                  <from>
                    <xdr:col>2</xdr:col>
                    <xdr:colOff>4248150</xdr:colOff>
                    <xdr:row>0</xdr:row>
                    <xdr:rowOff>66675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26000000}">
          <x14:formula1>
            <xm:f>LOV!$C$1249:$C$1251</xm:f>
          </x14:formula1>
          <xm:sqref>D8:F8</xm:sqref>
        </x14:dataValidation>
        <x14:dataValidation type="list" allowBlank="1" showInputMessage="1" showErrorMessage="1" xr:uid="{00000000-0002-0000-0100-000027000000}">
          <x14:formula1>
            <xm:f>LOV!$C$1258:$C$1262</xm:f>
          </x14:formula1>
          <xm:sqref>E105</xm:sqref>
        </x14:dataValidation>
        <x14:dataValidation type="list" allowBlank="1" showInputMessage="1" showErrorMessage="1" xr:uid="{00000000-0002-0000-0100-000029000000}">
          <x14:formula1>
            <xm:f>LOV!$B$194:$B$200</xm:f>
          </x14:formula1>
          <xm:sqref>D49:F49</xm:sqref>
        </x14:dataValidation>
        <x14:dataValidation type="list" allowBlank="1" showInputMessage="1" showErrorMessage="1" xr:uid="{00000000-0002-0000-0100-00002C000000}">
          <x14:formula1>
            <xm:f>LOV!$D$243:$D$245</xm:f>
          </x14:formula1>
          <xm:sqref>D113:F113</xm:sqref>
        </x14:dataValidation>
        <x14:dataValidation type="list" allowBlank="1" showInputMessage="1" showErrorMessage="1" xr:uid="{AD3060BC-CE5E-48BF-A931-97BE8EDBC5FD}">
          <x14:formula1>
            <xm:f>LOV!$D$236:$D$240</xm:f>
          </x14:formula1>
          <xm:sqref>D141:F141</xm:sqref>
        </x14:dataValidation>
        <x14:dataValidation type="list" allowBlank="1" showInputMessage="1" showErrorMessage="1" xr:uid="{00000000-0002-0000-0100-00002B000000}">
          <x14:formula1>
            <xm:f>LOV!B143:B150</xm:f>
          </x14:formula1>
          <xm:sqref>D112:F112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AB1"/>
  <sheetViews>
    <sheetView workbookViewId="0">
      <selection activeCell="F12" sqref="F12"/>
    </sheetView>
  </sheetViews>
  <sheetFormatPr baseColWidth="10" defaultColWidth="9.140625" defaultRowHeight="15" x14ac:dyDescent="0.25"/>
  <cols>
    <col min="1" max="1" width="13" style="302" bestFit="1" customWidth="1"/>
    <col min="2" max="2" width="12.28515625" style="302" bestFit="1" customWidth="1"/>
    <col min="3" max="3" width="9.42578125" style="302" bestFit="1" customWidth="1"/>
    <col min="4" max="4" width="15.5703125" style="302" bestFit="1" customWidth="1"/>
    <col min="5" max="5" width="7.7109375" style="302" bestFit="1" customWidth="1"/>
    <col min="6" max="6" width="12.5703125" style="302" bestFit="1" customWidth="1"/>
    <col min="7" max="7" width="18.7109375" style="302" bestFit="1" customWidth="1"/>
    <col min="8" max="8" width="17.5703125" style="302" bestFit="1" customWidth="1"/>
    <col min="9" max="9" width="5" style="302" bestFit="1" customWidth="1"/>
    <col min="10" max="10" width="13.5703125" style="302" bestFit="1" customWidth="1"/>
    <col min="11" max="11" width="12.7109375" style="302" bestFit="1" customWidth="1"/>
    <col min="12" max="12" width="16.85546875" style="302" bestFit="1" customWidth="1"/>
    <col min="13" max="14" width="5.42578125" style="302" bestFit="1" customWidth="1"/>
    <col min="15" max="15" width="13.42578125" style="302" bestFit="1" customWidth="1"/>
    <col min="16" max="16" width="10.140625" style="302" bestFit="1" customWidth="1"/>
    <col min="17" max="17" width="4.5703125" style="302" bestFit="1" customWidth="1"/>
    <col min="18" max="18" width="10" style="302" bestFit="1" customWidth="1"/>
    <col min="19" max="19" width="22.42578125" style="302" bestFit="1" customWidth="1"/>
    <col min="20" max="20" width="4" style="302" bestFit="1" customWidth="1"/>
    <col min="21" max="21" width="7.5703125" style="302" bestFit="1" customWidth="1"/>
    <col min="22" max="22" width="12.42578125" style="302" bestFit="1" customWidth="1"/>
    <col min="23" max="23" width="24.140625" style="302" bestFit="1" customWidth="1"/>
    <col min="24" max="24" width="23.85546875" style="302" bestFit="1" customWidth="1"/>
    <col min="25" max="25" width="15.140625" style="302" bestFit="1" customWidth="1"/>
    <col min="26" max="26" width="17" style="302" bestFit="1" customWidth="1"/>
    <col min="27" max="27" width="9.5703125" style="302" bestFit="1" customWidth="1"/>
    <col min="28" max="28" width="14.140625" style="302" bestFit="1" customWidth="1"/>
    <col min="29" max="16384" width="9.140625" style="302"/>
  </cols>
  <sheetData>
    <row r="1" spans="1:28" customFormat="1" x14ac:dyDescent="0.25">
      <c r="A1" s="284" t="s">
        <v>2602</v>
      </c>
      <c r="B1" s="284" t="s">
        <v>2592</v>
      </c>
      <c r="C1" s="284" t="s">
        <v>2308</v>
      </c>
      <c r="D1" s="284" t="s">
        <v>6066</v>
      </c>
      <c r="E1" s="284" t="s">
        <v>2601</v>
      </c>
      <c r="F1" s="284" t="s">
        <v>2593</v>
      </c>
      <c r="G1" s="284" t="s">
        <v>2595</v>
      </c>
      <c r="H1" s="284" t="s">
        <v>2594</v>
      </c>
      <c r="I1" s="284" t="s">
        <v>2597</v>
      </c>
      <c r="J1" s="284" t="s">
        <v>2598</v>
      </c>
      <c r="K1" s="284" t="s">
        <v>2599</v>
      </c>
      <c r="L1" s="284" t="s">
        <v>2583</v>
      </c>
      <c r="M1" s="284" t="s">
        <v>2584</v>
      </c>
      <c r="N1" s="284" t="s">
        <v>2585</v>
      </c>
      <c r="O1" s="284" t="s">
        <v>2284</v>
      </c>
      <c r="P1" s="284" t="s">
        <v>2586</v>
      </c>
      <c r="Q1" s="284" t="s">
        <v>2725</v>
      </c>
      <c r="R1" s="284" t="s">
        <v>2589</v>
      </c>
      <c r="S1" s="284" t="s">
        <v>2590</v>
      </c>
      <c r="T1" s="284" t="s">
        <v>117</v>
      </c>
      <c r="U1" s="284" t="s">
        <v>2591</v>
      </c>
      <c r="V1" s="284" t="s">
        <v>6062</v>
      </c>
      <c r="W1" s="284" t="s">
        <v>6063</v>
      </c>
      <c r="X1" s="284" t="s">
        <v>2603</v>
      </c>
      <c r="Y1" s="284" t="s">
        <v>2600</v>
      </c>
      <c r="Z1" s="284" t="s">
        <v>6064</v>
      </c>
      <c r="AA1" s="285" t="s">
        <v>6070</v>
      </c>
      <c r="AB1" s="285" t="s">
        <v>6050</v>
      </c>
    </row>
  </sheetData>
  <sheetProtection algorithmName="SHA-512" hashValue="NG0F73fluX+ZU2qK6sLmNOypjYlYv1A64QpnIr+UWPYgWoLvuHFaR3Fb1dJGA8ZCwNK6ojmygvbzjCinOCN4Mw==" saltValue="tMaImwcBOwJI1XbdAnSEtQ==" spinCount="10000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Z567"/>
  <sheetViews>
    <sheetView showGridLines="0" zoomScale="85" zoomScaleNormal="85" workbookViewId="0">
      <selection activeCell="C23" sqref="C23"/>
    </sheetView>
  </sheetViews>
  <sheetFormatPr baseColWidth="10" defaultColWidth="0" defaultRowHeight="15" zeroHeight="1" x14ac:dyDescent="0.25"/>
  <cols>
    <col min="1" max="1" width="9.140625" style="73" customWidth="1"/>
    <col min="2" max="2" width="29.140625" style="168" customWidth="1"/>
    <col min="3" max="3" width="29.28515625" style="168" customWidth="1"/>
    <col min="4" max="4" width="22.28515625" style="168" customWidth="1"/>
    <col min="5" max="5" width="39.85546875" style="168" bestFit="1" customWidth="1"/>
    <col min="6" max="6" width="10.5703125" style="72" customWidth="1"/>
    <col min="7" max="7" width="36.5703125" hidden="1" customWidth="1"/>
    <col min="8" max="8" width="29.42578125" hidden="1" customWidth="1"/>
    <col min="9" max="9" width="28.42578125" hidden="1" customWidth="1"/>
    <col min="10" max="10" width="9.85546875" hidden="1" customWidth="1"/>
    <col min="11" max="11" width="1.85546875" hidden="1" customWidth="1"/>
    <col min="12" max="12" width="29.5703125" hidden="1" customWidth="1"/>
    <col min="13" max="13" width="5.5703125" hidden="1" customWidth="1"/>
    <col min="14" max="24" width="2.85546875" hidden="1" customWidth="1"/>
    <col min="25" max="25" width="46.5703125" hidden="1" customWidth="1"/>
    <col min="26" max="26" width="5.140625" hidden="1" customWidth="1"/>
    <col min="27" max="16384" width="2.85546875" hidden="1"/>
  </cols>
  <sheetData>
    <row r="1" spans="1:26" x14ac:dyDescent="0.25">
      <c r="A1" s="71"/>
      <c r="B1" s="82"/>
      <c r="C1" s="82"/>
      <c r="D1" s="82"/>
      <c r="E1" s="82"/>
      <c r="Y1" t="s">
        <v>797</v>
      </c>
      <c r="Z1" t="s">
        <v>2946</v>
      </c>
    </row>
    <row r="2" spans="1:26" x14ac:dyDescent="0.25">
      <c r="B2" s="139" t="s">
        <v>2604</v>
      </c>
      <c r="C2" s="139"/>
      <c r="D2" s="82"/>
      <c r="E2" s="82"/>
      <c r="Y2" t="s">
        <v>798</v>
      </c>
      <c r="Z2" t="s">
        <v>2947</v>
      </c>
    </row>
    <row r="3" spans="1:26" x14ac:dyDescent="0.25">
      <c r="A3" s="73" t="s">
        <v>2605</v>
      </c>
      <c r="B3" s="82" t="s">
        <v>2606</v>
      </c>
      <c r="C3" s="82"/>
      <c r="D3" s="82"/>
      <c r="E3" s="82"/>
      <c r="Y3" t="s">
        <v>863</v>
      </c>
      <c r="Z3" t="s">
        <v>2892</v>
      </c>
    </row>
    <row r="4" spans="1:26" x14ac:dyDescent="0.25">
      <c r="B4" s="82" t="s">
        <v>2607</v>
      </c>
      <c r="C4" s="82"/>
      <c r="D4" s="82"/>
      <c r="E4" s="82"/>
      <c r="Y4" t="s">
        <v>710</v>
      </c>
      <c r="Z4" t="s">
        <v>2823</v>
      </c>
    </row>
    <row r="5" spans="1:26" ht="21" customHeight="1" x14ac:dyDescent="0.25">
      <c r="B5" s="378"/>
      <c r="C5" s="378"/>
      <c r="D5" s="378"/>
      <c r="E5" s="140"/>
      <c r="Y5" t="s">
        <v>732</v>
      </c>
      <c r="Z5" t="s">
        <v>2907</v>
      </c>
    </row>
    <row r="6" spans="1:26" x14ac:dyDescent="0.25">
      <c r="B6" s="178" t="s">
        <v>2608</v>
      </c>
      <c r="C6" s="178"/>
      <c r="D6" s="178"/>
      <c r="E6" s="178"/>
      <c r="Y6" t="s">
        <v>788</v>
      </c>
      <c r="Z6" t="s">
        <v>2937</v>
      </c>
    </row>
    <row r="7" spans="1:26" x14ac:dyDescent="0.25">
      <c r="B7" s="84" t="s">
        <v>2609</v>
      </c>
      <c r="C7" s="141" t="str">
        <f ca="1">IF(TEXT(TODAY(),"mm/dd/yyyy")&gt;TEXT(Recruitment!$L$114,"mm/dd/yyyy"),TEXT(Recruitment!$L$114,"mm/dd/yyyy"),TEXT(TODAY(),"mm/dd/yyyy"))</f>
        <v>02/16/2026</v>
      </c>
      <c r="D7" s="142" t="s">
        <v>2643</v>
      </c>
      <c r="E7" s="85"/>
      <c r="Y7" t="s">
        <v>789</v>
      </c>
      <c r="Z7" t="s">
        <v>2938</v>
      </c>
    </row>
    <row r="8" spans="1:26" x14ac:dyDescent="0.25">
      <c r="B8" s="84" t="s">
        <v>2610</v>
      </c>
      <c r="C8" s="86" t="s">
        <v>6576</v>
      </c>
      <c r="D8" s="85"/>
      <c r="E8" s="85"/>
      <c r="Y8" t="s">
        <v>857</v>
      </c>
      <c r="Z8" t="s">
        <v>2977</v>
      </c>
    </row>
    <row r="9" spans="1:26" x14ac:dyDescent="0.25">
      <c r="B9" s="85" t="s">
        <v>2611</v>
      </c>
      <c r="C9" s="85"/>
      <c r="D9" s="85"/>
      <c r="E9" s="85"/>
      <c r="Y9" t="s">
        <v>790</v>
      </c>
      <c r="Z9" t="s">
        <v>2939</v>
      </c>
    </row>
    <row r="10" spans="1:26" x14ac:dyDescent="0.25">
      <c r="B10" s="84" t="s">
        <v>2612</v>
      </c>
      <c r="C10" s="86" t="str">
        <f>Recruitment!$K$22</f>
        <v>Mme</v>
      </c>
      <c r="D10" s="85"/>
      <c r="E10" s="85"/>
      <c r="Y10" t="s">
        <v>889</v>
      </c>
      <c r="Z10" t="s">
        <v>2989</v>
      </c>
    </row>
    <row r="11" spans="1:26" x14ac:dyDescent="0.25">
      <c r="B11" s="84" t="s">
        <v>2613</v>
      </c>
      <c r="C11" s="86" t="str">
        <f>PROPER(G11)</f>
        <v>Niima</v>
      </c>
      <c r="D11" s="85"/>
      <c r="E11" s="85"/>
      <c r="G11" s="4" t="str">
        <f>Recruitment!D24</f>
        <v>Niima</v>
      </c>
      <c r="Y11" t="s">
        <v>715</v>
      </c>
      <c r="Z11" t="s">
        <v>2828</v>
      </c>
    </row>
    <row r="12" spans="1:26" x14ac:dyDescent="0.25">
      <c r="B12" s="84" t="s">
        <v>2614</v>
      </c>
      <c r="C12" s="143" t="str">
        <f>UPPER(G12)</f>
        <v>BETTAOUI</v>
      </c>
      <c r="D12" s="144"/>
      <c r="E12" s="144"/>
      <c r="F12" s="76"/>
      <c r="G12" s="4" t="str">
        <f>Recruitment!D25</f>
        <v>Bettaoui</v>
      </c>
      <c r="Y12" t="s">
        <v>738</v>
      </c>
      <c r="Z12" t="s">
        <v>2913</v>
      </c>
    </row>
    <row r="13" spans="1:26" ht="20.25" customHeight="1" x14ac:dyDescent="0.25">
      <c r="B13" s="144" t="s">
        <v>2742</v>
      </c>
      <c r="C13" s="144"/>
      <c r="D13" s="144"/>
      <c r="E13" s="144"/>
      <c r="F13" s="76"/>
      <c r="H13" t="s">
        <v>6729</v>
      </c>
      <c r="I13" t="s">
        <v>6730</v>
      </c>
      <c r="Y13" t="s">
        <v>713</v>
      </c>
      <c r="Z13" t="s">
        <v>2826</v>
      </c>
    </row>
    <row r="14" spans="1:26" ht="20.25" customHeight="1" x14ac:dyDescent="0.25">
      <c r="B14" s="144" t="s">
        <v>2743</v>
      </c>
      <c r="C14" s="144"/>
      <c r="D14" s="144"/>
      <c r="E14" s="144"/>
      <c r="F14" s="76"/>
      <c r="H14" t="s">
        <v>136</v>
      </c>
      <c r="I14" t="s">
        <v>136</v>
      </c>
      <c r="Y14" t="s">
        <v>716</v>
      </c>
      <c r="Z14" t="s">
        <v>2829</v>
      </c>
    </row>
    <row r="15" spans="1:26" x14ac:dyDescent="0.25">
      <c r="B15" s="179" t="s">
        <v>2615</v>
      </c>
      <c r="C15" s="178"/>
      <c r="D15" s="178"/>
      <c r="E15" s="178"/>
      <c r="H15" s="39" t="s">
        <v>1044</v>
      </c>
      <c r="I15" t="s">
        <v>6736</v>
      </c>
      <c r="Y15" t="s">
        <v>858</v>
      </c>
      <c r="Z15" t="s">
        <v>2978</v>
      </c>
    </row>
    <row r="16" spans="1:26" x14ac:dyDescent="0.25">
      <c r="B16" s="84" t="s">
        <v>2616</v>
      </c>
      <c r="C16" s="86" t="str">
        <f>Recruitment!K35</f>
        <v>18 February 2003</v>
      </c>
      <c r="D16" s="142" t="s">
        <v>2643</v>
      </c>
      <c r="E16" s="85"/>
      <c r="H16" s="39" t="s">
        <v>1045</v>
      </c>
      <c r="I16" t="s">
        <v>1045</v>
      </c>
      <c r="Y16" t="s">
        <v>892</v>
      </c>
      <c r="Z16" t="s">
        <v>2991</v>
      </c>
    </row>
    <row r="17" spans="2:26" x14ac:dyDescent="0.25">
      <c r="B17" s="84" t="s">
        <v>2617</v>
      </c>
      <c r="C17" s="86" t="str">
        <f>VLOOKUP(Recruitment!$D$34,LOV!$G$1:$H$257,2,FALSE)</f>
        <v>MAR</v>
      </c>
      <c r="D17" s="85"/>
      <c r="E17" s="85"/>
      <c r="H17" s="39" t="s">
        <v>1046</v>
      </c>
      <c r="I17" t="s">
        <v>6737</v>
      </c>
      <c r="Y17" t="s">
        <v>724</v>
      </c>
      <c r="Z17" t="s">
        <v>2837</v>
      </c>
    </row>
    <row r="18" spans="2:26" x14ac:dyDescent="0.25">
      <c r="B18" s="84" t="s">
        <v>2618</v>
      </c>
      <c r="C18" s="86" t="str">
        <f>Recruitment!$D$35</f>
        <v>Marrakech</v>
      </c>
      <c r="D18" s="85"/>
      <c r="E18" s="85"/>
      <c r="H18" s="39" t="s">
        <v>1047</v>
      </c>
      <c r="I18" t="s">
        <v>6738</v>
      </c>
      <c r="Y18" t="s">
        <v>859</v>
      </c>
      <c r="Z18" t="s">
        <v>2979</v>
      </c>
    </row>
    <row r="19" spans="2:26" x14ac:dyDescent="0.25">
      <c r="B19" s="84"/>
      <c r="C19" s="86"/>
      <c r="D19" s="85"/>
      <c r="E19" s="85"/>
      <c r="H19" s="39" t="s">
        <v>1048</v>
      </c>
      <c r="I19" t="s">
        <v>6739</v>
      </c>
      <c r="Y19" t="s">
        <v>893</v>
      </c>
      <c r="Z19" t="s">
        <v>2992</v>
      </c>
    </row>
    <row r="20" spans="2:26" x14ac:dyDescent="0.25">
      <c r="B20" s="178" t="s">
        <v>2619</v>
      </c>
      <c r="C20" s="178"/>
      <c r="D20" s="178"/>
      <c r="E20" s="178"/>
      <c r="H20" s="39" t="s">
        <v>1049</v>
      </c>
      <c r="I20" t="s">
        <v>6722</v>
      </c>
      <c r="Y20" t="s">
        <v>714</v>
      </c>
      <c r="Z20" t="s">
        <v>2827</v>
      </c>
    </row>
    <row r="21" spans="2:26" x14ac:dyDescent="0.25">
      <c r="B21" s="84" t="s">
        <v>2609</v>
      </c>
      <c r="C21" s="141" t="str">
        <f ca="1">IF(TEXT(TODAY(),"mm/dd/yyyy")&gt;TEXT(Recruitment!$L$114,"mm/dd/yyyy"),TEXT(Recruitment!$L$114,"mm/dd/yyyy"),TEXT(TODAY(),"mm/dd/yyyy"))</f>
        <v>02/16/2026</v>
      </c>
      <c r="D21" s="142" t="s">
        <v>2643</v>
      </c>
      <c r="E21" s="85"/>
      <c r="H21" s="39" t="s">
        <v>6735</v>
      </c>
      <c r="I21" t="s">
        <v>6734</v>
      </c>
      <c r="Y21" t="s">
        <v>717</v>
      </c>
      <c r="Z21" t="s">
        <v>2830</v>
      </c>
    </row>
    <row r="22" spans="2:26" x14ac:dyDescent="0.25">
      <c r="B22" s="84" t="s">
        <v>2620</v>
      </c>
      <c r="C22" s="86" t="str">
        <f>VLOOKUP(Recruitment!D22,Recruitment!M27:N29,2,0)</f>
        <v>Female</v>
      </c>
      <c r="D22" s="85"/>
      <c r="E22" s="85"/>
      <c r="H22" s="39" t="s">
        <v>1050</v>
      </c>
      <c r="I22" s="39" t="s">
        <v>6744</v>
      </c>
      <c r="Y22" t="s">
        <v>718</v>
      </c>
      <c r="Z22" t="s">
        <v>2831</v>
      </c>
    </row>
    <row r="23" spans="2:26" x14ac:dyDescent="0.25">
      <c r="B23" s="84" t="s">
        <v>2621</v>
      </c>
      <c r="C23" s="86" t="str">
        <f>VLOOKUP(Recruitment!$D$36,Table2[],2,0)</f>
        <v>M4-Bac+5 University Master 2</v>
      </c>
      <c r="D23" s="85"/>
      <c r="E23" s="85"/>
      <c r="H23" s="39" t="s">
        <v>1051</v>
      </c>
      <c r="I23" t="s">
        <v>6725</v>
      </c>
      <c r="Y23" t="s">
        <v>719</v>
      </c>
      <c r="Z23" t="s">
        <v>2832</v>
      </c>
    </row>
    <row r="24" spans="2:26" x14ac:dyDescent="0.25">
      <c r="B24" s="84" t="s">
        <v>2622</v>
      </c>
      <c r="C24" s="86" t="str">
        <f>VLOOKUP(Recruitment!$D$28,LOV!$B$43:$C$46,2,FALSE)</f>
        <v>Single</v>
      </c>
      <c r="D24" s="85"/>
      <c r="E24" s="85"/>
      <c r="H24" s="39" t="s">
        <v>1052</v>
      </c>
      <c r="I24" s="39" t="s">
        <v>1052</v>
      </c>
      <c r="Y24" t="s">
        <v>799</v>
      </c>
      <c r="Z24" t="s">
        <v>2948</v>
      </c>
    </row>
    <row r="25" spans="2:26" x14ac:dyDescent="0.25">
      <c r="B25" s="84" t="s">
        <v>6074</v>
      </c>
      <c r="C25" s="86" t="s">
        <v>6576</v>
      </c>
      <c r="D25" s="85"/>
      <c r="E25" s="85"/>
      <c r="H25" s="39" t="s">
        <v>1053</v>
      </c>
      <c r="I25" t="s">
        <v>6748</v>
      </c>
      <c r="Y25" t="s">
        <v>754</v>
      </c>
      <c r="Z25" t="s">
        <v>2929</v>
      </c>
    </row>
    <row r="26" spans="2:26" x14ac:dyDescent="0.25">
      <c r="B26" s="84" t="s">
        <v>2623</v>
      </c>
      <c r="C26" s="141" t="str">
        <f ca="1">IF(TEXT(TODAY(),"mm/dd/yyyy")&gt;TEXT(Recruitment!$L$114,"mm/dd/yyyy"),TEXT(Recruitment!$L$114,"mm/dd/yyyy"),TEXT(TODAY(),"mm/dd/yyyy"))</f>
        <v>02/16/2026</v>
      </c>
      <c r="D26" s="287" t="s">
        <v>6076</v>
      </c>
      <c r="E26" s="86" t="str">
        <f>IF(Recruitment!$D$9="","NOTPROVIDED",Recruitment!$D$9)</f>
        <v>NOTPROVIDED</v>
      </c>
      <c r="H26" s="39" t="s">
        <v>1054</v>
      </c>
      <c r="I26" s="39" t="s">
        <v>6726</v>
      </c>
      <c r="Y26" t="s">
        <v>721</v>
      </c>
      <c r="Z26" t="s">
        <v>2834</v>
      </c>
    </row>
    <row r="27" spans="2:26" x14ac:dyDescent="0.25">
      <c r="B27" s="179" t="s">
        <v>2586</v>
      </c>
      <c r="C27" s="178"/>
      <c r="D27" s="178"/>
      <c r="E27" s="178"/>
      <c r="H27" s="39" t="s">
        <v>1055</v>
      </c>
      <c r="I27" t="s">
        <v>6727</v>
      </c>
      <c r="Y27" t="s">
        <v>741</v>
      </c>
      <c r="Z27" t="s">
        <v>2916</v>
      </c>
    </row>
    <row r="28" spans="2:26" x14ac:dyDescent="0.25">
      <c r="B28" s="84" t="s">
        <v>2624</v>
      </c>
      <c r="C28" s="86" t="s">
        <v>480</v>
      </c>
      <c r="D28" s="85"/>
      <c r="E28" s="85"/>
      <c r="H28" s="39" t="s">
        <v>1056</v>
      </c>
      <c r="I28" s="39" t="s">
        <v>6740</v>
      </c>
      <c r="Y28" t="s">
        <v>742</v>
      </c>
      <c r="Z28" t="s">
        <v>2917</v>
      </c>
    </row>
    <row r="29" spans="2:26" x14ac:dyDescent="0.25">
      <c r="B29" s="84" t="s">
        <v>2736</v>
      </c>
      <c r="C29" s="86" t="str">
        <f>UPPER(Recruitment!$D$29)</f>
        <v>EC74364</v>
      </c>
      <c r="D29" s="142" t="s">
        <v>2739</v>
      </c>
      <c r="E29" s="85"/>
      <c r="H29" s="39" t="s">
        <v>1057</v>
      </c>
      <c r="I29" t="s">
        <v>6749</v>
      </c>
      <c r="Y29" t="s">
        <v>725</v>
      </c>
      <c r="Z29" t="s">
        <v>2838</v>
      </c>
    </row>
    <row r="30" spans="2:26" x14ac:dyDescent="0.25">
      <c r="B30" s="84" t="s">
        <v>2737</v>
      </c>
      <c r="C30" s="86">
        <f>Recruitment!D31</f>
        <v>0</v>
      </c>
      <c r="D30" s="85"/>
      <c r="E30" s="85"/>
      <c r="H30" s="39" t="s">
        <v>1058</v>
      </c>
      <c r="I30" t="s">
        <v>6741</v>
      </c>
      <c r="Y30" t="s">
        <v>862</v>
      </c>
      <c r="Z30" t="s">
        <v>2982</v>
      </c>
    </row>
    <row r="31" spans="2:26" x14ac:dyDescent="0.25">
      <c r="B31" s="84" t="s">
        <v>2738</v>
      </c>
      <c r="C31" s="86">
        <f>Recruitment!D30</f>
        <v>0</v>
      </c>
      <c r="D31" s="85"/>
      <c r="E31" s="85"/>
      <c r="H31" s="39" t="s">
        <v>1059</v>
      </c>
      <c r="I31" t="s">
        <v>6742</v>
      </c>
      <c r="Y31" t="s">
        <v>720</v>
      </c>
      <c r="Z31" t="s">
        <v>2833</v>
      </c>
    </row>
    <row r="32" spans="2:26" x14ac:dyDescent="0.25">
      <c r="B32" s="145" t="s">
        <v>2740</v>
      </c>
      <c r="C32" s="146">
        <f>Recruitment!$D$32</f>
        <v>0</v>
      </c>
      <c r="D32" s="85"/>
      <c r="E32" s="85"/>
      <c r="H32" s="39" t="s">
        <v>1060</v>
      </c>
      <c r="I32" t="s">
        <v>6743</v>
      </c>
      <c r="Y32" t="s">
        <v>881</v>
      </c>
      <c r="Z32" t="s">
        <v>2985</v>
      </c>
    </row>
    <row r="33" spans="1:26" ht="28.5" customHeight="1" x14ac:dyDescent="0.25">
      <c r="A33" s="73" t="s">
        <v>2626</v>
      </c>
      <c r="B33" s="378"/>
      <c r="C33" s="378"/>
      <c r="D33" s="378"/>
      <c r="E33" s="140"/>
      <c r="H33" s="39" t="s">
        <v>1061</v>
      </c>
      <c r="I33" s="39" t="s">
        <v>1061</v>
      </c>
      <c r="Y33" t="s">
        <v>794</v>
      </c>
      <c r="Z33" t="s">
        <v>2943</v>
      </c>
    </row>
    <row r="34" spans="1:26" x14ac:dyDescent="0.25">
      <c r="B34" s="179" t="s">
        <v>2627</v>
      </c>
      <c r="C34" s="178"/>
      <c r="D34" s="178"/>
      <c r="E34" s="178"/>
      <c r="H34" s="39" t="s">
        <v>1062</v>
      </c>
      <c r="I34" s="39" t="s">
        <v>6723</v>
      </c>
      <c r="Y34" t="s">
        <v>800</v>
      </c>
      <c r="Z34" t="s">
        <v>2949</v>
      </c>
    </row>
    <row r="35" spans="1:26" x14ac:dyDescent="0.25">
      <c r="B35" s="85" t="s">
        <v>2744</v>
      </c>
      <c r="C35" s="85"/>
      <c r="D35" s="85"/>
      <c r="E35" s="85"/>
      <c r="H35" s="39" t="s">
        <v>1063</v>
      </c>
      <c r="I35" s="39" t="s">
        <v>1063</v>
      </c>
      <c r="Y35" t="s">
        <v>776</v>
      </c>
      <c r="Z35" t="s">
        <v>2864</v>
      </c>
    </row>
    <row r="36" spans="1:26" x14ac:dyDescent="0.25">
      <c r="B36" s="84" t="s">
        <v>2609</v>
      </c>
      <c r="C36" s="141" t="str">
        <f ca="1">IF(TEXT(TODAY(),"mm/dd/yyyy")&gt;TEXT(Recruitment!$L$114,"mm/dd/yyyy"),TEXT(Recruitment!$L$114,"mm/dd/yyyy"),TEXT(TODAY(),"mm/dd/yyyy"))</f>
        <v>02/16/2026</v>
      </c>
      <c r="D36" s="142" t="s">
        <v>2643</v>
      </c>
      <c r="E36" s="85"/>
      <c r="H36" s="39" t="s">
        <v>1064</v>
      </c>
      <c r="I36" s="39" t="s">
        <v>6745</v>
      </c>
      <c r="Y36" t="s">
        <v>805</v>
      </c>
      <c r="Z36" t="s">
        <v>2954</v>
      </c>
    </row>
    <row r="37" spans="1:26" x14ac:dyDescent="0.25">
      <c r="B37" s="84" t="s">
        <v>2624</v>
      </c>
      <c r="C37" s="86" t="str">
        <f>VLOOKUP(Recruitment!$D$42,LOV!$G$1:$H$262,2,FALSE)</f>
        <v>menu</v>
      </c>
      <c r="D37" s="85"/>
      <c r="E37" s="85"/>
      <c r="H37" s="39" t="s">
        <v>1065</v>
      </c>
      <c r="I37" s="39" t="s">
        <v>6724</v>
      </c>
      <c r="Y37" t="s">
        <v>751</v>
      </c>
      <c r="Z37" t="s">
        <v>2926</v>
      </c>
    </row>
    <row r="38" spans="1:26" x14ac:dyDescent="0.25">
      <c r="B38" s="84" t="s">
        <v>2628</v>
      </c>
      <c r="C38" s="86" t="s">
        <v>2741</v>
      </c>
      <c r="D38" s="85"/>
      <c r="E38" s="85"/>
      <c r="H38" s="39" t="s">
        <v>1066</v>
      </c>
      <c r="I38" s="39" t="s">
        <v>6728</v>
      </c>
      <c r="Y38" t="s">
        <v>775</v>
      </c>
      <c r="Z38" t="s">
        <v>2863</v>
      </c>
    </row>
    <row r="39" spans="1:26" x14ac:dyDescent="0.25">
      <c r="A39" s="77"/>
      <c r="B39" s="144" t="s">
        <v>2745</v>
      </c>
      <c r="C39" s="144"/>
      <c r="D39" s="144"/>
      <c r="E39" s="144"/>
      <c r="F39" s="76"/>
      <c r="H39" s="39" t="s">
        <v>1067</v>
      </c>
      <c r="I39" s="39" t="s">
        <v>6746</v>
      </c>
      <c r="Y39" t="s">
        <v>825</v>
      </c>
      <c r="Z39" t="s">
        <v>2881</v>
      </c>
    </row>
    <row r="40" spans="1:26" x14ac:dyDescent="0.25">
      <c r="B40" s="84" t="s">
        <v>2629</v>
      </c>
      <c r="C40" s="374" t="str">
        <f>Recruitment!$D$61</f>
        <v>HAY ENNASSER NR 240 CHICHAOUA</v>
      </c>
      <c r="D40" s="374"/>
      <c r="E40" s="86"/>
      <c r="H40" s="39" t="s">
        <v>1068</v>
      </c>
      <c r="I40" s="39" t="s">
        <v>6747</v>
      </c>
      <c r="Y40" t="s">
        <v>795</v>
      </c>
      <c r="Z40" t="s">
        <v>2944</v>
      </c>
    </row>
    <row r="41" spans="1:26" x14ac:dyDescent="0.25">
      <c r="B41" s="84" t="s">
        <v>2630</v>
      </c>
      <c r="C41" s="85">
        <f>Recruitment!$D$62</f>
        <v>0</v>
      </c>
      <c r="D41" s="86" t="s">
        <v>6075</v>
      </c>
      <c r="E41" s="147">
        <f>Recruitment!D63</f>
        <v>0</v>
      </c>
      <c r="Y41" t="s">
        <v>793</v>
      </c>
      <c r="Z41" t="s">
        <v>2942</v>
      </c>
    </row>
    <row r="42" spans="1:26" x14ac:dyDescent="0.25">
      <c r="B42" s="84" t="s">
        <v>2631</v>
      </c>
      <c r="C42" s="147">
        <f>Recruitment!$D$65</f>
        <v>41000</v>
      </c>
      <c r="D42" s="147"/>
      <c r="E42" s="85"/>
      <c r="Y42" t="s">
        <v>856</v>
      </c>
      <c r="Z42" t="s">
        <v>2976</v>
      </c>
    </row>
    <row r="43" spans="1:26" x14ac:dyDescent="0.25">
      <c r="B43" s="84" t="s">
        <v>2632</v>
      </c>
      <c r="C43" s="374" t="str">
        <f>Recruitment!$D$64</f>
        <v>CHICHAOUA</v>
      </c>
      <c r="D43" s="374"/>
      <c r="E43" s="86"/>
      <c r="Y43" t="s">
        <v>826</v>
      </c>
      <c r="Z43" t="s">
        <v>2882</v>
      </c>
    </row>
    <row r="44" spans="1:26" x14ac:dyDescent="0.25">
      <c r="B44" s="84" t="s">
        <v>2624</v>
      </c>
      <c r="C44" s="379" t="str">
        <f>LEFT(Recruitment!$D$66,FIND("-",Recruitment!$D$66)-1)</f>
        <v>Maroc</v>
      </c>
      <c r="D44" s="379"/>
      <c r="E44" s="148"/>
      <c r="Y44" t="s">
        <v>796</v>
      </c>
      <c r="Z44" t="s">
        <v>2945</v>
      </c>
    </row>
    <row r="45" spans="1:26" x14ac:dyDescent="0.25">
      <c r="B45" s="144" t="s">
        <v>2746</v>
      </c>
      <c r="C45" s="85"/>
      <c r="D45" s="85"/>
      <c r="E45" s="85"/>
      <c r="Y45" t="s">
        <v>804</v>
      </c>
      <c r="Z45" t="s">
        <v>2953</v>
      </c>
    </row>
    <row r="46" spans="1:26" x14ac:dyDescent="0.25">
      <c r="B46" s="179" t="s">
        <v>2634</v>
      </c>
      <c r="C46" s="179"/>
      <c r="D46" s="180" t="s">
        <v>2635</v>
      </c>
      <c r="E46" s="180"/>
      <c r="Y46" t="s">
        <v>803</v>
      </c>
      <c r="Z46" t="s">
        <v>2952</v>
      </c>
    </row>
    <row r="47" spans="1:26" x14ac:dyDescent="0.25">
      <c r="B47" s="84" t="s">
        <v>2636</v>
      </c>
      <c r="C47" s="149" t="str">
        <f>"+212"&amp;Recruitment!$D$67</f>
        <v>+212</v>
      </c>
      <c r="D47" s="86" t="str">
        <f>Recruitment!$D$69</f>
        <v>Téléphone mobile (Mobile phone number)</v>
      </c>
      <c r="E47" s="86"/>
      <c r="Y47" t="s">
        <v>801</v>
      </c>
      <c r="Z47" t="s">
        <v>2950</v>
      </c>
    </row>
    <row r="48" spans="1:26" x14ac:dyDescent="0.25">
      <c r="B48" s="84" t="s">
        <v>2637</v>
      </c>
      <c r="C48" s="149" t="str">
        <f>"+212"&amp;Recruitment!$D$68</f>
        <v>+212657432134</v>
      </c>
      <c r="D48" s="85" t="s">
        <v>6731</v>
      </c>
      <c r="E48" s="324" t="str">
        <f>Recruitment!$D$70</f>
        <v>Bettaouiniima18@gmail.com</v>
      </c>
      <c r="Y48" t="s">
        <v>802</v>
      </c>
      <c r="Z48" t="s">
        <v>2951</v>
      </c>
    </row>
    <row r="49" spans="1:26" ht="28.5" customHeight="1" x14ac:dyDescent="0.25">
      <c r="A49" s="73" t="s">
        <v>2626</v>
      </c>
      <c r="B49" s="378"/>
      <c r="C49" s="378"/>
      <c r="D49" s="378"/>
      <c r="E49" s="140"/>
      <c r="Y49" t="s">
        <v>722</v>
      </c>
      <c r="Z49" t="s">
        <v>2835</v>
      </c>
    </row>
    <row r="50" spans="1:26" x14ac:dyDescent="0.25">
      <c r="B50" s="84" t="s">
        <v>2638</v>
      </c>
      <c r="C50" s="86" t="s">
        <v>1145</v>
      </c>
      <c r="D50" s="150"/>
      <c r="E50" s="150"/>
      <c r="Y50" t="s">
        <v>735</v>
      </c>
      <c r="Z50" t="s">
        <v>2910</v>
      </c>
    </row>
    <row r="51" spans="1:26" x14ac:dyDescent="0.25">
      <c r="B51" s="84" t="s">
        <v>2639</v>
      </c>
      <c r="C51" s="86" t="s">
        <v>1145</v>
      </c>
      <c r="D51" s="150"/>
      <c r="E51" s="150"/>
      <c r="Y51" t="s">
        <v>734</v>
      </c>
      <c r="Z51" t="s">
        <v>2909</v>
      </c>
    </row>
    <row r="52" spans="1:26" ht="24" customHeight="1" x14ac:dyDescent="0.25">
      <c r="A52" s="73" t="s">
        <v>2626</v>
      </c>
      <c r="B52" s="380"/>
      <c r="C52" s="380"/>
      <c r="D52" s="380"/>
      <c r="E52" s="151"/>
      <c r="Y52" t="s">
        <v>860</v>
      </c>
      <c r="Z52" t="s">
        <v>2980</v>
      </c>
    </row>
    <row r="53" spans="1:26" x14ac:dyDescent="0.25">
      <c r="B53" s="84" t="s">
        <v>2640</v>
      </c>
      <c r="C53" s="152" t="s">
        <v>1093</v>
      </c>
      <c r="D53" s="85"/>
      <c r="E53" s="85"/>
      <c r="Y53" t="s">
        <v>723</v>
      </c>
      <c r="Z53" t="s">
        <v>2836</v>
      </c>
    </row>
    <row r="54" spans="1:26" x14ac:dyDescent="0.25">
      <c r="B54" s="377" t="s">
        <v>2747</v>
      </c>
      <c r="C54" s="377"/>
      <c r="D54" s="377"/>
      <c r="E54" s="153"/>
      <c r="Y54" t="s">
        <v>861</v>
      </c>
      <c r="Z54" t="s">
        <v>2981</v>
      </c>
    </row>
    <row r="55" spans="1:26" x14ac:dyDescent="0.25">
      <c r="B55" s="154" t="s">
        <v>2641</v>
      </c>
      <c r="C55" s="155"/>
      <c r="D55" s="155"/>
      <c r="E55" s="155"/>
      <c r="Y55" t="s">
        <v>778</v>
      </c>
      <c r="Z55" t="s">
        <v>2866</v>
      </c>
    </row>
    <row r="56" spans="1:26" ht="24.75" customHeight="1" x14ac:dyDescent="0.25">
      <c r="A56" s="77" t="s">
        <v>2626</v>
      </c>
      <c r="B56" s="84"/>
      <c r="C56" s="86"/>
      <c r="D56" s="85"/>
      <c r="E56" s="85"/>
      <c r="Y56" t="s">
        <v>733</v>
      </c>
      <c r="Z56" t="s">
        <v>2908</v>
      </c>
    </row>
    <row r="57" spans="1:26" x14ac:dyDescent="0.25">
      <c r="B57" s="179" t="s">
        <v>2642</v>
      </c>
      <c r="C57" s="179"/>
      <c r="D57" s="179"/>
      <c r="E57" s="179"/>
      <c r="Y57" t="s">
        <v>726</v>
      </c>
      <c r="Z57" t="s">
        <v>2839</v>
      </c>
    </row>
    <row r="58" spans="1:26" x14ac:dyDescent="0.25">
      <c r="B58" s="84" t="s">
        <v>2609</v>
      </c>
      <c r="C58" s="152" t="str">
        <f>TEXT(Recruitment!$L$114,"mm/dd/yyyy")</f>
        <v>Jour - Day/months/Année - Year</v>
      </c>
      <c r="D58" s="142" t="s">
        <v>2643</v>
      </c>
      <c r="E58" s="156"/>
      <c r="G58" s="55" t="s">
        <v>136</v>
      </c>
      <c r="Y58" t="s">
        <v>830</v>
      </c>
      <c r="Z58" t="s">
        <v>2886</v>
      </c>
    </row>
    <row r="59" spans="1:26" x14ac:dyDescent="0.25">
      <c r="B59" s="381" t="s">
        <v>2644</v>
      </c>
      <c r="C59" s="381"/>
      <c r="D59" s="382"/>
      <c r="E59" s="157"/>
      <c r="G59" s="55" t="s">
        <v>965</v>
      </c>
      <c r="H59" t="s">
        <v>2749</v>
      </c>
      <c r="I59" t="s">
        <v>2749</v>
      </c>
      <c r="J59" t="s">
        <v>2763</v>
      </c>
      <c r="Y59" t="s">
        <v>727</v>
      </c>
      <c r="Z59" t="s">
        <v>2840</v>
      </c>
    </row>
    <row r="60" spans="1:26" x14ac:dyDescent="0.25">
      <c r="B60" s="381"/>
      <c r="C60" s="381"/>
      <c r="D60" s="382"/>
      <c r="E60" s="157"/>
      <c r="G60" s="55" t="s">
        <v>5980</v>
      </c>
      <c r="H60" t="str">
        <f>TEXT(Recruitment!L90,"mm/dd/yyyy")</f>
        <v>Jour - Day/months/Année - Year</v>
      </c>
      <c r="I60" t="s">
        <v>2749</v>
      </c>
      <c r="J60" t="s">
        <v>2763</v>
      </c>
      <c r="Y60" t="s">
        <v>707</v>
      </c>
      <c r="Z60" t="s">
        <v>2820</v>
      </c>
    </row>
    <row r="61" spans="1:26" x14ac:dyDescent="0.25">
      <c r="B61" s="153" t="s">
        <v>2748</v>
      </c>
      <c r="C61" s="143"/>
      <c r="D61" s="144"/>
      <c r="E61" s="144"/>
      <c r="G61" s="55" t="s">
        <v>2287</v>
      </c>
      <c r="H61" t="e">
        <f>IFERROR(IF(TEXT(Recruitment!$L$98,"mm/dd/yyyy")&gt;TEXT(Recruitment!L100,"mm/dd/yyyy"),TEXT(Recruitment!$L$98,"mm/dd/yyyy"),TEXT(Recruitment!L100,"mm/dd/yyyy")),TEXT(Recruitment!$L$98,"mm/dd/yyyy"))</f>
        <v>#N/A</v>
      </c>
      <c r="I61" t="s">
        <v>2750</v>
      </c>
      <c r="J61" t="s">
        <v>2764</v>
      </c>
      <c r="Y61" t="s">
        <v>728</v>
      </c>
      <c r="Z61" t="s">
        <v>2841</v>
      </c>
    </row>
    <row r="62" spans="1:26" x14ac:dyDescent="0.25">
      <c r="B62" s="84" t="s">
        <v>2645</v>
      </c>
      <c r="C62" s="86" t="s">
        <v>480</v>
      </c>
      <c r="D62" s="85"/>
      <c r="E62" s="85"/>
      <c r="G62" s="55" t="s">
        <v>966</v>
      </c>
      <c r="H62" t="e">
        <f>TEXT(Recruitment!$K$86,"mm/dd/yyyy")</f>
        <v>#N/A</v>
      </c>
      <c r="I62" t="s">
        <v>2749</v>
      </c>
      <c r="J62" t="s">
        <v>2763</v>
      </c>
      <c r="Y62" t="s">
        <v>877</v>
      </c>
      <c r="Z62" t="s">
        <v>2906</v>
      </c>
    </row>
    <row r="63" spans="1:26" x14ac:dyDescent="0.25">
      <c r="B63" s="84" t="s">
        <v>2646</v>
      </c>
      <c r="C63" s="158" t="s">
        <v>480</v>
      </c>
      <c r="D63" s="85"/>
      <c r="E63" s="85"/>
      <c r="G63" s="55" t="s">
        <v>967</v>
      </c>
      <c r="H63" t="e">
        <f>TEXT(Recruitment!$K$86,"mm/dd/yyyy")</f>
        <v>#N/A</v>
      </c>
      <c r="I63" t="s">
        <v>2749</v>
      </c>
      <c r="J63" t="s">
        <v>2763</v>
      </c>
      <c r="Y63" t="s">
        <v>876</v>
      </c>
      <c r="Z63" t="s">
        <v>2905</v>
      </c>
    </row>
    <row r="64" spans="1:26" x14ac:dyDescent="0.25">
      <c r="B64" s="84" t="s">
        <v>2647</v>
      </c>
      <c r="C64" s="86" t="str">
        <f>LEFT(Recruitment!$D$107,5)</f>
        <v>menu</v>
      </c>
      <c r="D64" s="85"/>
      <c r="E64" s="85"/>
      <c r="G64" s="55" t="s">
        <v>968</v>
      </c>
      <c r="H64" t="e">
        <f>TEXT(Recruitment!$K$86,"mm/dd/yyyy")</f>
        <v>#N/A</v>
      </c>
      <c r="I64" t="s">
        <v>2749</v>
      </c>
      <c r="J64" t="s">
        <v>2763</v>
      </c>
      <c r="Y64" t="s">
        <v>787</v>
      </c>
      <c r="Z64" t="s">
        <v>2936</v>
      </c>
    </row>
    <row r="65" spans="1:26" x14ac:dyDescent="0.25">
      <c r="B65" s="84" t="s">
        <v>2633</v>
      </c>
      <c r="C65" s="86">
        <f>Recruitment!$D$109</f>
        <v>0</v>
      </c>
      <c r="D65" s="85"/>
      <c r="E65" s="85"/>
      <c r="G65" s="55" t="s">
        <v>5981</v>
      </c>
      <c r="H65" t="str">
        <f>TEXT(Recruitment!L90,"mm/dd/yyyy")</f>
        <v>Jour - Day/months/Année - Year</v>
      </c>
      <c r="I65" t="s">
        <v>2749</v>
      </c>
      <c r="J65" t="s">
        <v>2763</v>
      </c>
      <c r="Y65" t="s">
        <v>832</v>
      </c>
      <c r="Z65" t="s">
        <v>2888</v>
      </c>
    </row>
    <row r="66" spans="1:26" x14ac:dyDescent="0.25">
      <c r="B66" s="84" t="s">
        <v>2648</v>
      </c>
      <c r="C66" s="86" t="e">
        <f>VLOOKUP(Recruitment!$D$110,LOV!$C$114:$D$116,2,FALSE)</f>
        <v>#N/A</v>
      </c>
      <c r="D66" s="85"/>
      <c r="E66" s="85"/>
      <c r="Y66" t="s">
        <v>806</v>
      </c>
      <c r="Z66" t="s">
        <v>2955</v>
      </c>
    </row>
    <row r="67" spans="1:26" x14ac:dyDescent="0.25">
      <c r="B67" s="84" t="s">
        <v>2649</v>
      </c>
      <c r="C67" s="286" t="str">
        <f>IFERROR(VLOOKUP(Recruitment!$D$112,'Data Entry'!G59:$H$65,2,FALSE)+1," ")</f>
        <v xml:space="preserve"> </v>
      </c>
      <c r="D67" s="85"/>
      <c r="E67" s="85"/>
      <c r="Y67" t="s">
        <v>749</v>
      </c>
      <c r="Z67" t="s">
        <v>2924</v>
      </c>
    </row>
    <row r="68" spans="1:26" x14ac:dyDescent="0.25">
      <c r="B68" s="86"/>
      <c r="C68" s="86"/>
      <c r="D68" s="85"/>
      <c r="E68" s="85"/>
      <c r="Y68" t="s">
        <v>765</v>
      </c>
      <c r="Z68" t="s">
        <v>2853</v>
      </c>
    </row>
    <row r="69" spans="1:26" ht="20.25" customHeight="1" x14ac:dyDescent="0.25">
      <c r="A69" s="77" t="s">
        <v>2626</v>
      </c>
      <c r="B69" s="84"/>
      <c r="C69" s="86"/>
      <c r="D69" s="85"/>
      <c r="E69" s="85"/>
      <c r="Y69" t="s">
        <v>730</v>
      </c>
      <c r="Z69" t="s">
        <v>2843</v>
      </c>
    </row>
    <row r="70" spans="1:26" x14ac:dyDescent="0.25">
      <c r="A70" s="77"/>
      <c r="B70" s="179" t="s">
        <v>2650</v>
      </c>
      <c r="C70" s="179"/>
      <c r="D70" s="179"/>
      <c r="E70" s="179"/>
      <c r="Y70" t="s">
        <v>731</v>
      </c>
      <c r="Z70" t="s">
        <v>2844</v>
      </c>
    </row>
    <row r="71" spans="1:26" x14ac:dyDescent="0.25">
      <c r="B71" s="84" t="s">
        <v>2651</v>
      </c>
      <c r="C71" s="86" t="str">
        <f>LEFT(Recruitment!$D$120,3)</f>
        <v>men</v>
      </c>
      <c r="D71" s="85"/>
      <c r="E71" s="85"/>
      <c r="Y71" t="s">
        <v>745</v>
      </c>
      <c r="Z71" t="s">
        <v>2920</v>
      </c>
    </row>
    <row r="72" spans="1:26" x14ac:dyDescent="0.25">
      <c r="B72" s="84" t="s">
        <v>2652</v>
      </c>
      <c r="C72" s="86">
        <f>Recruitment!$D$12</f>
        <v>0</v>
      </c>
      <c r="D72" s="85"/>
      <c r="E72" s="85"/>
      <c r="Y72" t="s">
        <v>867</v>
      </c>
      <c r="Z72" t="s">
        <v>2896</v>
      </c>
    </row>
    <row r="73" spans="1:26" x14ac:dyDescent="0.25">
      <c r="B73" s="84" t="s">
        <v>2653</v>
      </c>
      <c r="C73" s="86">
        <f>Recruitment!D118</f>
        <v>0</v>
      </c>
      <c r="D73" s="85"/>
      <c r="E73" s="85"/>
      <c r="Y73" t="s">
        <v>873</v>
      </c>
      <c r="Z73" t="s">
        <v>2902</v>
      </c>
    </row>
    <row r="74" spans="1:26" x14ac:dyDescent="0.25">
      <c r="B74" s="84" t="s">
        <v>2654</v>
      </c>
      <c r="C74" s="86" t="str">
        <f>IFERROR(VLOOKUP(Recruitment!$D$112,'Data Entry'!$G$59:$I$64,3,FALSE),"Leave Blank")</f>
        <v>Leave Blank</v>
      </c>
      <c r="D74" s="85"/>
      <c r="E74" s="85"/>
      <c r="Y74" t="s">
        <v>747</v>
      </c>
      <c r="Z74" t="s">
        <v>2922</v>
      </c>
    </row>
    <row r="75" spans="1:26" x14ac:dyDescent="0.25">
      <c r="B75" s="84" t="s">
        <v>2655</v>
      </c>
      <c r="C75" s="86" t="s">
        <v>2751</v>
      </c>
      <c r="D75" s="85"/>
      <c r="E75" s="85"/>
      <c r="Y75" t="s">
        <v>758</v>
      </c>
      <c r="Z75" t="s">
        <v>2846</v>
      </c>
    </row>
    <row r="76" spans="1:26" x14ac:dyDescent="0.25">
      <c r="B76" s="84"/>
      <c r="C76" s="86"/>
      <c r="D76" s="85"/>
      <c r="E76" s="85"/>
      <c r="Y76" t="s">
        <v>746</v>
      </c>
      <c r="Z76" t="s">
        <v>2921</v>
      </c>
    </row>
    <row r="77" spans="1:26" x14ac:dyDescent="0.25">
      <c r="B77" s="179" t="s">
        <v>2656</v>
      </c>
      <c r="C77" s="179"/>
      <c r="D77" s="179"/>
      <c r="E77" s="179"/>
      <c r="Y77" t="s">
        <v>838</v>
      </c>
      <c r="Z77" t="s">
        <v>2960</v>
      </c>
    </row>
    <row r="78" spans="1:26" x14ac:dyDescent="0.25">
      <c r="B78" s="84" t="s">
        <v>2657</v>
      </c>
      <c r="C78" s="159" t="s">
        <v>2754</v>
      </c>
      <c r="D78" s="85" t="s">
        <v>4184</v>
      </c>
      <c r="E78" s="85"/>
      <c r="Y78" t="s">
        <v>769</v>
      </c>
      <c r="Z78" t="s">
        <v>2857</v>
      </c>
    </row>
    <row r="79" spans="1:26" x14ac:dyDescent="0.25">
      <c r="B79" s="84" t="s">
        <v>2752</v>
      </c>
      <c r="C79" s="159" t="s">
        <v>2753</v>
      </c>
      <c r="D79" s="85"/>
      <c r="E79" s="85"/>
      <c r="Y79" t="s">
        <v>760</v>
      </c>
      <c r="Z79" t="s">
        <v>2848</v>
      </c>
    </row>
    <row r="80" spans="1:26" x14ac:dyDescent="0.25">
      <c r="B80" s="179" t="s">
        <v>2658</v>
      </c>
      <c r="C80" s="179"/>
      <c r="D80" s="179"/>
      <c r="E80" s="179"/>
      <c r="Y80" t="s">
        <v>807</v>
      </c>
      <c r="Z80" t="s">
        <v>2956</v>
      </c>
    </row>
    <row r="81" spans="1:26" x14ac:dyDescent="0.25">
      <c r="A81" s="77"/>
      <c r="B81" s="377" t="s">
        <v>2659</v>
      </c>
      <c r="C81" s="377"/>
      <c r="D81" s="377"/>
      <c r="E81" s="153"/>
      <c r="F81" s="76"/>
      <c r="Y81" t="s">
        <v>871</v>
      </c>
      <c r="Z81" t="s">
        <v>2900</v>
      </c>
    </row>
    <row r="82" spans="1:26" ht="24.75" customHeight="1" x14ac:dyDescent="0.25">
      <c r="A82" s="77" t="s">
        <v>2626</v>
      </c>
      <c r="B82" s="86"/>
      <c r="C82" s="86"/>
      <c r="D82" s="86"/>
      <c r="E82" s="86"/>
      <c r="Y82" t="s">
        <v>759</v>
      </c>
      <c r="Z82" t="s">
        <v>2847</v>
      </c>
    </row>
    <row r="83" spans="1:26" x14ac:dyDescent="0.25">
      <c r="B83" s="179" t="s">
        <v>2755</v>
      </c>
      <c r="C83" s="179"/>
      <c r="D83" s="179"/>
      <c r="E83" s="179"/>
      <c r="Y83" t="s">
        <v>761</v>
      </c>
      <c r="Z83" t="s">
        <v>2849</v>
      </c>
    </row>
    <row r="84" spans="1:26" ht="8.25" customHeight="1" x14ac:dyDescent="0.25">
      <c r="B84" s="179"/>
      <c r="C84" s="179"/>
      <c r="D84" s="179"/>
      <c r="E84" s="179"/>
      <c r="Y84" t="s">
        <v>870</v>
      </c>
      <c r="Z84" t="s">
        <v>2899</v>
      </c>
    </row>
    <row r="85" spans="1:26" ht="8.25" customHeight="1" x14ac:dyDescent="0.25">
      <c r="B85" s="179"/>
      <c r="C85" s="179"/>
      <c r="D85" s="179"/>
      <c r="E85" s="179"/>
      <c r="Y85" t="s">
        <v>762</v>
      </c>
      <c r="Z85" t="s">
        <v>2850</v>
      </c>
    </row>
    <row r="86" spans="1:26" x14ac:dyDescent="0.25">
      <c r="B86" s="84"/>
      <c r="C86" s="86"/>
      <c r="D86" s="85"/>
      <c r="E86" s="85"/>
      <c r="Y86" t="s">
        <v>736</v>
      </c>
      <c r="Z86" t="s">
        <v>2911</v>
      </c>
    </row>
    <row r="87" spans="1:26" x14ac:dyDescent="0.25">
      <c r="B87" s="179" t="s">
        <v>2660</v>
      </c>
      <c r="C87" s="179"/>
      <c r="D87" s="179"/>
      <c r="E87" s="179"/>
      <c r="Y87" t="s">
        <v>869</v>
      </c>
      <c r="Z87" t="s">
        <v>2898</v>
      </c>
    </row>
    <row r="88" spans="1:26" x14ac:dyDescent="0.25">
      <c r="B88" s="84" t="s">
        <v>2661</v>
      </c>
      <c r="C88" s="86" t="s">
        <v>2662</v>
      </c>
      <c r="D88" s="85"/>
      <c r="E88" s="85"/>
      <c r="Y88" t="s">
        <v>829</v>
      </c>
      <c r="Z88" t="s">
        <v>2885</v>
      </c>
    </row>
    <row r="89" spans="1:26" x14ac:dyDescent="0.25">
      <c r="B89" s="84" t="s">
        <v>2663</v>
      </c>
      <c r="C89" s="86" t="s">
        <v>2664</v>
      </c>
      <c r="D89" s="85"/>
      <c r="E89" s="85"/>
      <c r="Y89" t="s">
        <v>766</v>
      </c>
      <c r="Z89" t="s">
        <v>2854</v>
      </c>
    </row>
    <row r="90" spans="1:26" x14ac:dyDescent="0.25">
      <c r="B90" s="179" t="s">
        <v>2662</v>
      </c>
      <c r="C90" s="179"/>
      <c r="D90" s="179"/>
      <c r="E90" s="179"/>
      <c r="Y90" t="s">
        <v>784</v>
      </c>
      <c r="Z90" t="s">
        <v>2933</v>
      </c>
    </row>
    <row r="91" spans="1:26" x14ac:dyDescent="0.25">
      <c r="B91" s="84" t="s">
        <v>2665</v>
      </c>
      <c r="C91" s="86" t="s">
        <v>2756</v>
      </c>
      <c r="D91" s="85"/>
      <c r="E91" s="85"/>
      <c r="G91" t="s">
        <v>2757</v>
      </c>
      <c r="H91" s="75" t="s">
        <v>2759</v>
      </c>
      <c r="I91" t="s">
        <v>2811</v>
      </c>
      <c r="J91" t="s">
        <v>2812</v>
      </c>
      <c r="Y91" t="s">
        <v>833</v>
      </c>
      <c r="Z91" t="s">
        <v>2889</v>
      </c>
    </row>
    <row r="92" spans="1:26" x14ac:dyDescent="0.25">
      <c r="B92" s="84" t="s">
        <v>2666</v>
      </c>
      <c r="C92" s="86" t="s">
        <v>2757</v>
      </c>
      <c r="D92" s="160" t="str">
        <f>VLOOKUP($C$92,$G$91:$H$92,2,FALSE)</f>
        <v>Exemption Hourly</v>
      </c>
      <c r="E92" s="85"/>
      <c r="G92" t="s">
        <v>2758</v>
      </c>
      <c r="H92" s="75" t="s">
        <v>2760</v>
      </c>
      <c r="I92" t="s">
        <v>2758</v>
      </c>
      <c r="J92" t="s">
        <v>2760</v>
      </c>
      <c r="Y92" t="s">
        <v>757</v>
      </c>
      <c r="Z92" t="s">
        <v>2845</v>
      </c>
    </row>
    <row r="93" spans="1:26" x14ac:dyDescent="0.25">
      <c r="B93" s="84" t="s">
        <v>2761</v>
      </c>
      <c r="C93" s="86">
        <f>Recruitment!$D$121</f>
        <v>0</v>
      </c>
      <c r="D93" s="160"/>
      <c r="E93" s="85"/>
      <c r="H93" s="75"/>
      <c r="Y93" t="s">
        <v>756</v>
      </c>
      <c r="Z93" t="s">
        <v>2931</v>
      </c>
    </row>
    <row r="94" spans="1:26" x14ac:dyDescent="0.25">
      <c r="B94" s="179" t="s">
        <v>2667</v>
      </c>
      <c r="C94" s="179"/>
      <c r="D94" s="179"/>
      <c r="E94" s="179"/>
      <c r="Y94" t="s">
        <v>729</v>
      </c>
      <c r="Z94" t="s">
        <v>2842</v>
      </c>
    </row>
    <row r="95" spans="1:26" x14ac:dyDescent="0.25">
      <c r="B95" s="84" t="s">
        <v>2665</v>
      </c>
      <c r="C95" s="158" t="s">
        <v>2762</v>
      </c>
      <c r="D95" s="85"/>
      <c r="E95" s="85"/>
      <c r="Y95" t="s">
        <v>712</v>
      </c>
      <c r="Z95" t="s">
        <v>2825</v>
      </c>
    </row>
    <row r="96" spans="1:26" x14ac:dyDescent="0.25">
      <c r="B96" s="84" t="s">
        <v>2668</v>
      </c>
      <c r="C96" s="158" t="e">
        <f>VLOOKUP(Recruitment!$D$112,'Data Entry'!$G$59:$J$65,4,FALSE)</f>
        <v>#N/A</v>
      </c>
      <c r="D96" s="85"/>
      <c r="E96" s="85"/>
      <c r="Y96" t="s">
        <v>750</v>
      </c>
      <c r="Z96" t="s">
        <v>2925</v>
      </c>
    </row>
    <row r="97" spans="1:26" x14ac:dyDescent="0.25">
      <c r="B97" s="84"/>
      <c r="C97" s="86"/>
      <c r="D97" s="85"/>
      <c r="E97" s="85"/>
      <c r="Y97" t="s">
        <v>764</v>
      </c>
      <c r="Z97" t="s">
        <v>2852</v>
      </c>
    </row>
    <row r="98" spans="1:26" x14ac:dyDescent="0.25">
      <c r="B98" s="373" t="s">
        <v>2669</v>
      </c>
      <c r="C98" s="373"/>
      <c r="D98" s="373"/>
      <c r="E98" s="161"/>
      <c r="Y98" t="s">
        <v>781</v>
      </c>
      <c r="Z98" t="s">
        <v>2869</v>
      </c>
    </row>
    <row r="99" spans="1:26" x14ac:dyDescent="0.25">
      <c r="B99" s="84"/>
      <c r="C99" s="86"/>
      <c r="D99" s="85"/>
      <c r="E99" s="85"/>
      <c r="Y99" t="s">
        <v>868</v>
      </c>
      <c r="Z99" t="s">
        <v>2897</v>
      </c>
    </row>
    <row r="100" spans="1:26" x14ac:dyDescent="0.25">
      <c r="B100" s="85"/>
      <c r="C100" s="85"/>
      <c r="D100" s="85"/>
      <c r="E100" s="85"/>
      <c r="Y100" t="s">
        <v>767</v>
      </c>
      <c r="Z100" t="s">
        <v>2855</v>
      </c>
    </row>
    <row r="101" spans="1:26" x14ac:dyDescent="0.25">
      <c r="B101" s="84"/>
      <c r="C101" s="86"/>
      <c r="D101" s="85"/>
      <c r="E101" s="85"/>
      <c r="Y101" t="s">
        <v>836</v>
      </c>
      <c r="Z101" t="s">
        <v>2958</v>
      </c>
    </row>
    <row r="102" spans="1:26" ht="30.75" customHeight="1" x14ac:dyDescent="0.25">
      <c r="A102" s="77" t="s">
        <v>2626</v>
      </c>
      <c r="B102" s="84"/>
      <c r="C102" s="86"/>
      <c r="D102" s="85"/>
      <c r="E102" s="85"/>
      <c r="Y102" t="s">
        <v>770</v>
      </c>
      <c r="Z102" t="s">
        <v>2858</v>
      </c>
    </row>
    <row r="103" spans="1:26" x14ac:dyDescent="0.25">
      <c r="B103" s="179" t="s">
        <v>76</v>
      </c>
      <c r="C103" s="179"/>
      <c r="D103" s="179"/>
      <c r="E103" s="179"/>
      <c r="Y103" t="s">
        <v>763</v>
      </c>
      <c r="Z103" t="s">
        <v>2851</v>
      </c>
    </row>
    <row r="104" spans="1:26" x14ac:dyDescent="0.25">
      <c r="B104" s="84" t="s">
        <v>2670</v>
      </c>
      <c r="C104" s="86" t="e">
        <f>VLOOKUP($B$227,$B$228:$C$237,2,FALSE)</f>
        <v>#N/A</v>
      </c>
      <c r="D104" s="142" t="str">
        <f>$B$227</f>
        <v>menu</v>
      </c>
      <c r="E104" s="85"/>
      <c r="Y104" t="s">
        <v>837</v>
      </c>
      <c r="Z104" t="s">
        <v>2959</v>
      </c>
    </row>
    <row r="105" spans="1:26" x14ac:dyDescent="0.25">
      <c r="B105" s="84" t="s">
        <v>2671</v>
      </c>
      <c r="C105" s="86" t="str">
        <f>Recruitment!$F$129</f>
        <v xml:space="preserve">  </v>
      </c>
      <c r="D105" s="142" t="str">
        <f>Recruitment!$D$129</f>
        <v>menu</v>
      </c>
      <c r="E105" s="85"/>
      <c r="Y105" t="s">
        <v>874</v>
      </c>
      <c r="Z105" t="s">
        <v>2903</v>
      </c>
    </row>
    <row r="106" spans="1:26" x14ac:dyDescent="0.25">
      <c r="B106" s="84" t="s">
        <v>2765</v>
      </c>
      <c r="C106" s="86" t="str">
        <f>IFERROR(_xlfn.IFS(Recruitment!$D$127=1.1,"91",Recruitment!$D$127=1.2,92,Recruitment!$D$127=1.3,"93"),Recruitment!$D$127)</f>
        <v>menu</v>
      </c>
      <c r="D106" s="85"/>
      <c r="E106" s="85"/>
      <c r="H106" s="92"/>
      <c r="L106" t="s">
        <v>2768</v>
      </c>
      <c r="M106" t="s">
        <v>2767</v>
      </c>
      <c r="Y106" t="s">
        <v>872</v>
      </c>
      <c r="Z106" t="s">
        <v>2901</v>
      </c>
    </row>
    <row r="107" spans="1:26" x14ac:dyDescent="0.25">
      <c r="B107" s="86"/>
      <c r="C107" s="86"/>
      <c r="D107" s="85"/>
      <c r="E107" s="85"/>
      <c r="H107" s="92"/>
      <c r="L107" t="s">
        <v>2769</v>
      </c>
      <c r="M107" t="s">
        <v>901</v>
      </c>
      <c r="Y107" t="s">
        <v>748</v>
      </c>
      <c r="Z107" t="s">
        <v>2923</v>
      </c>
    </row>
    <row r="108" spans="1:26" x14ac:dyDescent="0.25">
      <c r="B108" s="162" t="s">
        <v>2672</v>
      </c>
      <c r="C108" s="163" t="str">
        <f ca="1">TEXT(TODAY(),"mm/dd/yyyy")</f>
        <v>02/16/2026</v>
      </c>
      <c r="D108" s="164"/>
      <c r="E108" s="164"/>
      <c r="G108" s="55" t="s">
        <v>5981</v>
      </c>
      <c r="H108" t="s">
        <v>2813</v>
      </c>
      <c r="I108" t="s">
        <v>2814</v>
      </c>
      <c r="J108" t="s">
        <v>2815</v>
      </c>
      <c r="K108">
        <f>Recruitment!$D$130*12</f>
        <v>0</v>
      </c>
      <c r="L108" t="s">
        <v>913</v>
      </c>
      <c r="M108" t="s">
        <v>2770</v>
      </c>
      <c r="Y108" t="s">
        <v>740</v>
      </c>
      <c r="Z108" t="s">
        <v>2915</v>
      </c>
    </row>
    <row r="109" spans="1:26" ht="24" customHeight="1" x14ac:dyDescent="0.25">
      <c r="A109" s="77" t="s">
        <v>2626</v>
      </c>
      <c r="B109" s="181"/>
      <c r="C109" s="180"/>
      <c r="D109" s="178"/>
      <c r="E109" s="178"/>
      <c r="G109" s="55" t="s">
        <v>965</v>
      </c>
      <c r="H109" t="s">
        <v>2813</v>
      </c>
      <c r="I109" t="s">
        <v>2814</v>
      </c>
      <c r="J109" t="s">
        <v>2815</v>
      </c>
      <c r="K109">
        <f>Recruitment!$D$130*12</f>
        <v>0</v>
      </c>
      <c r="L109" t="s">
        <v>914</v>
      </c>
      <c r="M109" t="s">
        <v>2771</v>
      </c>
      <c r="Y109" t="s">
        <v>772</v>
      </c>
      <c r="Z109" t="s">
        <v>2860</v>
      </c>
    </row>
    <row r="110" spans="1:26" x14ac:dyDescent="0.25">
      <c r="B110" s="179" t="s">
        <v>2673</v>
      </c>
      <c r="C110" s="179"/>
      <c r="D110" s="179"/>
      <c r="E110" s="179"/>
      <c r="G110" s="55" t="s">
        <v>5980</v>
      </c>
      <c r="H110" t="s">
        <v>2813</v>
      </c>
      <c r="I110" t="s">
        <v>2814</v>
      </c>
      <c r="J110" t="s">
        <v>2815</v>
      </c>
      <c r="K110">
        <f>Recruitment!$D$130*12</f>
        <v>0</v>
      </c>
      <c r="L110" t="s">
        <v>2773</v>
      </c>
      <c r="M110" t="s">
        <v>2772</v>
      </c>
      <c r="Y110" t="s">
        <v>768</v>
      </c>
      <c r="Z110" t="s">
        <v>2856</v>
      </c>
    </row>
    <row r="111" spans="1:26" x14ac:dyDescent="0.25">
      <c r="B111" s="84" t="s">
        <v>2678</v>
      </c>
      <c r="C111" s="86" t="s">
        <v>2810</v>
      </c>
      <c r="D111" s="85"/>
      <c r="E111" s="85"/>
      <c r="G111" s="55" t="s">
        <v>2287</v>
      </c>
      <c r="H111" t="s">
        <v>2813</v>
      </c>
      <c r="I111" t="s">
        <v>2816</v>
      </c>
      <c r="J111" t="s">
        <v>2816</v>
      </c>
      <c r="K111">
        <f>Recruitment!$D$95</f>
        <v>0</v>
      </c>
      <c r="L111" t="s">
        <v>2775</v>
      </c>
      <c r="M111" t="s">
        <v>2774</v>
      </c>
      <c r="Y111" t="s">
        <v>865</v>
      </c>
      <c r="Z111" t="s">
        <v>2894</v>
      </c>
    </row>
    <row r="112" spans="1:26" x14ac:dyDescent="0.25">
      <c r="B112" s="84" t="s">
        <v>2674</v>
      </c>
      <c r="C112" s="86" t="str">
        <f>VLOOKUP($C$92,$G$91:$J$92,3,FALSE)</f>
        <v>A</v>
      </c>
      <c r="D112" s="142" t="str">
        <f>VLOOKUP($C$112,$I$91:$J$92,2,FALSE)</f>
        <v>Annual</v>
      </c>
      <c r="E112" s="85"/>
      <c r="G112" s="55" t="s">
        <v>966</v>
      </c>
      <c r="H112" t="s">
        <v>2813</v>
      </c>
      <c r="I112" t="s">
        <v>2814</v>
      </c>
      <c r="J112" t="s">
        <v>2816</v>
      </c>
      <c r="K112">
        <f>Recruitment!$D$130*12</f>
        <v>0</v>
      </c>
      <c r="L112" t="s">
        <v>2777</v>
      </c>
      <c r="M112" t="s">
        <v>2776</v>
      </c>
      <c r="Y112" t="s">
        <v>771</v>
      </c>
      <c r="Z112" t="s">
        <v>2859</v>
      </c>
    </row>
    <row r="113" spans="1:26" x14ac:dyDescent="0.25">
      <c r="B113" s="179" t="s">
        <v>2675</v>
      </c>
      <c r="C113" s="182"/>
      <c r="D113" s="182"/>
      <c r="E113" s="182"/>
      <c r="G113" s="55" t="s">
        <v>967</v>
      </c>
      <c r="H113" t="s">
        <v>2813</v>
      </c>
      <c r="I113" t="s">
        <v>2814</v>
      </c>
      <c r="J113" t="s">
        <v>2816</v>
      </c>
      <c r="K113">
        <f>Recruitment!$D$130*12</f>
        <v>0</v>
      </c>
      <c r="L113" t="s">
        <v>2779</v>
      </c>
      <c r="M113" t="s">
        <v>2778</v>
      </c>
      <c r="Y113" t="s">
        <v>779</v>
      </c>
      <c r="Z113" t="s">
        <v>2867</v>
      </c>
    </row>
    <row r="114" spans="1:26" x14ac:dyDescent="0.25">
      <c r="B114" s="183" t="s">
        <v>2676</v>
      </c>
      <c r="C114" s="182" t="s">
        <v>2677</v>
      </c>
      <c r="D114" s="184" t="s">
        <v>2674</v>
      </c>
      <c r="E114" s="182" t="s">
        <v>2817</v>
      </c>
      <c r="G114" s="55" t="s">
        <v>968</v>
      </c>
      <c r="H114" t="s">
        <v>2813</v>
      </c>
      <c r="I114" t="s">
        <v>2814</v>
      </c>
      <c r="J114" t="s">
        <v>2816</v>
      </c>
      <c r="K114">
        <f>Recruitment!$D$130*12</f>
        <v>0</v>
      </c>
      <c r="Y114" t="s">
        <v>880</v>
      </c>
      <c r="Z114" t="s">
        <v>2984</v>
      </c>
    </row>
    <row r="115" spans="1:26" x14ac:dyDescent="0.25">
      <c r="B115" s="84" t="e">
        <f>VLOOKUP(Recruitment!$D$112,'Data Entry'!$G$108:$H$114,2,FALSE)</f>
        <v>#N/A</v>
      </c>
      <c r="C115" s="86" t="e">
        <f>VLOOKUP(Recruitment!$D$112,'Data Entry'!$G$108:$K$114,5,FALSE)</f>
        <v>#N/A</v>
      </c>
      <c r="D115" s="86" t="e">
        <f>VLOOKUP(Recruitment!$D$112,'Data Entry'!$G$116:$H$122,2,FALSE)</f>
        <v>#N/A</v>
      </c>
      <c r="E115" s="86" t="s">
        <v>2810</v>
      </c>
      <c r="L115" t="s">
        <v>2781</v>
      </c>
      <c r="M115" t="s">
        <v>2780</v>
      </c>
      <c r="Y115" t="s">
        <v>777</v>
      </c>
      <c r="Z115" t="s">
        <v>2865</v>
      </c>
    </row>
    <row r="116" spans="1:26" x14ac:dyDescent="0.25">
      <c r="B116" s="84" t="e">
        <f>VLOOKUP(Recruitment!$D$112,'Data Entry'!$G$108:$I$114,3,FALSE)</f>
        <v>#N/A</v>
      </c>
      <c r="C116" s="165" t="str">
        <f>Recruitment!$D$136</f>
        <v xml:space="preserve"> </v>
      </c>
      <c r="D116" s="166" t="e">
        <f>IF($D$115="A","M","")</f>
        <v>#N/A</v>
      </c>
      <c r="E116" s="166" t="s">
        <v>2810</v>
      </c>
      <c r="G116" s="55" t="s">
        <v>965</v>
      </c>
      <c r="H116" t="s">
        <v>2811</v>
      </c>
      <c r="I116" t="s">
        <v>1146</v>
      </c>
      <c r="L116" t="s">
        <v>2783</v>
      </c>
      <c r="M116" t="s">
        <v>2782</v>
      </c>
      <c r="Y116" t="s">
        <v>879</v>
      </c>
      <c r="Z116" t="s">
        <v>2983</v>
      </c>
    </row>
    <row r="117" spans="1:26" x14ac:dyDescent="0.25">
      <c r="B117" s="84" t="e">
        <f>VLOOKUP(Recruitment!$D$112,'Data Entry'!$G$108:$J$114,4,FALSE)</f>
        <v>#N/A</v>
      </c>
      <c r="C117" s="86" t="str">
        <f>Recruitment!$D$137</f>
        <v xml:space="preserve"> </v>
      </c>
      <c r="D117" s="86" t="e">
        <f>VLOOKUP(Recruitment!$D$112,'Data Entry'!$G$116:$I$122,3,FALSE)</f>
        <v>#N/A</v>
      </c>
      <c r="E117" s="86" t="s">
        <v>2810</v>
      </c>
      <c r="G117" s="55" t="s">
        <v>5980</v>
      </c>
      <c r="H117" t="s">
        <v>2811</v>
      </c>
      <c r="I117" t="s">
        <v>1146</v>
      </c>
      <c r="L117" t="s">
        <v>2785</v>
      </c>
      <c r="M117" t="s">
        <v>2784</v>
      </c>
      <c r="Y117" t="s">
        <v>839</v>
      </c>
      <c r="Z117" t="s">
        <v>2961</v>
      </c>
    </row>
    <row r="118" spans="1:26" x14ac:dyDescent="0.25">
      <c r="B118" s="167" t="str">
        <f>IF(Recruitment!$D$142="0","","MAREP")</f>
        <v/>
      </c>
      <c r="C118" s="86" t="str">
        <f>Recruitment!$D$142</f>
        <v>0</v>
      </c>
      <c r="D118" s="86" t="str">
        <f>IF($B$118="MAREP","M"," ")</f>
        <v xml:space="preserve"> </v>
      </c>
      <c r="E118" s="86" t="s">
        <v>2810</v>
      </c>
      <c r="G118" s="55" t="s">
        <v>2287</v>
      </c>
      <c r="H118" t="s">
        <v>2811</v>
      </c>
      <c r="I118" t="s">
        <v>2399</v>
      </c>
      <c r="L118" t="s">
        <v>2787</v>
      </c>
      <c r="M118" t="s">
        <v>2786</v>
      </c>
      <c r="Y118" t="s">
        <v>780</v>
      </c>
      <c r="Z118" t="s">
        <v>2868</v>
      </c>
    </row>
    <row r="119" spans="1:26" x14ac:dyDescent="0.25">
      <c r="B119" s="374" t="s">
        <v>2679</v>
      </c>
      <c r="C119" s="374"/>
      <c r="D119" s="374"/>
      <c r="E119" s="147"/>
      <c r="G119" s="55" t="s">
        <v>966</v>
      </c>
      <c r="H119" t="s">
        <v>2811</v>
      </c>
      <c r="I119" t="s">
        <v>2399</v>
      </c>
      <c r="L119" t="s">
        <v>921</v>
      </c>
      <c r="M119" t="s">
        <v>905</v>
      </c>
      <c r="Y119" t="s">
        <v>792</v>
      </c>
      <c r="Z119" t="s">
        <v>2941</v>
      </c>
    </row>
    <row r="120" spans="1:26" x14ac:dyDescent="0.25">
      <c r="B120" s="84" t="s">
        <v>2680</v>
      </c>
      <c r="C120" s="86" t="s">
        <v>2681</v>
      </c>
      <c r="D120" s="85"/>
      <c r="E120" s="85"/>
      <c r="G120" s="55" t="s">
        <v>967</v>
      </c>
      <c r="H120" t="s">
        <v>2811</v>
      </c>
      <c r="I120" t="s">
        <v>2399</v>
      </c>
      <c r="L120" t="s">
        <v>2789</v>
      </c>
      <c r="M120" t="s">
        <v>2788</v>
      </c>
      <c r="Y120" t="s">
        <v>791</v>
      </c>
      <c r="Z120" t="s">
        <v>2940</v>
      </c>
    </row>
    <row r="121" spans="1:26" x14ac:dyDescent="0.25">
      <c r="B121" s="84"/>
      <c r="C121" s="86"/>
      <c r="D121" s="85"/>
      <c r="E121" s="85"/>
      <c r="G121" s="55" t="s">
        <v>968</v>
      </c>
      <c r="H121" t="s">
        <v>2811</v>
      </c>
      <c r="I121" t="s">
        <v>2399</v>
      </c>
      <c r="L121" t="s">
        <v>2791</v>
      </c>
      <c r="M121" t="s">
        <v>2790</v>
      </c>
      <c r="Y121" t="s">
        <v>828</v>
      </c>
      <c r="Z121" t="s">
        <v>2884</v>
      </c>
    </row>
    <row r="122" spans="1:26" x14ac:dyDescent="0.25">
      <c r="B122" s="84"/>
      <c r="C122" s="86"/>
      <c r="D122" s="85"/>
      <c r="E122" s="85"/>
      <c r="G122" s="55" t="s">
        <v>5981</v>
      </c>
      <c r="H122" t="s">
        <v>2811</v>
      </c>
      <c r="I122" t="s">
        <v>1146</v>
      </c>
      <c r="L122" t="s">
        <v>922</v>
      </c>
      <c r="M122" t="s">
        <v>2792</v>
      </c>
      <c r="Y122" t="s">
        <v>774</v>
      </c>
      <c r="Z122" t="s">
        <v>2862</v>
      </c>
    </row>
    <row r="123" spans="1:26" x14ac:dyDescent="0.25">
      <c r="A123" s="77"/>
      <c r="B123" s="179" t="s">
        <v>2682</v>
      </c>
      <c r="C123" s="179"/>
      <c r="D123" s="179"/>
      <c r="E123" s="179"/>
      <c r="H123" s="92"/>
      <c r="L123" t="s">
        <v>2794</v>
      </c>
      <c r="M123" t="s">
        <v>2793</v>
      </c>
      <c r="Y123" t="s">
        <v>737</v>
      </c>
      <c r="Z123" t="s">
        <v>2912</v>
      </c>
    </row>
    <row r="124" spans="1:26" x14ac:dyDescent="0.25">
      <c r="B124" s="373" t="s">
        <v>2683</v>
      </c>
      <c r="C124" s="373"/>
      <c r="D124" s="373"/>
      <c r="E124" s="161"/>
      <c r="H124" s="92"/>
      <c r="L124" t="s">
        <v>2796</v>
      </c>
      <c r="M124" t="s">
        <v>2795</v>
      </c>
      <c r="Y124" t="s">
        <v>835</v>
      </c>
      <c r="Z124" t="s">
        <v>2891</v>
      </c>
    </row>
    <row r="125" spans="1:26" x14ac:dyDescent="0.25">
      <c r="B125" s="85"/>
      <c r="C125" s="85"/>
      <c r="D125" s="85"/>
      <c r="E125" s="85"/>
      <c r="H125" s="92"/>
      <c r="L125" t="s">
        <v>2798</v>
      </c>
      <c r="M125" t="s">
        <v>2797</v>
      </c>
      <c r="Y125" t="s">
        <v>888</v>
      </c>
      <c r="Z125" t="s">
        <v>2988</v>
      </c>
    </row>
    <row r="126" spans="1:26" ht="25.5" customHeight="1" x14ac:dyDescent="0.25">
      <c r="A126" s="77" t="s">
        <v>2626</v>
      </c>
      <c r="B126" s="85"/>
      <c r="C126" s="85"/>
      <c r="D126" s="85"/>
      <c r="E126" s="85"/>
      <c r="H126" s="92"/>
      <c r="L126" t="s">
        <v>931</v>
      </c>
      <c r="M126" t="s">
        <v>2799</v>
      </c>
      <c r="Y126" t="s">
        <v>782</v>
      </c>
      <c r="Z126" t="s">
        <v>2870</v>
      </c>
    </row>
    <row r="127" spans="1:26" x14ac:dyDescent="0.25">
      <c r="B127" s="179" t="s">
        <v>2684</v>
      </c>
      <c r="C127" s="179"/>
      <c r="D127" s="179"/>
      <c r="E127" s="179"/>
      <c r="H127" s="92"/>
      <c r="L127" t="s">
        <v>2801</v>
      </c>
      <c r="M127" t="s">
        <v>2800</v>
      </c>
      <c r="Y127" t="s">
        <v>808</v>
      </c>
      <c r="Z127" t="s">
        <v>2957</v>
      </c>
    </row>
    <row r="128" spans="1:26" x14ac:dyDescent="0.25">
      <c r="B128" s="86" t="s">
        <v>2685</v>
      </c>
      <c r="C128" s="85" t="str">
        <f>TEXT(Recruitment!$L$115,"mm/dd/yyyy")</f>
        <v>Jour - Day/months/Année - Year</v>
      </c>
      <c r="D128" s="142" t="s">
        <v>2643</v>
      </c>
      <c r="E128" s="85"/>
      <c r="H128" s="92"/>
      <c r="L128" t="s">
        <v>2803</v>
      </c>
      <c r="M128" t="s">
        <v>2802</v>
      </c>
      <c r="Y128" t="s">
        <v>773</v>
      </c>
      <c r="Z128" t="s">
        <v>2861</v>
      </c>
    </row>
    <row r="129" spans="1:26" x14ac:dyDescent="0.25">
      <c r="B129" s="86" t="s">
        <v>2818</v>
      </c>
      <c r="C129" s="85" t="str">
        <f>$C$128</f>
        <v>Jour - Day/months/Année - Year</v>
      </c>
      <c r="D129" s="142" t="s">
        <v>2643</v>
      </c>
      <c r="H129" s="92"/>
      <c r="Y129" t="s">
        <v>840</v>
      </c>
      <c r="Z129" t="s">
        <v>2962</v>
      </c>
    </row>
    <row r="130" spans="1:26" ht="17.25" customHeight="1" x14ac:dyDescent="0.25">
      <c r="B130" s="86" t="s">
        <v>4164</v>
      </c>
      <c r="C130" s="85" t="str">
        <f>Recruitment!$D$116</f>
        <v>menu</v>
      </c>
      <c r="D130" s="142" t="s">
        <v>2643</v>
      </c>
      <c r="E130" s="85"/>
      <c r="H130" s="92"/>
      <c r="L130" t="s">
        <v>933</v>
      </c>
      <c r="M130" t="s">
        <v>2804</v>
      </c>
      <c r="Y130" t="s">
        <v>809</v>
      </c>
      <c r="Z130" t="s">
        <v>2871</v>
      </c>
    </row>
    <row r="131" spans="1:26" ht="35.25" customHeight="1" x14ac:dyDescent="0.25">
      <c r="A131" s="73" t="s">
        <v>2626</v>
      </c>
      <c r="B131" s="85"/>
      <c r="C131" s="85"/>
      <c r="D131" s="85"/>
      <c r="E131" s="85"/>
      <c r="H131" s="92"/>
      <c r="L131" t="s">
        <v>2806</v>
      </c>
      <c r="M131" t="s">
        <v>2805</v>
      </c>
      <c r="Y131" t="s">
        <v>841</v>
      </c>
      <c r="Z131" t="s">
        <v>2963</v>
      </c>
    </row>
    <row r="132" spans="1:26" x14ac:dyDescent="0.25">
      <c r="B132" s="179" t="s">
        <v>2686</v>
      </c>
      <c r="C132" s="179"/>
      <c r="D132" s="179"/>
      <c r="E132" s="179"/>
      <c r="H132" s="92"/>
      <c r="L132" t="s">
        <v>949</v>
      </c>
      <c r="M132" t="s">
        <v>2807</v>
      </c>
      <c r="Y132" t="s">
        <v>743</v>
      </c>
      <c r="Z132" t="s">
        <v>2918</v>
      </c>
    </row>
    <row r="133" spans="1:26" x14ac:dyDescent="0.25">
      <c r="B133" s="84" t="s">
        <v>2687</v>
      </c>
      <c r="C133" s="86" t="s">
        <v>2688</v>
      </c>
      <c r="D133" s="85"/>
      <c r="E133" s="85"/>
      <c r="H133" s="92"/>
      <c r="L133" t="s">
        <v>2809</v>
      </c>
      <c r="M133" t="s">
        <v>2808</v>
      </c>
      <c r="Y133" t="s">
        <v>744</v>
      </c>
      <c r="Z133" t="s">
        <v>2919</v>
      </c>
    </row>
    <row r="134" spans="1:26" x14ac:dyDescent="0.25">
      <c r="B134" s="179" t="s">
        <v>2689</v>
      </c>
      <c r="C134" s="179"/>
      <c r="D134" s="179"/>
      <c r="E134" s="179"/>
      <c r="Y134" t="s">
        <v>842</v>
      </c>
      <c r="Z134" t="s">
        <v>2964</v>
      </c>
    </row>
    <row r="135" spans="1:26" x14ac:dyDescent="0.25">
      <c r="B135" s="84" t="s">
        <v>2609</v>
      </c>
      <c r="C135" s="152" t="str">
        <f>'Data Entry'!C58</f>
        <v>Jour - Day/months/Année - Year</v>
      </c>
      <c r="D135" s="142" t="s">
        <v>2643</v>
      </c>
      <c r="E135" s="85"/>
      <c r="Y135" t="s">
        <v>844</v>
      </c>
      <c r="Z135" t="s">
        <v>2966</v>
      </c>
    </row>
    <row r="136" spans="1:26" x14ac:dyDescent="0.25">
      <c r="B136" s="84" t="s">
        <v>2690</v>
      </c>
      <c r="C136" s="86" t="s">
        <v>480</v>
      </c>
      <c r="D136" s="85"/>
      <c r="E136" s="85"/>
      <c r="Y136" t="s">
        <v>823</v>
      </c>
      <c r="Z136" t="s">
        <v>2880</v>
      </c>
    </row>
    <row r="137" spans="1:26" x14ac:dyDescent="0.25">
      <c r="B137" s="85"/>
      <c r="C137" s="85"/>
      <c r="D137" s="85"/>
      <c r="E137" s="85"/>
      <c r="Y137" t="s">
        <v>843</v>
      </c>
      <c r="Z137" t="s">
        <v>2965</v>
      </c>
    </row>
    <row r="138" spans="1:26" x14ac:dyDescent="0.25">
      <c r="B138" s="169" t="s">
        <v>2691</v>
      </c>
      <c r="C138" s="170"/>
      <c r="D138" s="170"/>
      <c r="E138" s="170"/>
      <c r="Y138" t="s">
        <v>845</v>
      </c>
      <c r="Z138" t="s">
        <v>2967</v>
      </c>
    </row>
    <row r="139" spans="1:26" x14ac:dyDescent="0.25">
      <c r="A139" s="73" t="s">
        <v>2626</v>
      </c>
      <c r="B139" s="168" t="s">
        <v>6720</v>
      </c>
      <c r="Y139" t="s">
        <v>753</v>
      </c>
      <c r="Z139" t="s">
        <v>2928</v>
      </c>
    </row>
    <row r="140" spans="1:26" x14ac:dyDescent="0.25">
      <c r="B140" s="147" t="s">
        <v>6721</v>
      </c>
      <c r="C140" s="84"/>
      <c r="D140" s="84"/>
      <c r="E140" s="84"/>
      <c r="Y140" t="s">
        <v>846</v>
      </c>
      <c r="Z140" t="s">
        <v>2968</v>
      </c>
    </row>
    <row r="141" spans="1:26" ht="20.25" customHeight="1" x14ac:dyDescent="0.25">
      <c r="B141" s="192" t="s">
        <v>2708</v>
      </c>
      <c r="C141" s="193"/>
      <c r="D141" s="193"/>
      <c r="E141" s="193"/>
      <c r="G141" s="55" t="s">
        <v>5981</v>
      </c>
      <c r="H141" s="74" t="s">
        <v>2994</v>
      </c>
      <c r="Y141" t="s">
        <v>752</v>
      </c>
      <c r="Z141" t="s">
        <v>2927</v>
      </c>
    </row>
    <row r="142" spans="1:26" x14ac:dyDescent="0.25">
      <c r="B142" s="84" t="s">
        <v>2609</v>
      </c>
      <c r="C142" s="143" t="str">
        <f>'Data Entry'!C58</f>
        <v>Jour - Day/months/Année - Year</v>
      </c>
      <c r="D142" s="84"/>
      <c r="E142" s="84"/>
      <c r="G142" s="55" t="s">
        <v>965</v>
      </c>
      <c r="H142" s="74" t="s">
        <v>2995</v>
      </c>
      <c r="Y142" t="s">
        <v>847</v>
      </c>
      <c r="Z142" t="s">
        <v>2969</v>
      </c>
    </row>
    <row r="143" spans="1:26" x14ac:dyDescent="0.25">
      <c r="B143" s="84" t="s">
        <v>2709</v>
      </c>
      <c r="C143" s="143" t="s">
        <v>3002</v>
      </c>
      <c r="D143" s="84"/>
      <c r="E143" s="84"/>
      <c r="G143" s="55" t="s">
        <v>5980</v>
      </c>
      <c r="H143" s="74" t="s">
        <v>2994</v>
      </c>
      <c r="Y143" t="s">
        <v>848</v>
      </c>
      <c r="Z143" t="s">
        <v>2970</v>
      </c>
    </row>
    <row r="144" spans="1:26" x14ac:dyDescent="0.25">
      <c r="B144" s="84" t="s">
        <v>2710</v>
      </c>
      <c r="C144" s="143" t="s">
        <v>5569</v>
      </c>
      <c r="D144" s="84"/>
      <c r="E144" s="84"/>
      <c r="G144" s="55" t="s">
        <v>2287</v>
      </c>
      <c r="H144" s="74" t="s">
        <v>2996</v>
      </c>
      <c r="Y144" t="s">
        <v>849</v>
      </c>
      <c r="Z144" t="s">
        <v>2971</v>
      </c>
    </row>
    <row r="145" spans="1:26" x14ac:dyDescent="0.25">
      <c r="B145" s="84" t="s">
        <v>2711</v>
      </c>
      <c r="C145" s="143" t="s">
        <v>1011</v>
      </c>
      <c r="D145" s="84"/>
      <c r="E145" s="84"/>
      <c r="G145" s="55" t="s">
        <v>966</v>
      </c>
      <c r="H145" s="74" t="s">
        <v>2997</v>
      </c>
      <c r="Y145" t="s">
        <v>850</v>
      </c>
      <c r="Z145" t="s">
        <v>2972</v>
      </c>
    </row>
    <row r="146" spans="1:26" ht="14.25" customHeight="1" x14ac:dyDescent="0.25">
      <c r="B146" s="169" t="s">
        <v>2691</v>
      </c>
      <c r="C146" s="170"/>
      <c r="D146" s="170"/>
      <c r="E146" s="170"/>
      <c r="G146" s="55" t="s">
        <v>967</v>
      </c>
      <c r="H146" s="74" t="s">
        <v>2998</v>
      </c>
      <c r="Y146" t="s">
        <v>866</v>
      </c>
      <c r="Z146" t="s">
        <v>2895</v>
      </c>
    </row>
    <row r="147" spans="1:26" ht="22.5" customHeight="1" x14ac:dyDescent="0.25">
      <c r="B147" s="375" t="s">
        <v>2692</v>
      </c>
      <c r="C147" s="375"/>
      <c r="D147" s="375"/>
      <c r="E147" s="171"/>
      <c r="G147" s="55" t="s">
        <v>968</v>
      </c>
      <c r="H147" s="74" t="s">
        <v>2999</v>
      </c>
      <c r="Y147" t="s">
        <v>708</v>
      </c>
      <c r="Z147" t="s">
        <v>2821</v>
      </c>
    </row>
    <row r="148" spans="1:26" x14ac:dyDescent="0.25">
      <c r="B148" s="376" t="s">
        <v>2693</v>
      </c>
      <c r="C148" s="376"/>
      <c r="D148" s="376"/>
      <c r="E148" s="138"/>
      <c r="Y148" t="s">
        <v>739</v>
      </c>
      <c r="Z148" t="s">
        <v>2914</v>
      </c>
    </row>
    <row r="149" spans="1:26" ht="24.75" customHeight="1" x14ac:dyDescent="0.25">
      <c r="A149" s="77" t="s">
        <v>2626</v>
      </c>
      <c r="B149" s="85"/>
      <c r="C149" s="85"/>
      <c r="D149" s="85"/>
      <c r="E149" s="85"/>
      <c r="Y149" t="s">
        <v>783</v>
      </c>
      <c r="Z149" t="s">
        <v>2932</v>
      </c>
    </row>
    <row r="150" spans="1:26" x14ac:dyDescent="0.25">
      <c r="B150" s="84" t="s">
        <v>2694</v>
      </c>
      <c r="C150" s="152" t="str">
        <f>'Data Entry'!C58</f>
        <v>Jour - Day/months/Année - Year</v>
      </c>
      <c r="D150" s="142" t="s">
        <v>2643</v>
      </c>
      <c r="E150" s="85"/>
      <c r="Y150" t="s">
        <v>875</v>
      </c>
      <c r="Z150" t="s">
        <v>2904</v>
      </c>
    </row>
    <row r="151" spans="1:26" x14ac:dyDescent="0.25">
      <c r="B151" s="84" t="s">
        <v>2695</v>
      </c>
      <c r="C151" s="288" t="str">
        <f>IFERROR($C$67-1,"Not Applicable")</f>
        <v>Not Applicable</v>
      </c>
      <c r="D151" s="84" t="s">
        <v>2648</v>
      </c>
      <c r="E151" s="147" t="e">
        <f>VLOOKUP(Recruitment!$D$110,LOV!$C$114:$D$116,2,FALSE)</f>
        <v>#N/A</v>
      </c>
      <c r="Y151" t="s">
        <v>831</v>
      </c>
      <c r="Z151" t="s">
        <v>2887</v>
      </c>
    </row>
    <row r="152" spans="1:26" ht="23.25" customHeight="1" x14ac:dyDescent="0.25">
      <c r="B152" s="84" t="s">
        <v>2696</v>
      </c>
      <c r="C152" s="86" t="str">
        <f>LEFT(Recruitment!D113,6)</f>
        <v>menu</v>
      </c>
      <c r="D152" s="84" t="s">
        <v>6554</v>
      </c>
      <c r="E152" s="85" t="s">
        <v>6555</v>
      </c>
      <c r="Y152" t="s">
        <v>864</v>
      </c>
      <c r="Z152" t="s">
        <v>2893</v>
      </c>
    </row>
    <row r="153" spans="1:26" x14ac:dyDescent="0.25">
      <c r="B153" s="84" t="s">
        <v>2697</v>
      </c>
      <c r="C153" s="86" t="s">
        <v>2819</v>
      </c>
      <c r="D153" s="85"/>
      <c r="E153" s="85"/>
      <c r="Y153" t="s">
        <v>814</v>
      </c>
      <c r="Z153" t="s">
        <v>2873</v>
      </c>
    </row>
    <row r="154" spans="1:26" x14ac:dyDescent="0.25">
      <c r="B154" s="84" t="s">
        <v>2698</v>
      </c>
      <c r="C154" s="86" t="e">
        <f>VLOOKUP(Recruitment!$D$119,'Data Entry'!A242:$C$567,2,FALSE)</f>
        <v>#N/A</v>
      </c>
      <c r="D154" s="297" t="e">
        <f>VLOOKUP($C$154,$B$242:$C$538,2,FALSE)</f>
        <v>#N/A</v>
      </c>
      <c r="E154" s="172"/>
      <c r="Y154" t="s">
        <v>834</v>
      </c>
      <c r="Z154" t="s">
        <v>2890</v>
      </c>
    </row>
    <row r="155" spans="1:26" ht="46.5" customHeight="1" x14ac:dyDescent="0.25">
      <c r="A155" s="73" t="s">
        <v>2626</v>
      </c>
      <c r="B155" s="301" t="s">
        <v>6556</v>
      </c>
      <c r="C155" s="86"/>
      <c r="D155" s="85"/>
      <c r="E155" s="85"/>
      <c r="Y155" t="s">
        <v>815</v>
      </c>
      <c r="Z155" t="s">
        <v>2874</v>
      </c>
    </row>
    <row r="156" spans="1:26" x14ac:dyDescent="0.25">
      <c r="B156" s="179" t="s">
        <v>2699</v>
      </c>
      <c r="C156" s="179"/>
      <c r="D156" s="179"/>
      <c r="E156" s="179"/>
      <c r="Y156" t="s">
        <v>755</v>
      </c>
      <c r="Z156" t="s">
        <v>2930</v>
      </c>
    </row>
    <row r="157" spans="1:26" x14ac:dyDescent="0.25">
      <c r="B157" s="173" t="s">
        <v>2609</v>
      </c>
      <c r="C157" s="152" t="str">
        <f>'Data Entry'!C58</f>
        <v>Jour - Day/months/Année - Year</v>
      </c>
      <c r="D157" s="142" t="s">
        <v>2643</v>
      </c>
      <c r="E157" s="85"/>
      <c r="Y157" t="s">
        <v>785</v>
      </c>
      <c r="Z157" t="s">
        <v>2934</v>
      </c>
    </row>
    <row r="158" spans="1:26" x14ac:dyDescent="0.25">
      <c r="B158" s="84" t="s">
        <v>2700</v>
      </c>
      <c r="C158" s="86" t="e">
        <f>VLOOKUP(Recruitment!$D$112,'Data Entry'!$G$141:$H$147,2,FALSE)</f>
        <v>#N/A</v>
      </c>
      <c r="D158" s="85"/>
      <c r="E158" s="85"/>
      <c r="G158" s="55" t="s">
        <v>5981</v>
      </c>
      <c r="H158" t="s">
        <v>3001</v>
      </c>
      <c r="I158" t="s">
        <v>3003</v>
      </c>
      <c r="Y158" t="s">
        <v>851</v>
      </c>
      <c r="Z158" t="s">
        <v>2973</v>
      </c>
    </row>
    <row r="159" spans="1:26" x14ac:dyDescent="0.25">
      <c r="B159" s="84" t="s">
        <v>6077</v>
      </c>
      <c r="C159" s="86" t="str">
        <f>IF(LEFT(Recruitment!D141,3)="Not","Not Applicable",LEFT(Recruitment!D141,3))</f>
        <v>men</v>
      </c>
      <c r="D159" s="154"/>
      <c r="E159" s="154"/>
      <c r="G159" s="55" t="s">
        <v>965</v>
      </c>
      <c r="H159" t="s">
        <v>3000</v>
      </c>
      <c r="I159" t="s">
        <v>3003</v>
      </c>
      <c r="Y159" t="s">
        <v>711</v>
      </c>
      <c r="Z159" t="s">
        <v>2824</v>
      </c>
    </row>
    <row r="160" spans="1:26" ht="24" customHeight="1" x14ac:dyDescent="0.25">
      <c r="A160" s="77" t="s">
        <v>2626</v>
      </c>
      <c r="B160" s="85"/>
      <c r="C160" s="85"/>
      <c r="D160" s="85"/>
      <c r="E160" s="85"/>
      <c r="G160" s="55" t="s">
        <v>5980</v>
      </c>
      <c r="H160" t="s">
        <v>3001</v>
      </c>
      <c r="I160" t="s">
        <v>3003</v>
      </c>
      <c r="Y160" t="s">
        <v>852</v>
      </c>
      <c r="Z160" t="s">
        <v>2974</v>
      </c>
    </row>
    <row r="161" spans="1:26" x14ac:dyDescent="0.25">
      <c r="B161" s="84" t="s">
        <v>2701</v>
      </c>
      <c r="C161" s="86" t="str">
        <f>IFERROR(IF("Oui - Yes"=Recruitment!D146,TEXT(Recruitment!L148,"mm/dd/yyyy"),"Not Applicable "),"Not Applicable ")</f>
        <v xml:space="preserve">Not Applicable </v>
      </c>
      <c r="D161" s="142" t="s">
        <v>2643</v>
      </c>
      <c r="E161" s="85"/>
      <c r="G161" s="55" t="s">
        <v>2287</v>
      </c>
      <c r="H161" t="s">
        <v>3001</v>
      </c>
      <c r="I161" t="s">
        <v>3004</v>
      </c>
      <c r="Y161" t="s">
        <v>853</v>
      </c>
      <c r="Z161" t="s">
        <v>2975</v>
      </c>
    </row>
    <row r="162" spans="1:26" x14ac:dyDescent="0.25">
      <c r="B162" s="85"/>
      <c r="C162" s="85"/>
      <c r="D162" s="85"/>
      <c r="E162" s="85"/>
      <c r="G162" s="55" t="s">
        <v>966</v>
      </c>
      <c r="H162" t="s">
        <v>3001</v>
      </c>
      <c r="I162" t="s">
        <v>3003</v>
      </c>
      <c r="Y162" t="s">
        <v>818</v>
      </c>
      <c r="Z162" t="s">
        <v>2876</v>
      </c>
    </row>
    <row r="163" spans="1:26" x14ac:dyDescent="0.25">
      <c r="B163" s="79" t="s">
        <v>2691</v>
      </c>
      <c r="C163" s="80"/>
      <c r="D163" s="80"/>
      <c r="E163" s="80"/>
      <c r="G163" s="55" t="s">
        <v>967</v>
      </c>
      <c r="H163" t="s">
        <v>3001</v>
      </c>
      <c r="I163" t="s">
        <v>3003</v>
      </c>
      <c r="Y163" t="s">
        <v>819</v>
      </c>
      <c r="Z163" t="s">
        <v>2877</v>
      </c>
    </row>
    <row r="164" spans="1:26" x14ac:dyDescent="0.25">
      <c r="A164" s="77" t="s">
        <v>2605</v>
      </c>
      <c r="B164" s="81" t="s">
        <v>2702</v>
      </c>
      <c r="C164" s="81"/>
      <c r="D164" s="81"/>
      <c r="E164" s="81"/>
      <c r="G164" s="55" t="s">
        <v>968</v>
      </c>
      <c r="H164" t="s">
        <v>3001</v>
      </c>
      <c r="I164" t="s">
        <v>3003</v>
      </c>
      <c r="Y164" t="s">
        <v>786</v>
      </c>
      <c r="Z164" t="s">
        <v>2935</v>
      </c>
    </row>
    <row r="165" spans="1:26" x14ac:dyDescent="0.25">
      <c r="B165" s="138" t="s">
        <v>2693</v>
      </c>
      <c r="C165" s="138"/>
      <c r="D165" s="138"/>
      <c r="E165" s="138"/>
      <c r="Y165" t="s">
        <v>817</v>
      </c>
      <c r="Z165" t="s">
        <v>2875</v>
      </c>
    </row>
    <row r="166" spans="1:26" x14ac:dyDescent="0.25">
      <c r="B166" s="179" t="s">
        <v>2703</v>
      </c>
      <c r="C166" s="179"/>
      <c r="D166" s="179"/>
      <c r="E166" s="179"/>
      <c r="Y166" t="s">
        <v>827</v>
      </c>
      <c r="Z166" t="s">
        <v>2883</v>
      </c>
    </row>
    <row r="167" spans="1:26" x14ac:dyDescent="0.25">
      <c r="B167" s="84" t="s">
        <v>2704</v>
      </c>
      <c r="C167" s="86" t="e">
        <f>VLOOKUP(Recruitment!$D$112,'Data Entry'!$G$158:$H$164,2,FALSE)</f>
        <v>#N/A</v>
      </c>
      <c r="D167" s="85"/>
      <c r="E167" s="85"/>
      <c r="Y167" t="s">
        <v>709</v>
      </c>
      <c r="Z167" t="s">
        <v>2822</v>
      </c>
    </row>
    <row r="168" spans="1:26" x14ac:dyDescent="0.25">
      <c r="B168" s="84" t="s">
        <v>2705</v>
      </c>
      <c r="C168" s="152" t="e">
        <f>IF($C$167="4N",$C$157,"Not Applicable")</f>
        <v>#N/A</v>
      </c>
      <c r="D168" s="142" t="e">
        <f>IF($C$168="Not Applicable"," ","(mm/dd/yyyy)")</f>
        <v>#N/A</v>
      </c>
      <c r="E168" s="85"/>
      <c r="G168" t="s">
        <v>3020</v>
      </c>
      <c r="H168" s="39" t="s">
        <v>1088</v>
      </c>
      <c r="Y168" t="s">
        <v>882</v>
      </c>
      <c r="Z168" t="s">
        <v>2986</v>
      </c>
    </row>
    <row r="169" spans="1:26" x14ac:dyDescent="0.25">
      <c r="B169" s="84" t="s">
        <v>2690</v>
      </c>
      <c r="C169" s="86" t="e">
        <f>IF($C$167="4N","MAR","Not Applicable")</f>
        <v>#N/A</v>
      </c>
      <c r="D169" s="85"/>
      <c r="E169" s="85"/>
      <c r="G169" t="s">
        <v>3021</v>
      </c>
      <c r="H169" s="39" t="s">
        <v>1098</v>
      </c>
      <c r="Y169" t="s">
        <v>821</v>
      </c>
      <c r="Z169" t="s">
        <v>2878</v>
      </c>
    </row>
    <row r="170" spans="1:26" x14ac:dyDescent="0.25">
      <c r="B170" s="84" t="s">
        <v>2706</v>
      </c>
      <c r="C170" s="86" t="e">
        <f>IF($C$167="4N","PPP","Not Applicable")</f>
        <v>#N/A</v>
      </c>
      <c r="D170" s="85"/>
      <c r="E170" s="85"/>
      <c r="G170" t="s">
        <v>3022</v>
      </c>
      <c r="H170" s="39" t="s">
        <v>1101</v>
      </c>
      <c r="Y170" t="s">
        <v>883</v>
      </c>
      <c r="Z170" t="s">
        <v>2987</v>
      </c>
    </row>
    <row r="171" spans="1:26" x14ac:dyDescent="0.25">
      <c r="B171" s="84"/>
      <c r="C171" s="86"/>
      <c r="D171" s="85"/>
      <c r="E171" s="85"/>
      <c r="G171" t="s">
        <v>3023</v>
      </c>
      <c r="H171" s="39" t="s">
        <v>1102</v>
      </c>
      <c r="Y171" t="s">
        <v>822</v>
      </c>
      <c r="Z171" t="s">
        <v>2879</v>
      </c>
    </row>
    <row r="172" spans="1:26" ht="15" customHeight="1" x14ac:dyDescent="0.25">
      <c r="B172" s="179" t="s">
        <v>3007</v>
      </c>
      <c r="C172" s="179"/>
      <c r="D172" s="179"/>
      <c r="E172" s="179"/>
      <c r="G172" t="s">
        <v>3024</v>
      </c>
      <c r="H172" s="39" t="s">
        <v>1105</v>
      </c>
      <c r="Y172" t="s">
        <v>890</v>
      </c>
      <c r="Z172" t="s">
        <v>2990</v>
      </c>
    </row>
    <row r="173" spans="1:26" x14ac:dyDescent="0.25">
      <c r="B173" s="83" t="s">
        <v>2703</v>
      </c>
      <c r="C173" s="83"/>
      <c r="D173" s="83"/>
      <c r="E173" s="83"/>
      <c r="G173" t="s">
        <v>3025</v>
      </c>
      <c r="H173" s="39" t="s">
        <v>1107</v>
      </c>
      <c r="Y173" t="s">
        <v>812</v>
      </c>
      <c r="Z173" t="s">
        <v>2872</v>
      </c>
    </row>
    <row r="174" spans="1:26" x14ac:dyDescent="0.25">
      <c r="B174" s="84" t="s">
        <v>2704</v>
      </c>
      <c r="C174" s="86" t="str">
        <f>IF(Recruitment!D143="Oui - Yes","5A","Not Applicable")</f>
        <v>Not Applicable</v>
      </c>
      <c r="D174" s="85"/>
      <c r="E174" s="85"/>
      <c r="G174" t="s">
        <v>3026</v>
      </c>
      <c r="H174" s="39" t="s">
        <v>1115</v>
      </c>
      <c r="Y174" t="s">
        <v>878</v>
      </c>
      <c r="Z174" t="s">
        <v>2993</v>
      </c>
    </row>
    <row r="175" spans="1:26" x14ac:dyDescent="0.25">
      <c r="B175" s="84" t="s">
        <v>2705</v>
      </c>
      <c r="C175" s="152" t="str">
        <f>IF($C$174="5A",$C$157,"Not Applicable")</f>
        <v>Not Applicable</v>
      </c>
      <c r="D175" s="142" t="str">
        <f>IF($C$174="Not Applicable"," ","(mm/dd/yyyy)")</f>
        <v xml:space="preserve"> </v>
      </c>
      <c r="E175" s="85"/>
      <c r="G175" t="s">
        <v>3027</v>
      </c>
      <c r="H175" s="39" t="s">
        <v>1109</v>
      </c>
      <c r="Y175" t="s">
        <v>3168</v>
      </c>
      <c r="Z175" t="s">
        <v>4165</v>
      </c>
    </row>
    <row r="176" spans="1:26" x14ac:dyDescent="0.25">
      <c r="B176" s="84" t="s">
        <v>3008</v>
      </c>
      <c r="C176" s="86" t="str">
        <f>IF($C$174="5A","Elect","Not Applicable")</f>
        <v>Not Applicable</v>
      </c>
      <c r="D176" s="85"/>
      <c r="E176" s="85"/>
      <c r="G176" t="s">
        <v>3028</v>
      </c>
      <c r="H176" s="39" t="s">
        <v>1103</v>
      </c>
      <c r="Y176" t="s">
        <v>3169</v>
      </c>
      <c r="Z176" t="s">
        <v>4166</v>
      </c>
    </row>
    <row r="177" spans="1:26" x14ac:dyDescent="0.25">
      <c r="B177" s="84" t="s">
        <v>2706</v>
      </c>
      <c r="C177" s="86" t="str">
        <f>IF($C$174="5A","MACAR","Not Applicable")</f>
        <v>Not Applicable</v>
      </c>
      <c r="D177" s="85"/>
      <c r="E177" s="85"/>
      <c r="G177" t="s">
        <v>3029</v>
      </c>
      <c r="H177" s="39" t="s">
        <v>1111</v>
      </c>
      <c r="Y177" t="s">
        <v>3170</v>
      </c>
      <c r="Z177" t="s">
        <v>4167</v>
      </c>
    </row>
    <row r="178" spans="1:26" x14ac:dyDescent="0.25">
      <c r="B178" s="84"/>
      <c r="C178" s="86"/>
      <c r="D178" s="85"/>
      <c r="E178" s="85"/>
      <c r="G178" t="s">
        <v>3030</v>
      </c>
      <c r="H178" s="39" t="s">
        <v>1090</v>
      </c>
      <c r="Y178" t="s">
        <v>3171</v>
      </c>
      <c r="Z178" t="s">
        <v>4168</v>
      </c>
    </row>
    <row r="179" spans="1:26" x14ac:dyDescent="0.25">
      <c r="A179" s="78"/>
      <c r="B179" s="79" t="s">
        <v>2691</v>
      </c>
      <c r="C179" s="80"/>
      <c r="D179" s="80"/>
      <c r="E179" s="80"/>
      <c r="G179" t="s">
        <v>3031</v>
      </c>
      <c r="H179" s="39" t="s">
        <v>1117</v>
      </c>
      <c r="Y179" t="s">
        <v>3172</v>
      </c>
      <c r="Z179" t="s">
        <v>4169</v>
      </c>
    </row>
    <row r="180" spans="1:26" x14ac:dyDescent="0.25">
      <c r="A180" s="89" t="s">
        <v>2605</v>
      </c>
      <c r="B180" s="81" t="s">
        <v>2707</v>
      </c>
      <c r="C180" s="82"/>
      <c r="D180" s="82"/>
      <c r="E180" s="82"/>
      <c r="G180" t="s">
        <v>3164</v>
      </c>
      <c r="H180" s="39" t="s">
        <v>1114</v>
      </c>
      <c r="Y180" t="s">
        <v>3194</v>
      </c>
      <c r="Z180" t="s">
        <v>2840</v>
      </c>
    </row>
    <row r="181" spans="1:26" ht="15" customHeight="1" x14ac:dyDescent="0.25">
      <c r="A181" s="78"/>
      <c r="B181" s="138" t="s">
        <v>2693</v>
      </c>
      <c r="C181" s="138"/>
      <c r="D181" s="138"/>
      <c r="E181" s="138"/>
      <c r="G181" t="s">
        <v>3033</v>
      </c>
      <c r="H181" s="130" t="s">
        <v>3165</v>
      </c>
      <c r="Y181" t="s">
        <v>3173</v>
      </c>
      <c r="Z181" t="s">
        <v>4170</v>
      </c>
    </row>
    <row r="182" spans="1:26" x14ac:dyDescent="0.25">
      <c r="A182" s="78"/>
      <c r="B182" s="179" t="s">
        <v>2708</v>
      </c>
      <c r="C182" s="179"/>
      <c r="D182" s="179"/>
      <c r="E182" s="179"/>
      <c r="G182" t="s">
        <v>3034</v>
      </c>
      <c r="H182" s="39" t="s">
        <v>1093</v>
      </c>
      <c r="Y182" t="s">
        <v>3195</v>
      </c>
      <c r="Z182" t="s">
        <v>4171</v>
      </c>
    </row>
    <row r="183" spans="1:26" x14ac:dyDescent="0.25">
      <c r="A183" s="78"/>
      <c r="B183" s="84" t="s">
        <v>2609</v>
      </c>
      <c r="C183" s="152" t="str">
        <f>'Data Entry'!C58</f>
        <v>Jour - Day/months/Année - Year</v>
      </c>
      <c r="D183" s="142" t="s">
        <v>2643</v>
      </c>
      <c r="E183" s="85"/>
      <c r="G183" t="s">
        <v>3035</v>
      </c>
      <c r="H183" s="39" t="s">
        <v>1092</v>
      </c>
      <c r="Y183" t="s">
        <v>3196</v>
      </c>
      <c r="Z183" t="s">
        <v>4172</v>
      </c>
    </row>
    <row r="184" spans="1:26" x14ac:dyDescent="0.25">
      <c r="A184" s="78"/>
      <c r="B184" s="84" t="s">
        <v>2709</v>
      </c>
      <c r="C184" s="86" t="s">
        <v>3002</v>
      </c>
      <c r="D184" s="85"/>
      <c r="E184" s="85"/>
      <c r="G184" t="s">
        <v>3036</v>
      </c>
      <c r="H184" s="39" t="s">
        <v>1089</v>
      </c>
      <c r="Y184" t="s">
        <v>3174</v>
      </c>
      <c r="Z184" t="s">
        <v>4173</v>
      </c>
    </row>
    <row r="185" spans="1:26" ht="25.5" customHeight="1" x14ac:dyDescent="0.25">
      <c r="A185" s="78"/>
      <c r="B185" s="84" t="s">
        <v>2710</v>
      </c>
      <c r="C185" s="86" t="e">
        <f>VLOOKUP(Recruitment!$D$112,'Data Entry'!$G$158:$I$164,3,FALSE)</f>
        <v>#N/A</v>
      </c>
      <c r="D185" s="85"/>
      <c r="E185" s="85"/>
      <c r="G185" t="s">
        <v>3037</v>
      </c>
      <c r="H185" s="39" t="s">
        <v>1087</v>
      </c>
      <c r="Y185" t="s">
        <v>3175</v>
      </c>
      <c r="Z185" t="s">
        <v>4174</v>
      </c>
    </row>
    <row r="186" spans="1:26" x14ac:dyDescent="0.25">
      <c r="A186" s="78"/>
      <c r="B186" s="84" t="s">
        <v>2711</v>
      </c>
      <c r="C186" s="86" t="s">
        <v>1011</v>
      </c>
      <c r="D186" s="85"/>
      <c r="E186" s="85"/>
      <c r="G186" t="s">
        <v>3038</v>
      </c>
      <c r="H186" s="39" t="s">
        <v>1097</v>
      </c>
      <c r="Y186" t="s">
        <v>3176</v>
      </c>
      <c r="Z186" t="s">
        <v>4175</v>
      </c>
    </row>
    <row r="187" spans="1:26" x14ac:dyDescent="0.25">
      <c r="A187" s="78"/>
      <c r="B187" s="84"/>
      <c r="C187" s="86"/>
      <c r="D187" s="85"/>
      <c r="E187" s="85"/>
      <c r="G187" t="s">
        <v>3039</v>
      </c>
      <c r="H187" s="39" t="s">
        <v>1116</v>
      </c>
      <c r="Y187" t="s">
        <v>3177</v>
      </c>
      <c r="Z187" t="s">
        <v>4176</v>
      </c>
    </row>
    <row r="188" spans="1:26" x14ac:dyDescent="0.25">
      <c r="A188" s="78"/>
      <c r="B188" s="79" t="s">
        <v>2691</v>
      </c>
      <c r="C188" s="80"/>
      <c r="D188" s="80"/>
      <c r="E188" s="80"/>
      <c r="G188" t="s">
        <v>3040</v>
      </c>
      <c r="H188" s="39" t="s">
        <v>1110</v>
      </c>
      <c r="Y188" t="s">
        <v>3178</v>
      </c>
      <c r="Z188" t="s">
        <v>4177</v>
      </c>
    </row>
    <row r="189" spans="1:26" x14ac:dyDescent="0.25">
      <c r="A189" s="89" t="s">
        <v>2605</v>
      </c>
      <c r="B189" s="87" t="s">
        <v>2712</v>
      </c>
      <c r="C189" s="187"/>
      <c r="D189" s="187"/>
      <c r="E189" s="187"/>
      <c r="G189" t="s">
        <v>3041</v>
      </c>
      <c r="H189" s="39" t="s">
        <v>1096</v>
      </c>
      <c r="Y189" t="s">
        <v>3179</v>
      </c>
      <c r="Z189" t="s">
        <v>4178</v>
      </c>
    </row>
    <row r="190" spans="1:26" x14ac:dyDescent="0.25">
      <c r="A190" s="78"/>
      <c r="B190" s="138" t="s">
        <v>2693</v>
      </c>
      <c r="C190" s="138"/>
      <c r="D190" s="138"/>
      <c r="E190" s="138"/>
      <c r="G190" t="s">
        <v>3042</v>
      </c>
      <c r="H190" s="39" t="s">
        <v>1095</v>
      </c>
      <c r="Y190" t="s">
        <v>3180</v>
      </c>
      <c r="Z190" t="s">
        <v>4179</v>
      </c>
    </row>
    <row r="191" spans="1:26" x14ac:dyDescent="0.25">
      <c r="A191" s="89" t="s">
        <v>2626</v>
      </c>
      <c r="B191" s="87"/>
      <c r="C191" s="87"/>
      <c r="D191" s="87"/>
      <c r="E191" s="87"/>
      <c r="G191" t="s">
        <v>3043</v>
      </c>
      <c r="H191" s="39" t="s">
        <v>1112</v>
      </c>
      <c r="Y191" t="s">
        <v>3181</v>
      </c>
      <c r="Z191" t="s">
        <v>4180</v>
      </c>
    </row>
    <row r="192" spans="1:26" x14ac:dyDescent="0.25">
      <c r="A192" s="89"/>
      <c r="B192" s="87"/>
      <c r="C192" s="87"/>
      <c r="D192" s="87"/>
      <c r="E192" s="87"/>
      <c r="G192" t="s">
        <v>3044</v>
      </c>
      <c r="H192" s="39" t="s">
        <v>1099</v>
      </c>
      <c r="Y192" t="s">
        <v>3197</v>
      </c>
      <c r="Z192" t="s">
        <v>2988</v>
      </c>
    </row>
    <row r="193" spans="1:26" x14ac:dyDescent="0.25">
      <c r="A193" s="78"/>
      <c r="B193" s="179" t="s">
        <v>135</v>
      </c>
      <c r="C193" s="179"/>
      <c r="D193" s="179"/>
      <c r="E193" s="179"/>
      <c r="G193" t="s">
        <v>3045</v>
      </c>
      <c r="H193" s="39" t="s">
        <v>1106</v>
      </c>
      <c r="Y193" t="s">
        <v>3198</v>
      </c>
      <c r="Z193" t="s">
        <v>4181</v>
      </c>
    </row>
    <row r="194" spans="1:26" x14ac:dyDescent="0.25">
      <c r="A194" s="78"/>
      <c r="B194" s="84" t="s">
        <v>2624</v>
      </c>
      <c r="C194" s="86" t="str">
        <f>VLOOKUP(Recruitment!$D$42,LOV!$G$1:$H$257,2,FALSE)</f>
        <v>menu</v>
      </c>
      <c r="D194" s="85"/>
      <c r="E194" s="85"/>
      <c r="G194" t="s">
        <v>1108</v>
      </c>
      <c r="H194" s="39" t="s">
        <v>1108</v>
      </c>
      <c r="Y194" t="s">
        <v>3182</v>
      </c>
      <c r="Z194" t="s">
        <v>4182</v>
      </c>
    </row>
    <row r="195" spans="1:26" x14ac:dyDescent="0.25">
      <c r="A195" s="78"/>
      <c r="B195" s="84" t="s">
        <v>2713</v>
      </c>
      <c r="C195" s="86" t="s">
        <v>3005</v>
      </c>
      <c r="D195" s="85"/>
      <c r="E195" s="85"/>
      <c r="G195" t="s">
        <v>3046</v>
      </c>
      <c r="H195" s="39" t="s">
        <v>1091</v>
      </c>
      <c r="Y195" t="s">
        <v>3183</v>
      </c>
      <c r="Z195" t="s">
        <v>4183</v>
      </c>
    </row>
    <row r="196" spans="1:26" x14ac:dyDescent="0.25">
      <c r="A196" s="78"/>
      <c r="B196" s="179" t="s">
        <v>2714</v>
      </c>
      <c r="C196" s="179" t="s">
        <v>135</v>
      </c>
      <c r="D196" s="179" t="s">
        <v>135</v>
      </c>
      <c r="E196" s="179"/>
      <c r="G196" t="s">
        <v>3047</v>
      </c>
      <c r="H196" s="39" t="s">
        <v>1100</v>
      </c>
    </row>
    <row r="197" spans="1:26" x14ac:dyDescent="0.25">
      <c r="A197" s="78"/>
      <c r="B197" s="84" t="s">
        <v>2715</v>
      </c>
      <c r="C197" s="88">
        <f>Recruitment!$D$43</f>
        <v>0</v>
      </c>
      <c r="D197" s="85"/>
      <c r="E197" s="85"/>
      <c r="G197" t="s">
        <v>1113</v>
      </c>
      <c r="H197" s="39" t="s">
        <v>1113</v>
      </c>
    </row>
    <row r="198" spans="1:26" x14ac:dyDescent="0.25">
      <c r="A198" s="78"/>
      <c r="B198" s="84" t="s">
        <v>2716</v>
      </c>
      <c r="C198" s="86" t="e">
        <f>Recruitment!$L$44</f>
        <v>#N/A</v>
      </c>
      <c r="D198" s="142" t="s">
        <v>2643</v>
      </c>
      <c r="E198" s="85"/>
      <c r="G198" t="s">
        <v>3048</v>
      </c>
      <c r="H198" s="39" t="s">
        <v>1094</v>
      </c>
    </row>
    <row r="199" spans="1:26" x14ac:dyDescent="0.25">
      <c r="A199" s="78"/>
      <c r="B199" s="84" t="s">
        <v>2717</v>
      </c>
      <c r="C199" s="86" t="e">
        <f>Recruitment!$L$45</f>
        <v>#N/A</v>
      </c>
      <c r="D199" s="142" t="s">
        <v>2643</v>
      </c>
      <c r="E199" s="85"/>
      <c r="G199" t="s">
        <v>3049</v>
      </c>
      <c r="H199" s="39" t="s">
        <v>1118</v>
      </c>
    </row>
    <row r="200" spans="1:26" x14ac:dyDescent="0.25">
      <c r="A200" s="78"/>
      <c r="B200" s="84" t="s">
        <v>2632</v>
      </c>
      <c r="C200" s="86">
        <f>Recruitment!$D$46</f>
        <v>0</v>
      </c>
      <c r="D200" s="85"/>
      <c r="E200" s="85"/>
      <c r="G200" t="s">
        <v>3050</v>
      </c>
      <c r="H200" s="39" t="s">
        <v>1104</v>
      </c>
    </row>
    <row r="201" spans="1:26" x14ac:dyDescent="0.25">
      <c r="A201" s="78"/>
      <c r="B201" s="84" t="s">
        <v>2718</v>
      </c>
      <c r="C201" s="86">
        <f>Recruitment!$D$47</f>
        <v>0</v>
      </c>
      <c r="D201" s="85"/>
      <c r="E201" s="85"/>
      <c r="G201" t="s">
        <v>3051</v>
      </c>
      <c r="H201" s="130" t="s">
        <v>3166</v>
      </c>
    </row>
    <row r="202" spans="1:26" ht="21" customHeight="1" x14ac:dyDescent="0.25">
      <c r="A202" s="89" t="s">
        <v>2626</v>
      </c>
      <c r="B202" s="85"/>
      <c r="C202" s="86"/>
      <c r="D202" s="85"/>
      <c r="E202" s="85"/>
    </row>
    <row r="203" spans="1:26" x14ac:dyDescent="0.25">
      <c r="A203" s="78"/>
      <c r="B203" s="179" t="s">
        <v>2719</v>
      </c>
      <c r="C203" s="179"/>
      <c r="D203" s="179"/>
      <c r="E203" s="179"/>
    </row>
    <row r="204" spans="1:26" ht="15" customHeight="1" x14ac:dyDescent="0.25">
      <c r="A204" s="78"/>
      <c r="B204" s="84" t="s">
        <v>2624</v>
      </c>
      <c r="C204" s="86" t="s">
        <v>480</v>
      </c>
      <c r="D204" s="85"/>
      <c r="E204" s="85"/>
    </row>
    <row r="205" spans="1:26" x14ac:dyDescent="0.25">
      <c r="A205" s="78"/>
      <c r="B205" s="84" t="s">
        <v>2625</v>
      </c>
      <c r="C205" s="86" t="str">
        <f>VLOOKUP(Recruitment!$D$49,Table3[],2,0)</f>
        <v>menu</v>
      </c>
      <c r="D205" s="85"/>
      <c r="E205" s="85"/>
      <c r="H205" t="s">
        <v>6729</v>
      </c>
      <c r="I205" t="s">
        <v>6730</v>
      </c>
    </row>
    <row r="206" spans="1:26" x14ac:dyDescent="0.25">
      <c r="A206" s="78"/>
      <c r="B206" s="84" t="s">
        <v>2628</v>
      </c>
      <c r="C206" s="86" t="str">
        <f>VLOOKUP(Recruitment!$D$50,$H$216:$I$219,2,FALSE)</f>
        <v>menu</v>
      </c>
      <c r="D206" s="85"/>
      <c r="E206" s="85"/>
      <c r="H206" t="s">
        <v>136</v>
      </c>
      <c r="I206" t="s">
        <v>136</v>
      </c>
    </row>
    <row r="207" spans="1:26" x14ac:dyDescent="0.25">
      <c r="A207" s="78"/>
      <c r="B207" s="84" t="s">
        <v>6750</v>
      </c>
      <c r="C207" s="86">
        <f>Recruitment!$D$51</f>
        <v>0</v>
      </c>
      <c r="D207" s="85"/>
      <c r="E207" s="85"/>
    </row>
    <row r="208" spans="1:26" x14ac:dyDescent="0.25">
      <c r="A208" s="78"/>
      <c r="B208" s="84" t="s">
        <v>2720</v>
      </c>
      <c r="C208" s="86" t="e">
        <f>Recruitment!$L$52</f>
        <v>#N/A</v>
      </c>
      <c r="D208" s="142" t="s">
        <v>2643</v>
      </c>
      <c r="E208" s="85"/>
      <c r="H208" t="s">
        <v>1077</v>
      </c>
      <c r="I208" t="s">
        <v>6732</v>
      </c>
    </row>
    <row r="209" spans="1:9" x14ac:dyDescent="0.25">
      <c r="A209" s="78"/>
      <c r="B209" s="84" t="s">
        <v>2717</v>
      </c>
      <c r="C209" s="86" t="e">
        <f>Recruitment!$L$53</f>
        <v>#N/A</v>
      </c>
      <c r="D209" s="142" t="s">
        <v>2643</v>
      </c>
      <c r="E209" s="85"/>
      <c r="H209" t="s">
        <v>1078</v>
      </c>
      <c r="I209" t="s">
        <v>6732</v>
      </c>
    </row>
    <row r="210" spans="1:9" x14ac:dyDescent="0.25">
      <c r="A210" s="78"/>
      <c r="B210" s="84" t="s">
        <v>2721</v>
      </c>
      <c r="C210" s="86">
        <f>Recruitment!$D$54</f>
        <v>0</v>
      </c>
      <c r="D210" s="85"/>
      <c r="E210" s="85"/>
      <c r="H210" t="s">
        <v>1079</v>
      </c>
      <c r="I210" t="s">
        <v>6732</v>
      </c>
    </row>
    <row r="211" spans="1:9" x14ac:dyDescent="0.25">
      <c r="A211" s="78"/>
      <c r="B211" s="84" t="s">
        <v>2722</v>
      </c>
      <c r="C211" s="86">
        <f>Recruitment!$D$55</f>
        <v>0</v>
      </c>
      <c r="D211" s="85"/>
      <c r="E211" s="85"/>
      <c r="H211" t="s">
        <v>1080</v>
      </c>
      <c r="I211" t="s">
        <v>6733</v>
      </c>
    </row>
    <row r="212" spans="1:9" x14ac:dyDescent="0.25">
      <c r="A212" s="78"/>
      <c r="B212" s="79" t="s">
        <v>2691</v>
      </c>
      <c r="C212" s="80"/>
      <c r="D212" s="80"/>
      <c r="E212" s="80"/>
      <c r="H212" t="s">
        <v>1081</v>
      </c>
      <c r="I212" t="s">
        <v>6733</v>
      </c>
    </row>
    <row r="213" spans="1:9" x14ac:dyDescent="0.25">
      <c r="A213" s="89" t="s">
        <v>2605</v>
      </c>
      <c r="B213" s="87" t="s">
        <v>3009</v>
      </c>
      <c r="C213" s="187"/>
      <c r="D213" s="187"/>
      <c r="E213" s="187"/>
      <c r="H213" t="s">
        <v>1082</v>
      </c>
      <c r="I213" t="s">
        <v>6733</v>
      </c>
    </row>
    <row r="214" spans="1:9" x14ac:dyDescent="0.25">
      <c r="A214" s="78"/>
      <c r="B214" s="138" t="s">
        <v>2693</v>
      </c>
      <c r="C214" s="138"/>
      <c r="D214" s="138"/>
      <c r="E214" s="138"/>
    </row>
    <row r="215" spans="1:9" x14ac:dyDescent="0.25">
      <c r="A215" s="89" t="s">
        <v>2626</v>
      </c>
      <c r="B215" s="179" t="s">
        <v>3010</v>
      </c>
      <c r="C215" s="179"/>
      <c r="D215" s="179"/>
      <c r="E215" s="179"/>
      <c r="H215" s="326" t="s">
        <v>6729</v>
      </c>
      <c r="I215" s="327" t="s">
        <v>6730</v>
      </c>
    </row>
    <row r="216" spans="1:9" x14ac:dyDescent="0.25">
      <c r="B216" s="84" t="s">
        <v>3011</v>
      </c>
      <c r="C216" s="152" t="str">
        <f>Recruitment!$D$73</f>
        <v>Zineb Hamdoun</v>
      </c>
      <c r="D216" s="142"/>
      <c r="E216" s="85"/>
      <c r="H216" s="328" t="s">
        <v>136</v>
      </c>
      <c r="I216" s="329" t="s">
        <v>136</v>
      </c>
    </row>
    <row r="217" spans="1:9" x14ac:dyDescent="0.25">
      <c r="B217" s="84" t="s">
        <v>3012</v>
      </c>
      <c r="C217" s="86" t="str">
        <f>IFERROR(VLOOKUP(Recruitment!$D$74,'Data Entry'!$G$168:$H$201,2,FALSE),"menu")</f>
        <v>Friend</v>
      </c>
      <c r="D217" s="85"/>
      <c r="E217" s="85"/>
      <c r="H217" s="328" t="s">
        <v>1083</v>
      </c>
      <c r="I217" s="329" t="s">
        <v>1074</v>
      </c>
    </row>
    <row r="218" spans="1:9" x14ac:dyDescent="0.25">
      <c r="B218" s="84" t="s">
        <v>3013</v>
      </c>
      <c r="C218" s="86" t="str">
        <f>"+212"&amp;Recruitment!D75</f>
        <v>+212663053207</v>
      </c>
      <c r="D218" s="85"/>
      <c r="E218" s="85"/>
      <c r="H218" s="330" t="s">
        <v>1084</v>
      </c>
      <c r="I218" s="331" t="s">
        <v>3006</v>
      </c>
    </row>
    <row r="219" spans="1:9" x14ac:dyDescent="0.25">
      <c r="B219" s="84"/>
      <c r="C219" s="86"/>
      <c r="D219" s="85"/>
      <c r="E219" s="85"/>
      <c r="H219" s="328" t="s">
        <v>1085</v>
      </c>
      <c r="I219" s="329" t="s">
        <v>1075</v>
      </c>
    </row>
    <row r="220" spans="1:9" x14ac:dyDescent="0.25">
      <c r="B220" s="79" t="s">
        <v>2691</v>
      </c>
      <c r="C220" s="80"/>
      <c r="D220" s="80"/>
      <c r="E220" s="80"/>
    </row>
    <row r="221" spans="1:9" x14ac:dyDescent="0.25">
      <c r="A221" s="73" t="s">
        <v>2723</v>
      </c>
      <c r="B221" s="139" t="s">
        <v>2724</v>
      </c>
      <c r="C221" s="82"/>
      <c r="D221" s="82"/>
    </row>
    <row r="227" spans="2:3" hidden="1" x14ac:dyDescent="0.25">
      <c r="B227" s="73" t="str">
        <f>Recruitment!E128</f>
        <v>menu</v>
      </c>
    </row>
    <row r="228" spans="2:3" ht="15.75" hidden="1" x14ac:dyDescent="0.25">
      <c r="B228" s="205" t="s">
        <v>5611</v>
      </c>
      <c r="C228" s="206" t="s">
        <v>5598</v>
      </c>
    </row>
    <row r="229" spans="2:3" ht="15.75" hidden="1" x14ac:dyDescent="0.25">
      <c r="B229" s="205" t="s">
        <v>5610</v>
      </c>
      <c r="C229" s="206" t="s">
        <v>5599</v>
      </c>
    </row>
    <row r="230" spans="2:3" ht="15.75" hidden="1" x14ac:dyDescent="0.25">
      <c r="B230" s="205" t="s">
        <v>5612</v>
      </c>
      <c r="C230" s="206" t="s">
        <v>5600</v>
      </c>
    </row>
    <row r="231" spans="2:3" ht="15.75" hidden="1" x14ac:dyDescent="0.25">
      <c r="B231" s="205" t="s">
        <v>5613</v>
      </c>
      <c r="C231" s="206" t="s">
        <v>5601</v>
      </c>
    </row>
    <row r="232" spans="2:3" ht="15.75" hidden="1" x14ac:dyDescent="0.25">
      <c r="B232" s="205" t="s">
        <v>5614</v>
      </c>
      <c r="C232" s="206" t="s">
        <v>5602</v>
      </c>
    </row>
    <row r="233" spans="2:3" ht="15.75" hidden="1" x14ac:dyDescent="0.25">
      <c r="B233" s="205" t="s">
        <v>5615</v>
      </c>
      <c r="C233" s="206" t="s">
        <v>5603</v>
      </c>
    </row>
    <row r="234" spans="2:3" ht="15.75" hidden="1" x14ac:dyDescent="0.25">
      <c r="B234" s="205" t="s">
        <v>5616</v>
      </c>
      <c r="C234" s="206" t="s">
        <v>5604</v>
      </c>
    </row>
    <row r="235" spans="2:3" ht="15.75" hidden="1" x14ac:dyDescent="0.25">
      <c r="B235" s="205" t="s">
        <v>5617</v>
      </c>
      <c r="C235" s="206" t="s">
        <v>5605</v>
      </c>
    </row>
    <row r="236" spans="2:3" ht="15.75" hidden="1" x14ac:dyDescent="0.25">
      <c r="B236" s="205" t="s">
        <v>5609</v>
      </c>
      <c r="C236" s="206" t="s">
        <v>5606</v>
      </c>
    </row>
    <row r="237" spans="2:3" ht="15.75" hidden="1" x14ac:dyDescent="0.25">
      <c r="B237" s="205" t="s">
        <v>5607</v>
      </c>
      <c r="C237" s="206" t="s">
        <v>2766</v>
      </c>
    </row>
    <row r="241" spans="1:3" hidden="1" x14ac:dyDescent="0.25">
      <c r="A241" s="219" t="s">
        <v>136</v>
      </c>
      <c r="B241" s="220"/>
      <c r="C241" s="220"/>
    </row>
    <row r="242" spans="1:3" hidden="1" x14ac:dyDescent="0.25">
      <c r="A242" s="221" t="s">
        <v>732</v>
      </c>
      <c r="B242" s="222" t="s">
        <v>2907</v>
      </c>
      <c r="C242" s="221" t="s">
        <v>732</v>
      </c>
    </row>
    <row r="243" spans="1:3" hidden="1" x14ac:dyDescent="0.25">
      <c r="A243" s="223" t="s">
        <v>5855</v>
      </c>
      <c r="B243" s="224" t="s">
        <v>5856</v>
      </c>
      <c r="C243" s="223" t="s">
        <v>5855</v>
      </c>
    </row>
    <row r="244" spans="1:3" hidden="1" x14ac:dyDescent="0.25">
      <c r="A244" s="224" t="s">
        <v>5641</v>
      </c>
      <c r="B244" s="224" t="s">
        <v>5857</v>
      </c>
      <c r="C244" s="224" t="s">
        <v>5641</v>
      </c>
    </row>
    <row r="245" spans="1:3" hidden="1" x14ac:dyDescent="0.25">
      <c r="A245" s="224" t="s">
        <v>5790</v>
      </c>
      <c r="B245" s="224" t="s">
        <v>5858</v>
      </c>
      <c r="C245" s="224" t="s">
        <v>5790</v>
      </c>
    </row>
    <row r="246" spans="1:3" ht="60" hidden="1" x14ac:dyDescent="0.25">
      <c r="A246" s="225" t="s">
        <v>5701</v>
      </c>
      <c r="B246" s="224" t="s">
        <v>5859</v>
      </c>
      <c r="C246" s="225" t="s">
        <v>5701</v>
      </c>
    </row>
    <row r="247" spans="1:3" hidden="1" x14ac:dyDescent="0.25">
      <c r="A247" s="226" t="s">
        <v>5705</v>
      </c>
      <c r="B247" s="224" t="s">
        <v>5860</v>
      </c>
      <c r="C247" s="226" t="s">
        <v>5705</v>
      </c>
    </row>
    <row r="248" spans="1:3" hidden="1" x14ac:dyDescent="0.25">
      <c r="A248" s="226" t="s">
        <v>5709</v>
      </c>
      <c r="B248" s="224" t="s">
        <v>5861</v>
      </c>
      <c r="C248" s="226" t="s">
        <v>5709</v>
      </c>
    </row>
    <row r="249" spans="1:3" ht="60" hidden="1" x14ac:dyDescent="0.25">
      <c r="A249" s="225" t="s">
        <v>5713</v>
      </c>
      <c r="B249" s="224" t="s">
        <v>5862</v>
      </c>
      <c r="C249" s="225" t="s">
        <v>5713</v>
      </c>
    </row>
    <row r="250" spans="1:3" hidden="1" x14ac:dyDescent="0.25">
      <c r="A250" s="224" t="s">
        <v>5645</v>
      </c>
      <c r="B250" s="223" t="s">
        <v>5863</v>
      </c>
      <c r="C250" s="224" t="s">
        <v>5645</v>
      </c>
    </row>
    <row r="251" spans="1:3" hidden="1" x14ac:dyDescent="0.25">
      <c r="A251" s="224" t="s">
        <v>5792</v>
      </c>
      <c r="B251" s="224" t="s">
        <v>5864</v>
      </c>
      <c r="C251" s="224" t="s">
        <v>5792</v>
      </c>
    </row>
    <row r="252" spans="1:3" hidden="1" x14ac:dyDescent="0.25">
      <c r="A252" s="223" t="s">
        <v>5865</v>
      </c>
      <c r="B252" s="224" t="s">
        <v>2884</v>
      </c>
      <c r="C252" s="223" t="s">
        <v>5865</v>
      </c>
    </row>
    <row r="253" spans="1:3" ht="75" hidden="1" x14ac:dyDescent="0.25">
      <c r="A253" s="227" t="s">
        <v>5808</v>
      </c>
      <c r="B253" s="224" t="s">
        <v>5866</v>
      </c>
      <c r="C253" s="227" t="s">
        <v>5808</v>
      </c>
    </row>
    <row r="254" spans="1:3" hidden="1" x14ac:dyDescent="0.25">
      <c r="A254" s="224" t="s">
        <v>5649</v>
      </c>
      <c r="B254" s="224" t="s">
        <v>5867</v>
      </c>
      <c r="C254" s="224" t="s">
        <v>5649</v>
      </c>
    </row>
    <row r="255" spans="1:3" hidden="1" x14ac:dyDescent="0.25">
      <c r="A255" s="224" t="s">
        <v>5653</v>
      </c>
      <c r="B255" s="223" t="s">
        <v>5868</v>
      </c>
      <c r="C255" s="224" t="s">
        <v>5653</v>
      </c>
    </row>
    <row r="256" spans="1:3" hidden="1" x14ac:dyDescent="0.25">
      <c r="A256" s="228" t="s">
        <v>5697</v>
      </c>
      <c r="B256" s="224" t="s">
        <v>5869</v>
      </c>
      <c r="C256" s="228" t="s">
        <v>5697</v>
      </c>
    </row>
    <row r="257" spans="1:3" ht="105" hidden="1" x14ac:dyDescent="0.25">
      <c r="A257" s="227" t="s">
        <v>5870</v>
      </c>
      <c r="B257" s="224" t="s">
        <v>2940</v>
      </c>
      <c r="C257" s="227" t="s">
        <v>5870</v>
      </c>
    </row>
    <row r="258" spans="1:3" hidden="1" x14ac:dyDescent="0.25">
      <c r="A258" s="226" t="s">
        <v>5657</v>
      </c>
      <c r="B258" s="224" t="s">
        <v>5871</v>
      </c>
      <c r="C258" s="226" t="s">
        <v>5657</v>
      </c>
    </row>
    <row r="259" spans="1:3" ht="105" hidden="1" x14ac:dyDescent="0.25">
      <c r="A259" s="227" t="s">
        <v>5661</v>
      </c>
      <c r="B259" s="224" t="s">
        <v>5872</v>
      </c>
      <c r="C259" s="227" t="s">
        <v>5661</v>
      </c>
    </row>
    <row r="260" spans="1:3" hidden="1" x14ac:dyDescent="0.25">
      <c r="A260" s="224" t="s">
        <v>5873</v>
      </c>
      <c r="B260" s="224" t="s">
        <v>2905</v>
      </c>
      <c r="C260" s="224" t="s">
        <v>5873</v>
      </c>
    </row>
    <row r="261" spans="1:3" hidden="1" x14ac:dyDescent="0.25">
      <c r="A261" s="228" t="s">
        <v>5775</v>
      </c>
      <c r="B261" s="224" t="s">
        <v>5874</v>
      </c>
      <c r="C261" s="228" t="s">
        <v>5775</v>
      </c>
    </row>
    <row r="262" spans="1:3" hidden="1" x14ac:dyDescent="0.25">
      <c r="A262" s="228" t="s">
        <v>5620</v>
      </c>
      <c r="B262" s="224" t="s">
        <v>5875</v>
      </c>
      <c r="C262" s="228" t="s">
        <v>5620</v>
      </c>
    </row>
    <row r="263" spans="1:3" hidden="1" x14ac:dyDescent="0.25">
      <c r="A263" s="228" t="s">
        <v>5812</v>
      </c>
      <c r="B263" s="224" t="s">
        <v>5876</v>
      </c>
      <c r="C263" s="228" t="s">
        <v>5812</v>
      </c>
    </row>
    <row r="264" spans="1:3" ht="75" hidden="1" x14ac:dyDescent="0.25">
      <c r="A264" s="227" t="s">
        <v>5816</v>
      </c>
      <c r="B264" s="224" t="s">
        <v>5877</v>
      </c>
      <c r="C264" s="227" t="s">
        <v>5816</v>
      </c>
    </row>
    <row r="265" spans="1:3" ht="60" hidden="1" x14ac:dyDescent="0.25">
      <c r="A265" s="227" t="s">
        <v>5779</v>
      </c>
      <c r="B265" s="224" t="s">
        <v>5878</v>
      </c>
      <c r="C265" s="227" t="s">
        <v>5779</v>
      </c>
    </row>
    <row r="266" spans="1:3" ht="60" hidden="1" x14ac:dyDescent="0.25">
      <c r="A266" s="229" t="s">
        <v>5732</v>
      </c>
      <c r="B266" s="224" t="s">
        <v>5879</v>
      </c>
      <c r="C266" s="229" t="s">
        <v>5732</v>
      </c>
    </row>
    <row r="267" spans="1:3" ht="105" hidden="1" x14ac:dyDescent="0.25">
      <c r="A267" s="229" t="s">
        <v>5736</v>
      </c>
      <c r="B267" s="224" t="s">
        <v>5880</v>
      </c>
      <c r="C267" s="229" t="s">
        <v>5736</v>
      </c>
    </row>
    <row r="268" spans="1:3" ht="105" hidden="1" x14ac:dyDescent="0.25">
      <c r="A268" s="229" t="s">
        <v>5740</v>
      </c>
      <c r="B268" s="224" t="s">
        <v>5881</v>
      </c>
      <c r="C268" s="229" t="s">
        <v>5740</v>
      </c>
    </row>
    <row r="269" spans="1:3" hidden="1" x14ac:dyDescent="0.25">
      <c r="A269" s="228" t="s">
        <v>5835</v>
      </c>
      <c r="B269" s="224" t="s">
        <v>5882</v>
      </c>
      <c r="C269" s="228" t="s">
        <v>5835</v>
      </c>
    </row>
    <row r="270" spans="1:3" ht="60" hidden="1" x14ac:dyDescent="0.25">
      <c r="A270" s="227" t="s">
        <v>5820</v>
      </c>
      <c r="B270" s="224" t="s">
        <v>5883</v>
      </c>
      <c r="C270" s="227" t="s">
        <v>5820</v>
      </c>
    </row>
    <row r="271" spans="1:3" hidden="1" x14ac:dyDescent="0.25">
      <c r="A271" s="226" t="s">
        <v>5669</v>
      </c>
      <c r="B271" s="224" t="s">
        <v>5884</v>
      </c>
      <c r="C271" s="226" t="s">
        <v>5669</v>
      </c>
    </row>
    <row r="272" spans="1:3" hidden="1" x14ac:dyDescent="0.25">
      <c r="A272" s="226" t="s">
        <v>5794</v>
      </c>
      <c r="B272" s="224" t="s">
        <v>5885</v>
      </c>
      <c r="C272" s="226" t="s">
        <v>5794</v>
      </c>
    </row>
    <row r="273" spans="1:3" hidden="1" x14ac:dyDescent="0.25">
      <c r="A273" s="230" t="s">
        <v>5886</v>
      </c>
      <c r="B273" s="224" t="s">
        <v>2850</v>
      </c>
      <c r="C273" s="230" t="s">
        <v>5886</v>
      </c>
    </row>
    <row r="274" spans="1:3" hidden="1" x14ac:dyDescent="0.25">
      <c r="A274" s="230" t="s">
        <v>5887</v>
      </c>
      <c r="B274" s="224" t="s">
        <v>2833</v>
      </c>
      <c r="C274" s="230" t="s">
        <v>5887</v>
      </c>
    </row>
    <row r="275" spans="1:3" hidden="1" x14ac:dyDescent="0.25">
      <c r="A275" s="230" t="s">
        <v>5888</v>
      </c>
      <c r="B275" s="224" t="s">
        <v>2835</v>
      </c>
      <c r="C275" s="230" t="s">
        <v>5888</v>
      </c>
    </row>
    <row r="276" spans="1:3" hidden="1" x14ac:dyDescent="0.25">
      <c r="A276" s="224" t="s">
        <v>5673</v>
      </c>
      <c r="B276" s="224" t="s">
        <v>5889</v>
      </c>
      <c r="C276" s="224" t="s">
        <v>5673</v>
      </c>
    </row>
    <row r="277" spans="1:3" hidden="1" x14ac:dyDescent="0.25">
      <c r="A277" s="224" t="s">
        <v>5677</v>
      </c>
      <c r="B277" s="223" t="s">
        <v>5890</v>
      </c>
      <c r="C277" s="224" t="s">
        <v>5677</v>
      </c>
    </row>
    <row r="278" spans="1:3" hidden="1" x14ac:dyDescent="0.25">
      <c r="A278" s="226" t="s">
        <v>5681</v>
      </c>
      <c r="B278" s="224" t="s">
        <v>5891</v>
      </c>
      <c r="C278" s="226" t="s">
        <v>5681</v>
      </c>
    </row>
    <row r="279" spans="1:3" hidden="1" x14ac:dyDescent="0.25">
      <c r="A279" s="230" t="s">
        <v>5892</v>
      </c>
      <c r="B279" s="224" t="s">
        <v>2898</v>
      </c>
      <c r="C279" s="230" t="s">
        <v>5892</v>
      </c>
    </row>
    <row r="280" spans="1:3" hidden="1" x14ac:dyDescent="0.25">
      <c r="A280" s="230" t="s">
        <v>5796</v>
      </c>
      <c r="B280" s="224" t="s">
        <v>5893</v>
      </c>
      <c r="C280" s="230" t="s">
        <v>5796</v>
      </c>
    </row>
    <row r="281" spans="1:3" ht="90" hidden="1" x14ac:dyDescent="0.25">
      <c r="A281" s="221" t="s">
        <v>5724</v>
      </c>
      <c r="B281" s="224" t="s">
        <v>5894</v>
      </c>
      <c r="C281" s="221" t="s">
        <v>5724</v>
      </c>
    </row>
    <row r="282" spans="1:3" hidden="1" x14ac:dyDescent="0.25">
      <c r="A282" s="230" t="s">
        <v>5798</v>
      </c>
      <c r="B282" s="224" t="s">
        <v>5895</v>
      </c>
      <c r="C282" s="230" t="s">
        <v>5798</v>
      </c>
    </row>
    <row r="283" spans="1:3" hidden="1" x14ac:dyDescent="0.25">
      <c r="A283" s="224" t="s">
        <v>5896</v>
      </c>
      <c r="B283" s="224" t="s">
        <v>2993</v>
      </c>
      <c r="C283" s="224" t="s">
        <v>5896</v>
      </c>
    </row>
    <row r="284" spans="1:3" ht="60" hidden="1" x14ac:dyDescent="0.25">
      <c r="A284" s="229" t="s">
        <v>5744</v>
      </c>
      <c r="B284" s="224" t="s">
        <v>5897</v>
      </c>
      <c r="C284" s="229" t="s">
        <v>5744</v>
      </c>
    </row>
    <row r="285" spans="1:3" ht="105" hidden="1" x14ac:dyDescent="0.25">
      <c r="A285" s="229" t="s">
        <v>5748</v>
      </c>
      <c r="B285" s="224" t="s">
        <v>5898</v>
      </c>
      <c r="C285" s="229" t="s">
        <v>5748</v>
      </c>
    </row>
    <row r="286" spans="1:3" ht="105" hidden="1" x14ac:dyDescent="0.25">
      <c r="A286" s="229" t="s">
        <v>5752</v>
      </c>
      <c r="B286" s="224" t="s">
        <v>5899</v>
      </c>
      <c r="C286" s="229" t="s">
        <v>5752</v>
      </c>
    </row>
    <row r="287" spans="1:3" ht="60" hidden="1" x14ac:dyDescent="0.25">
      <c r="A287" s="225" t="s">
        <v>5843</v>
      </c>
      <c r="B287" s="224" t="s">
        <v>5900</v>
      </c>
      <c r="C287" s="225" t="s">
        <v>5843</v>
      </c>
    </row>
    <row r="288" spans="1:3" ht="90" hidden="1" x14ac:dyDescent="0.25">
      <c r="A288" s="221" t="s">
        <v>5728</v>
      </c>
      <c r="B288" s="224" t="s">
        <v>5901</v>
      </c>
      <c r="C288" s="221" t="s">
        <v>5728</v>
      </c>
    </row>
    <row r="289" spans="1:3" ht="75" hidden="1" x14ac:dyDescent="0.25">
      <c r="A289" s="221" t="s">
        <v>5630</v>
      </c>
      <c r="B289" s="224" t="s">
        <v>5902</v>
      </c>
      <c r="C289" s="221" t="s">
        <v>5630</v>
      </c>
    </row>
    <row r="290" spans="1:3" ht="75" hidden="1" x14ac:dyDescent="0.25">
      <c r="A290" s="221" t="s">
        <v>5637</v>
      </c>
      <c r="B290" s="224" t="s">
        <v>5903</v>
      </c>
      <c r="C290" s="221" t="s">
        <v>5637</v>
      </c>
    </row>
    <row r="291" spans="1:3" hidden="1" x14ac:dyDescent="0.25">
      <c r="A291" s="224" t="s">
        <v>5904</v>
      </c>
      <c r="B291" s="224" t="s">
        <v>2906</v>
      </c>
      <c r="C291" s="224" t="s">
        <v>5904</v>
      </c>
    </row>
    <row r="292" spans="1:3" hidden="1" x14ac:dyDescent="0.25">
      <c r="A292" s="224" t="s">
        <v>5800</v>
      </c>
      <c r="B292" s="224" t="s">
        <v>5905</v>
      </c>
      <c r="C292" s="224" t="s">
        <v>5800</v>
      </c>
    </row>
    <row r="293" spans="1:3" hidden="1" x14ac:dyDescent="0.25">
      <c r="A293" s="223" t="s">
        <v>5906</v>
      </c>
      <c r="B293" s="224" t="s">
        <v>2988</v>
      </c>
      <c r="C293" s="223" t="s">
        <v>5906</v>
      </c>
    </row>
    <row r="294" spans="1:3" ht="45" hidden="1" x14ac:dyDescent="0.25">
      <c r="A294" s="231" t="s">
        <v>5907</v>
      </c>
      <c r="B294" s="224" t="s">
        <v>4315</v>
      </c>
      <c r="C294" s="231" t="s">
        <v>5907</v>
      </c>
    </row>
    <row r="295" spans="1:3" ht="45" hidden="1" x14ac:dyDescent="0.25">
      <c r="A295" s="231" t="s">
        <v>5908</v>
      </c>
      <c r="B295" s="224" t="s">
        <v>2990</v>
      </c>
      <c r="C295" s="231" t="s">
        <v>5908</v>
      </c>
    </row>
    <row r="296" spans="1:3" ht="60" hidden="1" x14ac:dyDescent="0.25">
      <c r="A296" s="231" t="s">
        <v>5827</v>
      </c>
      <c r="B296" s="224" t="s">
        <v>5909</v>
      </c>
      <c r="C296" s="231" t="s">
        <v>5827</v>
      </c>
    </row>
    <row r="297" spans="1:3" hidden="1" x14ac:dyDescent="0.25">
      <c r="A297" s="223" t="s">
        <v>5786</v>
      </c>
      <c r="B297" s="224" t="s">
        <v>5910</v>
      </c>
      <c r="C297" s="223" t="s">
        <v>5786</v>
      </c>
    </row>
    <row r="298" spans="1:3" ht="60" hidden="1" x14ac:dyDescent="0.25">
      <c r="A298" s="229" t="s">
        <v>5911</v>
      </c>
      <c r="B298" s="224" t="s">
        <v>2856</v>
      </c>
      <c r="C298" s="229" t="s">
        <v>5911</v>
      </c>
    </row>
    <row r="299" spans="1:3" ht="105" hidden="1" x14ac:dyDescent="0.25">
      <c r="A299" s="229" t="s">
        <v>5802</v>
      </c>
      <c r="B299" s="224" t="s">
        <v>5912</v>
      </c>
      <c r="C299" s="229" t="s">
        <v>5802</v>
      </c>
    </row>
    <row r="300" spans="1:3" ht="120" hidden="1" x14ac:dyDescent="0.25">
      <c r="A300" s="229" t="s">
        <v>5759</v>
      </c>
      <c r="B300" s="224" t="s">
        <v>5913</v>
      </c>
      <c r="C300" s="229" t="s">
        <v>5759</v>
      </c>
    </row>
    <row r="301" spans="1:3" ht="105" hidden="1" x14ac:dyDescent="0.25">
      <c r="A301" s="229" t="s">
        <v>5763</v>
      </c>
      <c r="B301" s="224" t="s">
        <v>5914</v>
      </c>
      <c r="C301" s="229" t="s">
        <v>5763</v>
      </c>
    </row>
    <row r="302" spans="1:3" hidden="1" x14ac:dyDescent="0.25">
      <c r="A302" s="224" t="s">
        <v>5805</v>
      </c>
      <c r="B302" s="224" t="s">
        <v>5915</v>
      </c>
      <c r="C302" s="224" t="s">
        <v>5805</v>
      </c>
    </row>
    <row r="303" spans="1:3" hidden="1" x14ac:dyDescent="0.25">
      <c r="A303" s="223" t="s">
        <v>5831</v>
      </c>
      <c r="B303" s="224" t="s">
        <v>5916</v>
      </c>
      <c r="C303" s="223" t="s">
        <v>5831</v>
      </c>
    </row>
    <row r="304" spans="1:3" hidden="1" x14ac:dyDescent="0.25">
      <c r="A304" s="223" t="s">
        <v>5917</v>
      </c>
      <c r="B304" s="224" t="s">
        <v>5918</v>
      </c>
      <c r="C304" s="223" t="s">
        <v>5917</v>
      </c>
    </row>
    <row r="305" spans="1:3" hidden="1" x14ac:dyDescent="0.25">
      <c r="A305" s="225" t="s">
        <v>884</v>
      </c>
      <c r="B305" s="232" t="s">
        <v>4314</v>
      </c>
      <c r="C305" s="225" t="s">
        <v>884</v>
      </c>
    </row>
    <row r="306" spans="1:3" ht="75" hidden="1" x14ac:dyDescent="0.25">
      <c r="A306" s="225" t="s">
        <v>5846</v>
      </c>
      <c r="B306" s="224" t="s">
        <v>5919</v>
      </c>
      <c r="C306" s="225" t="s">
        <v>5846</v>
      </c>
    </row>
    <row r="307" spans="1:3" hidden="1" x14ac:dyDescent="0.25">
      <c r="A307" s="226" t="s">
        <v>5849</v>
      </c>
      <c r="B307" s="224" t="s">
        <v>5920</v>
      </c>
      <c r="C307" s="226" t="s">
        <v>5849</v>
      </c>
    </row>
    <row r="308" spans="1:3" ht="75" hidden="1" x14ac:dyDescent="0.25">
      <c r="A308" s="225" t="s">
        <v>5852</v>
      </c>
      <c r="B308" s="224" t="s">
        <v>5921</v>
      </c>
      <c r="C308" s="225" t="s">
        <v>5852</v>
      </c>
    </row>
    <row r="309" spans="1:3" hidden="1" x14ac:dyDescent="0.25">
      <c r="A309" s="233" t="s">
        <v>797</v>
      </c>
      <c r="B309" s="234" t="s">
        <v>6116</v>
      </c>
      <c r="C309" s="233" t="s">
        <v>797</v>
      </c>
    </row>
    <row r="310" spans="1:3" hidden="1" x14ac:dyDescent="0.25">
      <c r="A310" s="73" t="s">
        <v>798</v>
      </c>
      <c r="B310" s="168" t="s">
        <v>6117</v>
      </c>
      <c r="C310" s="168" t="s">
        <v>798</v>
      </c>
    </row>
    <row r="311" spans="1:3" hidden="1" x14ac:dyDescent="0.25">
      <c r="A311" s="73" t="s">
        <v>4216</v>
      </c>
      <c r="B311" s="168" t="s">
        <v>6118</v>
      </c>
      <c r="C311" s="168" t="s">
        <v>4216</v>
      </c>
    </row>
    <row r="312" spans="1:3" hidden="1" x14ac:dyDescent="0.25">
      <c r="A312" s="73" t="s">
        <v>863</v>
      </c>
      <c r="B312" s="168" t="s">
        <v>6119</v>
      </c>
      <c r="C312" s="168" t="s">
        <v>863</v>
      </c>
    </row>
    <row r="313" spans="1:3" hidden="1" x14ac:dyDescent="0.25">
      <c r="A313" s="73" t="s">
        <v>6090</v>
      </c>
      <c r="B313" s="168" t="s">
        <v>6120</v>
      </c>
      <c r="C313" s="168" t="s">
        <v>6090</v>
      </c>
    </row>
    <row r="314" spans="1:3" hidden="1" x14ac:dyDescent="0.25">
      <c r="A314" s="73" t="s">
        <v>710</v>
      </c>
      <c r="B314" s="168" t="s">
        <v>6121</v>
      </c>
      <c r="C314" s="168" t="s">
        <v>710</v>
      </c>
    </row>
    <row r="315" spans="1:3" hidden="1" x14ac:dyDescent="0.25">
      <c r="A315" s="73" t="s">
        <v>788</v>
      </c>
      <c r="B315" s="168" t="s">
        <v>6122</v>
      </c>
      <c r="C315" s="168" t="s">
        <v>788</v>
      </c>
    </row>
    <row r="316" spans="1:3" hidden="1" x14ac:dyDescent="0.25">
      <c r="A316" s="73" t="s">
        <v>789</v>
      </c>
      <c r="B316" s="168" t="s">
        <v>6123</v>
      </c>
      <c r="C316" s="168" t="s">
        <v>789</v>
      </c>
    </row>
    <row r="317" spans="1:3" hidden="1" x14ac:dyDescent="0.25">
      <c r="A317" s="73" t="s">
        <v>857</v>
      </c>
      <c r="B317" s="168" t="s">
        <v>6124</v>
      </c>
      <c r="C317" s="168" t="s">
        <v>857</v>
      </c>
    </row>
    <row r="318" spans="1:3" hidden="1" x14ac:dyDescent="0.25">
      <c r="A318" s="73" t="s">
        <v>790</v>
      </c>
      <c r="B318" s="168" t="s">
        <v>6125</v>
      </c>
      <c r="C318" s="168" t="s">
        <v>790</v>
      </c>
    </row>
    <row r="319" spans="1:3" hidden="1" x14ac:dyDescent="0.25">
      <c r="A319" s="73" t="s">
        <v>889</v>
      </c>
      <c r="B319" s="168" t="s">
        <v>6126</v>
      </c>
      <c r="C319" s="168" t="s">
        <v>889</v>
      </c>
    </row>
    <row r="320" spans="1:3" hidden="1" x14ac:dyDescent="0.25">
      <c r="A320" s="73" t="s">
        <v>3178</v>
      </c>
      <c r="B320" s="168" t="s">
        <v>6127</v>
      </c>
      <c r="C320" s="168" t="s">
        <v>3178</v>
      </c>
    </row>
    <row r="321" spans="1:3" hidden="1" x14ac:dyDescent="0.25">
      <c r="A321" s="73" t="s">
        <v>715</v>
      </c>
      <c r="B321" s="168" t="s">
        <v>6128</v>
      </c>
      <c r="C321" s="168" t="s">
        <v>715</v>
      </c>
    </row>
    <row r="322" spans="1:3" hidden="1" x14ac:dyDescent="0.25">
      <c r="A322" s="73" t="s">
        <v>738</v>
      </c>
      <c r="B322" s="168" t="s">
        <v>6129</v>
      </c>
      <c r="C322" s="168" t="s">
        <v>738</v>
      </c>
    </row>
    <row r="323" spans="1:3" hidden="1" x14ac:dyDescent="0.25">
      <c r="A323" s="73" t="s">
        <v>713</v>
      </c>
      <c r="B323" s="168" t="s">
        <v>6130</v>
      </c>
      <c r="C323" s="168" t="s">
        <v>713</v>
      </c>
    </row>
    <row r="324" spans="1:3" hidden="1" x14ac:dyDescent="0.25">
      <c r="A324" s="73" t="s">
        <v>716</v>
      </c>
      <c r="B324" s="168" t="s">
        <v>6131</v>
      </c>
      <c r="C324" s="168" t="s">
        <v>716</v>
      </c>
    </row>
    <row r="325" spans="1:3" hidden="1" x14ac:dyDescent="0.25">
      <c r="A325" s="73" t="s">
        <v>858</v>
      </c>
      <c r="B325" s="168" t="s">
        <v>6132</v>
      </c>
      <c r="C325" s="168" t="s">
        <v>858</v>
      </c>
    </row>
    <row r="326" spans="1:3" hidden="1" x14ac:dyDescent="0.25">
      <c r="A326" s="73" t="s">
        <v>892</v>
      </c>
      <c r="B326" s="168" t="s">
        <v>6133</v>
      </c>
      <c r="C326" s="168" t="s">
        <v>892</v>
      </c>
    </row>
    <row r="327" spans="1:3" hidden="1" x14ac:dyDescent="0.25">
      <c r="A327" s="73" t="s">
        <v>724</v>
      </c>
      <c r="B327" s="168" t="s">
        <v>6134</v>
      </c>
      <c r="C327" s="168" t="s">
        <v>724</v>
      </c>
    </row>
    <row r="328" spans="1:3" hidden="1" x14ac:dyDescent="0.25">
      <c r="A328" s="73" t="s">
        <v>859</v>
      </c>
      <c r="B328" s="168" t="s">
        <v>6135</v>
      </c>
      <c r="C328" s="168" t="s">
        <v>859</v>
      </c>
    </row>
    <row r="329" spans="1:3" hidden="1" x14ac:dyDescent="0.25">
      <c r="A329" s="73" t="s">
        <v>893</v>
      </c>
      <c r="B329" s="168" t="s">
        <v>6136</v>
      </c>
      <c r="C329" s="168" t="s">
        <v>893</v>
      </c>
    </row>
    <row r="330" spans="1:3" hidden="1" x14ac:dyDescent="0.25">
      <c r="A330" s="73" t="s">
        <v>714</v>
      </c>
      <c r="B330" s="168" t="s">
        <v>6137</v>
      </c>
      <c r="C330" s="168" t="s">
        <v>714</v>
      </c>
    </row>
    <row r="331" spans="1:3" hidden="1" x14ac:dyDescent="0.25">
      <c r="A331" s="73" t="s">
        <v>717</v>
      </c>
      <c r="B331" s="168" t="s">
        <v>6138</v>
      </c>
      <c r="C331" s="168" t="s">
        <v>717</v>
      </c>
    </row>
    <row r="332" spans="1:3" hidden="1" x14ac:dyDescent="0.25">
      <c r="A332" s="73" t="s">
        <v>718</v>
      </c>
      <c r="B332" s="168" t="s">
        <v>6139</v>
      </c>
      <c r="C332" s="168" t="s">
        <v>718</v>
      </c>
    </row>
    <row r="333" spans="1:3" hidden="1" x14ac:dyDescent="0.25">
      <c r="A333" s="73" t="s">
        <v>719</v>
      </c>
      <c r="B333" s="168" t="s">
        <v>6140</v>
      </c>
      <c r="C333" s="168" t="s">
        <v>719</v>
      </c>
    </row>
    <row r="334" spans="1:3" hidden="1" x14ac:dyDescent="0.25">
      <c r="A334" s="73" t="s">
        <v>799</v>
      </c>
      <c r="B334" s="168" t="s">
        <v>6141</v>
      </c>
      <c r="C334" s="168" t="s">
        <v>799</v>
      </c>
    </row>
    <row r="335" spans="1:3" hidden="1" x14ac:dyDescent="0.25">
      <c r="A335" s="73" t="s">
        <v>754</v>
      </c>
      <c r="B335" s="168" t="s">
        <v>6142</v>
      </c>
      <c r="C335" s="168" t="s">
        <v>754</v>
      </c>
    </row>
    <row r="336" spans="1:3" hidden="1" x14ac:dyDescent="0.25">
      <c r="A336" s="73" t="s">
        <v>4218</v>
      </c>
      <c r="B336" s="168" t="s">
        <v>6143</v>
      </c>
      <c r="C336" s="168" t="s">
        <v>4218</v>
      </c>
    </row>
    <row r="337" spans="1:3" hidden="1" x14ac:dyDescent="0.25">
      <c r="A337" s="73" t="s">
        <v>4210</v>
      </c>
      <c r="B337" s="168" t="s">
        <v>6144</v>
      </c>
      <c r="C337" s="168" t="s">
        <v>4210</v>
      </c>
    </row>
    <row r="338" spans="1:3" hidden="1" x14ac:dyDescent="0.25">
      <c r="A338" s="73" t="s">
        <v>4221</v>
      </c>
      <c r="B338" s="168" t="s">
        <v>6145</v>
      </c>
      <c r="C338" s="168" t="s">
        <v>4221</v>
      </c>
    </row>
    <row r="339" spans="1:3" hidden="1" x14ac:dyDescent="0.25">
      <c r="A339" s="73" t="s">
        <v>4227</v>
      </c>
      <c r="B339" s="168" t="s">
        <v>6146</v>
      </c>
      <c r="C339" s="168" t="s">
        <v>4227</v>
      </c>
    </row>
    <row r="340" spans="1:3" hidden="1" x14ac:dyDescent="0.25">
      <c r="A340" s="73" t="s">
        <v>721</v>
      </c>
      <c r="B340" s="168" t="s">
        <v>6147</v>
      </c>
      <c r="C340" s="168" t="s">
        <v>721</v>
      </c>
    </row>
    <row r="341" spans="1:3" hidden="1" x14ac:dyDescent="0.25">
      <c r="A341" s="73" t="s">
        <v>741</v>
      </c>
      <c r="B341" s="168" t="s">
        <v>6148</v>
      </c>
      <c r="C341" s="168" t="s">
        <v>741</v>
      </c>
    </row>
    <row r="342" spans="1:3" hidden="1" x14ac:dyDescent="0.25">
      <c r="A342" s="73" t="s">
        <v>742</v>
      </c>
      <c r="B342" s="168" t="s">
        <v>6149</v>
      </c>
      <c r="C342" s="168" t="s">
        <v>742</v>
      </c>
    </row>
    <row r="343" spans="1:3" hidden="1" x14ac:dyDescent="0.25">
      <c r="A343" s="73" t="s">
        <v>3183</v>
      </c>
      <c r="B343" s="168" t="s">
        <v>6150</v>
      </c>
      <c r="C343" s="168" t="s">
        <v>3183</v>
      </c>
    </row>
    <row r="344" spans="1:3" hidden="1" x14ac:dyDescent="0.25">
      <c r="A344" s="73" t="s">
        <v>725</v>
      </c>
      <c r="B344" s="168" t="s">
        <v>6151</v>
      </c>
      <c r="C344" s="168" t="s">
        <v>725</v>
      </c>
    </row>
    <row r="345" spans="1:3" hidden="1" x14ac:dyDescent="0.25">
      <c r="A345" s="73" t="s">
        <v>862</v>
      </c>
      <c r="B345" s="168" t="s">
        <v>6152</v>
      </c>
      <c r="C345" s="168" t="s">
        <v>862</v>
      </c>
    </row>
    <row r="346" spans="1:3" hidden="1" x14ac:dyDescent="0.25">
      <c r="A346" s="73" t="s">
        <v>3171</v>
      </c>
      <c r="B346" s="168" t="s">
        <v>6153</v>
      </c>
      <c r="C346" s="168" t="s">
        <v>3171</v>
      </c>
    </row>
    <row r="347" spans="1:3" hidden="1" x14ac:dyDescent="0.25">
      <c r="A347" s="73" t="s">
        <v>6091</v>
      </c>
      <c r="B347" s="168" t="s">
        <v>6154</v>
      </c>
      <c r="C347" s="168" t="s">
        <v>6091</v>
      </c>
    </row>
    <row r="348" spans="1:3" hidden="1" x14ac:dyDescent="0.25">
      <c r="A348" s="73" t="s">
        <v>881</v>
      </c>
      <c r="B348" s="168" t="s">
        <v>6155</v>
      </c>
      <c r="C348" s="168" t="s">
        <v>881</v>
      </c>
    </row>
    <row r="349" spans="1:3" hidden="1" x14ac:dyDescent="0.25">
      <c r="A349" s="73" t="s">
        <v>4220</v>
      </c>
      <c r="B349" s="168" t="s">
        <v>6156</v>
      </c>
      <c r="C349" s="168" t="s">
        <v>4220</v>
      </c>
    </row>
    <row r="350" spans="1:3" hidden="1" x14ac:dyDescent="0.25">
      <c r="A350" s="73" t="s">
        <v>4226</v>
      </c>
      <c r="B350" s="168" t="s">
        <v>6157</v>
      </c>
      <c r="C350" s="168" t="s">
        <v>4226</v>
      </c>
    </row>
    <row r="351" spans="1:3" hidden="1" x14ac:dyDescent="0.25">
      <c r="A351" s="73" t="s">
        <v>6092</v>
      </c>
      <c r="B351" s="168" t="s">
        <v>6158</v>
      </c>
      <c r="C351" s="168" t="s">
        <v>6092</v>
      </c>
    </row>
    <row r="352" spans="1:3" hidden="1" x14ac:dyDescent="0.25">
      <c r="A352" s="73" t="s">
        <v>794</v>
      </c>
      <c r="B352" s="168" t="s">
        <v>6159</v>
      </c>
      <c r="C352" s="168" t="s">
        <v>794</v>
      </c>
    </row>
    <row r="353" spans="1:3" hidden="1" x14ac:dyDescent="0.25">
      <c r="A353" s="73" t="s">
        <v>800</v>
      </c>
      <c r="B353" s="168" t="s">
        <v>6160</v>
      </c>
      <c r="C353" s="168" t="s">
        <v>800</v>
      </c>
    </row>
    <row r="354" spans="1:3" hidden="1" x14ac:dyDescent="0.25">
      <c r="A354" s="73" t="s">
        <v>776</v>
      </c>
      <c r="B354" s="168" t="s">
        <v>6161</v>
      </c>
      <c r="C354" s="168" t="s">
        <v>776</v>
      </c>
    </row>
    <row r="355" spans="1:3" hidden="1" x14ac:dyDescent="0.25">
      <c r="A355" s="73" t="s">
        <v>805</v>
      </c>
      <c r="B355" s="168" t="s">
        <v>6162</v>
      </c>
      <c r="C355" s="168" t="s">
        <v>805</v>
      </c>
    </row>
    <row r="356" spans="1:3" hidden="1" x14ac:dyDescent="0.25">
      <c r="A356" s="73" t="s">
        <v>751</v>
      </c>
      <c r="B356" s="168" t="s">
        <v>6163</v>
      </c>
      <c r="C356" s="168" t="s">
        <v>751</v>
      </c>
    </row>
    <row r="357" spans="1:3" hidden="1" x14ac:dyDescent="0.25">
      <c r="A357" s="73" t="s">
        <v>775</v>
      </c>
      <c r="B357" s="168" t="s">
        <v>6164</v>
      </c>
      <c r="C357" s="168" t="s">
        <v>775</v>
      </c>
    </row>
    <row r="358" spans="1:3" hidden="1" x14ac:dyDescent="0.25">
      <c r="A358" s="73" t="s">
        <v>825</v>
      </c>
      <c r="B358" s="168" t="s">
        <v>6165</v>
      </c>
      <c r="C358" s="168" t="s">
        <v>825</v>
      </c>
    </row>
    <row r="359" spans="1:3" hidden="1" x14ac:dyDescent="0.25">
      <c r="A359" s="73" t="s">
        <v>795</v>
      </c>
      <c r="B359" s="168" t="s">
        <v>6166</v>
      </c>
      <c r="C359" s="168" t="s">
        <v>795</v>
      </c>
    </row>
    <row r="360" spans="1:3" hidden="1" x14ac:dyDescent="0.25">
      <c r="A360" s="73" t="s">
        <v>793</v>
      </c>
      <c r="B360" s="168" t="s">
        <v>6167</v>
      </c>
      <c r="C360" s="168" t="s">
        <v>793</v>
      </c>
    </row>
    <row r="361" spans="1:3" hidden="1" x14ac:dyDescent="0.25">
      <c r="A361" s="73" t="s">
        <v>6093</v>
      </c>
      <c r="B361" s="168" t="s">
        <v>6168</v>
      </c>
      <c r="C361" s="168" t="s">
        <v>6093</v>
      </c>
    </row>
    <row r="362" spans="1:3" hidden="1" x14ac:dyDescent="0.25">
      <c r="A362" s="73" t="s">
        <v>826</v>
      </c>
      <c r="B362" s="168" t="s">
        <v>6169</v>
      </c>
      <c r="C362" s="168" t="s">
        <v>826</v>
      </c>
    </row>
    <row r="363" spans="1:3" hidden="1" x14ac:dyDescent="0.25">
      <c r="A363" s="73" t="s">
        <v>796</v>
      </c>
      <c r="B363" s="168" t="s">
        <v>6170</v>
      </c>
      <c r="C363" s="168" t="s">
        <v>796</v>
      </c>
    </row>
    <row r="364" spans="1:3" hidden="1" x14ac:dyDescent="0.25">
      <c r="A364" s="73" t="s">
        <v>804</v>
      </c>
      <c r="B364" s="168" t="s">
        <v>6171</v>
      </c>
      <c r="C364" s="168" t="s">
        <v>804</v>
      </c>
    </row>
    <row r="365" spans="1:3" hidden="1" x14ac:dyDescent="0.25">
      <c r="A365" s="73" t="s">
        <v>803</v>
      </c>
      <c r="B365" s="168" t="s">
        <v>6172</v>
      </c>
      <c r="C365" s="168" t="s">
        <v>803</v>
      </c>
    </row>
    <row r="366" spans="1:3" hidden="1" x14ac:dyDescent="0.25">
      <c r="A366" s="73" t="s">
        <v>801</v>
      </c>
      <c r="B366" s="168" t="s">
        <v>6173</v>
      </c>
      <c r="C366" s="168" t="s">
        <v>801</v>
      </c>
    </row>
    <row r="367" spans="1:3" hidden="1" x14ac:dyDescent="0.25">
      <c r="A367" s="73" t="s">
        <v>802</v>
      </c>
      <c r="B367" s="168" t="s">
        <v>6174</v>
      </c>
      <c r="C367" s="168" t="s">
        <v>802</v>
      </c>
    </row>
    <row r="368" spans="1:3" hidden="1" x14ac:dyDescent="0.25">
      <c r="A368" s="73" t="s">
        <v>6094</v>
      </c>
      <c r="B368" s="168" t="s">
        <v>6175</v>
      </c>
      <c r="C368" s="168" t="s">
        <v>6094</v>
      </c>
    </row>
    <row r="369" spans="1:3" hidden="1" x14ac:dyDescent="0.25">
      <c r="A369" s="73" t="s">
        <v>735</v>
      </c>
      <c r="B369" s="168" t="s">
        <v>6176</v>
      </c>
      <c r="C369" s="168" t="s">
        <v>735</v>
      </c>
    </row>
    <row r="370" spans="1:3" hidden="1" x14ac:dyDescent="0.25">
      <c r="A370" s="73" t="s">
        <v>6095</v>
      </c>
      <c r="B370" s="168" t="s">
        <v>6177</v>
      </c>
      <c r="C370" s="168" t="s">
        <v>6095</v>
      </c>
    </row>
    <row r="371" spans="1:3" hidden="1" x14ac:dyDescent="0.25">
      <c r="A371" s="73" t="s">
        <v>6096</v>
      </c>
      <c r="B371" s="168" t="s">
        <v>6178</v>
      </c>
      <c r="C371" s="168" t="s">
        <v>6096</v>
      </c>
    </row>
    <row r="372" spans="1:3" hidden="1" x14ac:dyDescent="0.25">
      <c r="A372" s="73" t="s">
        <v>734</v>
      </c>
      <c r="B372" s="168" t="s">
        <v>6179</v>
      </c>
      <c r="C372" s="168" t="s">
        <v>734</v>
      </c>
    </row>
    <row r="373" spans="1:3" hidden="1" x14ac:dyDescent="0.25">
      <c r="A373" s="73" t="s">
        <v>6097</v>
      </c>
      <c r="B373" s="168" t="s">
        <v>6180</v>
      </c>
      <c r="C373" s="168" t="s">
        <v>6097</v>
      </c>
    </row>
    <row r="374" spans="1:3" hidden="1" x14ac:dyDescent="0.25">
      <c r="A374" s="73" t="s">
        <v>860</v>
      </c>
      <c r="B374" s="168" t="s">
        <v>6181</v>
      </c>
      <c r="C374" s="168" t="s">
        <v>860</v>
      </c>
    </row>
    <row r="375" spans="1:3" hidden="1" x14ac:dyDescent="0.25">
      <c r="A375" s="73" t="s">
        <v>723</v>
      </c>
      <c r="B375" s="168" t="s">
        <v>6182</v>
      </c>
      <c r="C375" s="168" t="s">
        <v>723</v>
      </c>
    </row>
    <row r="376" spans="1:3" hidden="1" x14ac:dyDescent="0.25">
      <c r="A376" s="73" t="s">
        <v>861</v>
      </c>
      <c r="B376" s="168" t="s">
        <v>6183</v>
      </c>
      <c r="C376" s="168" t="s">
        <v>861</v>
      </c>
    </row>
    <row r="377" spans="1:3" hidden="1" x14ac:dyDescent="0.25">
      <c r="A377" s="73" t="s">
        <v>778</v>
      </c>
      <c r="B377" s="168" t="s">
        <v>6184</v>
      </c>
      <c r="C377" s="168" t="s">
        <v>778</v>
      </c>
    </row>
    <row r="378" spans="1:3" hidden="1" x14ac:dyDescent="0.25">
      <c r="A378" s="73" t="s">
        <v>733</v>
      </c>
      <c r="B378" s="168" t="s">
        <v>6185</v>
      </c>
      <c r="C378" s="168" t="s">
        <v>733</v>
      </c>
    </row>
    <row r="379" spans="1:3" hidden="1" x14ac:dyDescent="0.25">
      <c r="A379" s="73" t="s">
        <v>726</v>
      </c>
      <c r="B379" s="168" t="s">
        <v>6186</v>
      </c>
      <c r="C379" s="168" t="s">
        <v>726</v>
      </c>
    </row>
    <row r="380" spans="1:3" hidden="1" x14ac:dyDescent="0.25">
      <c r="A380" s="73" t="s">
        <v>830</v>
      </c>
      <c r="B380" s="168" t="s">
        <v>6187</v>
      </c>
      <c r="C380" s="168" t="s">
        <v>830</v>
      </c>
    </row>
    <row r="381" spans="1:3" hidden="1" x14ac:dyDescent="0.25">
      <c r="A381" s="73" t="s">
        <v>727</v>
      </c>
      <c r="B381" s="168" t="s">
        <v>6188</v>
      </c>
      <c r="C381" s="168" t="s">
        <v>727</v>
      </c>
    </row>
    <row r="382" spans="1:3" hidden="1" x14ac:dyDescent="0.25">
      <c r="A382" s="73" t="s">
        <v>707</v>
      </c>
      <c r="B382" s="168" t="s">
        <v>6189</v>
      </c>
      <c r="C382" s="168" t="s">
        <v>707</v>
      </c>
    </row>
    <row r="383" spans="1:3" hidden="1" x14ac:dyDescent="0.25">
      <c r="A383" s="73" t="s">
        <v>4213</v>
      </c>
      <c r="B383" s="168" t="s">
        <v>6190</v>
      </c>
      <c r="C383" s="168" t="s">
        <v>4213</v>
      </c>
    </row>
    <row r="384" spans="1:3" hidden="1" x14ac:dyDescent="0.25">
      <c r="A384" s="73" t="s">
        <v>728</v>
      </c>
      <c r="B384" s="168" t="s">
        <v>6191</v>
      </c>
      <c r="C384" s="168" t="s">
        <v>728</v>
      </c>
    </row>
    <row r="385" spans="1:3" hidden="1" x14ac:dyDescent="0.25">
      <c r="A385" s="73" t="s">
        <v>787</v>
      </c>
      <c r="B385" s="168" t="s">
        <v>6192</v>
      </c>
      <c r="C385" s="168" t="s">
        <v>787</v>
      </c>
    </row>
    <row r="386" spans="1:3" hidden="1" x14ac:dyDescent="0.25">
      <c r="A386" s="73" t="s">
        <v>832</v>
      </c>
      <c r="B386" s="168" t="s">
        <v>6193</v>
      </c>
      <c r="C386" s="168" t="s">
        <v>832</v>
      </c>
    </row>
    <row r="387" spans="1:3" hidden="1" x14ac:dyDescent="0.25">
      <c r="A387" s="73" t="s">
        <v>806</v>
      </c>
      <c r="B387" s="168" t="s">
        <v>6194</v>
      </c>
      <c r="C387" s="168" t="s">
        <v>806</v>
      </c>
    </row>
    <row r="388" spans="1:3" hidden="1" x14ac:dyDescent="0.25">
      <c r="A388" s="73" t="s">
        <v>4212</v>
      </c>
      <c r="B388" s="168" t="s">
        <v>6195</v>
      </c>
      <c r="C388" s="168" t="s">
        <v>4212</v>
      </c>
    </row>
    <row r="389" spans="1:3" hidden="1" x14ac:dyDescent="0.25">
      <c r="A389" s="73" t="s">
        <v>749</v>
      </c>
      <c r="B389" s="168" t="s">
        <v>6196</v>
      </c>
      <c r="C389" s="168" t="s">
        <v>749</v>
      </c>
    </row>
    <row r="390" spans="1:3" hidden="1" x14ac:dyDescent="0.25">
      <c r="A390" s="73" t="s">
        <v>4217</v>
      </c>
      <c r="B390" s="168" t="s">
        <v>6197</v>
      </c>
      <c r="C390" s="168" t="s">
        <v>4217</v>
      </c>
    </row>
    <row r="391" spans="1:3" hidden="1" x14ac:dyDescent="0.25">
      <c r="A391" s="73" t="s">
        <v>3169</v>
      </c>
      <c r="B391" s="168" t="s">
        <v>6198</v>
      </c>
      <c r="C391" s="168" t="s">
        <v>3169</v>
      </c>
    </row>
    <row r="392" spans="1:3" hidden="1" x14ac:dyDescent="0.25">
      <c r="A392" s="73" t="s">
        <v>765</v>
      </c>
      <c r="B392" s="168" t="s">
        <v>6199</v>
      </c>
      <c r="C392" s="168" t="s">
        <v>765</v>
      </c>
    </row>
    <row r="393" spans="1:3" hidden="1" x14ac:dyDescent="0.25">
      <c r="A393" s="73" t="s">
        <v>730</v>
      </c>
      <c r="B393" s="168" t="s">
        <v>6200</v>
      </c>
      <c r="C393" s="168" t="s">
        <v>730</v>
      </c>
    </row>
    <row r="394" spans="1:3" hidden="1" x14ac:dyDescent="0.25">
      <c r="A394" s="73" t="s">
        <v>731</v>
      </c>
      <c r="B394" s="168" t="s">
        <v>6201</v>
      </c>
      <c r="C394" s="168" t="s">
        <v>731</v>
      </c>
    </row>
    <row r="395" spans="1:3" hidden="1" x14ac:dyDescent="0.25">
      <c r="A395" s="73" t="s">
        <v>745</v>
      </c>
      <c r="B395" s="168" t="s">
        <v>6202</v>
      </c>
      <c r="C395" s="168" t="s">
        <v>745</v>
      </c>
    </row>
    <row r="396" spans="1:3" hidden="1" x14ac:dyDescent="0.25">
      <c r="A396" s="73" t="s">
        <v>867</v>
      </c>
      <c r="B396" s="168" t="s">
        <v>6203</v>
      </c>
      <c r="C396" s="168" t="s">
        <v>867</v>
      </c>
    </row>
    <row r="397" spans="1:3" hidden="1" x14ac:dyDescent="0.25">
      <c r="A397" s="73" t="s">
        <v>873</v>
      </c>
      <c r="B397" s="168" t="s">
        <v>6204</v>
      </c>
      <c r="C397" s="168" t="s">
        <v>873</v>
      </c>
    </row>
    <row r="398" spans="1:3" hidden="1" x14ac:dyDescent="0.25">
      <c r="A398" s="73" t="s">
        <v>747</v>
      </c>
      <c r="B398" s="168" t="s">
        <v>6205</v>
      </c>
      <c r="C398" s="168" t="s">
        <v>747</v>
      </c>
    </row>
    <row r="399" spans="1:3" hidden="1" x14ac:dyDescent="0.25">
      <c r="A399" s="73" t="s">
        <v>758</v>
      </c>
      <c r="B399" s="168" t="s">
        <v>6206</v>
      </c>
      <c r="C399" s="168" t="s">
        <v>758</v>
      </c>
    </row>
    <row r="400" spans="1:3" hidden="1" x14ac:dyDescent="0.25">
      <c r="A400" s="73" t="s">
        <v>746</v>
      </c>
      <c r="B400" s="168" t="s">
        <v>6207</v>
      </c>
      <c r="C400" s="168" t="s">
        <v>746</v>
      </c>
    </row>
    <row r="401" spans="1:3" hidden="1" x14ac:dyDescent="0.25">
      <c r="A401" s="73" t="s">
        <v>838</v>
      </c>
      <c r="B401" s="168" t="s">
        <v>6208</v>
      </c>
      <c r="C401" s="168" t="s">
        <v>838</v>
      </c>
    </row>
    <row r="402" spans="1:3" hidden="1" x14ac:dyDescent="0.25">
      <c r="A402" s="73" t="s">
        <v>769</v>
      </c>
      <c r="B402" s="168" t="s">
        <v>6209</v>
      </c>
      <c r="C402" s="168" t="s">
        <v>769</v>
      </c>
    </row>
    <row r="403" spans="1:3" hidden="1" x14ac:dyDescent="0.25">
      <c r="A403" s="73" t="s">
        <v>760</v>
      </c>
      <c r="B403" s="168" t="s">
        <v>6210</v>
      </c>
      <c r="C403" s="168" t="s">
        <v>760</v>
      </c>
    </row>
    <row r="404" spans="1:3" hidden="1" x14ac:dyDescent="0.25">
      <c r="A404" s="73" t="s">
        <v>807</v>
      </c>
      <c r="B404" s="168" t="s">
        <v>6211</v>
      </c>
      <c r="C404" s="168" t="s">
        <v>807</v>
      </c>
    </row>
    <row r="405" spans="1:3" hidden="1" x14ac:dyDescent="0.25">
      <c r="A405" s="73" t="s">
        <v>871</v>
      </c>
      <c r="B405" s="168" t="s">
        <v>6212</v>
      </c>
      <c r="C405" s="168" t="s">
        <v>871</v>
      </c>
    </row>
    <row r="406" spans="1:3" hidden="1" x14ac:dyDescent="0.25">
      <c r="A406" s="73" t="s">
        <v>759</v>
      </c>
      <c r="B406" s="168" t="s">
        <v>6213</v>
      </c>
      <c r="C406" s="168" t="s">
        <v>759</v>
      </c>
    </row>
    <row r="407" spans="1:3" hidden="1" x14ac:dyDescent="0.25">
      <c r="A407" s="73" t="s">
        <v>761</v>
      </c>
      <c r="B407" s="168" t="s">
        <v>6214</v>
      </c>
      <c r="C407" s="168" t="s">
        <v>761</v>
      </c>
    </row>
    <row r="408" spans="1:3" hidden="1" x14ac:dyDescent="0.25">
      <c r="A408" s="73" t="s">
        <v>870</v>
      </c>
      <c r="B408" s="168" t="s">
        <v>6215</v>
      </c>
      <c r="C408" s="168" t="s">
        <v>870</v>
      </c>
    </row>
    <row r="409" spans="1:3" hidden="1" x14ac:dyDescent="0.25">
      <c r="A409" s="73" t="s">
        <v>736</v>
      </c>
      <c r="B409" s="168" t="s">
        <v>6216</v>
      </c>
      <c r="C409" s="168" t="s">
        <v>736</v>
      </c>
    </row>
    <row r="410" spans="1:3" hidden="1" x14ac:dyDescent="0.25">
      <c r="A410" s="73" t="s">
        <v>829</v>
      </c>
      <c r="B410" s="168" t="s">
        <v>6217</v>
      </c>
      <c r="C410" s="168" t="s">
        <v>829</v>
      </c>
    </row>
    <row r="411" spans="1:3" hidden="1" x14ac:dyDescent="0.25">
      <c r="A411" s="73" t="s">
        <v>766</v>
      </c>
      <c r="B411" s="168" t="s">
        <v>6218</v>
      </c>
      <c r="C411" s="168" t="s">
        <v>766</v>
      </c>
    </row>
    <row r="412" spans="1:3" hidden="1" x14ac:dyDescent="0.25">
      <c r="A412" s="73" t="s">
        <v>784</v>
      </c>
      <c r="B412" s="168" t="s">
        <v>6219</v>
      </c>
      <c r="C412" s="168" t="s">
        <v>784</v>
      </c>
    </row>
    <row r="413" spans="1:3" hidden="1" x14ac:dyDescent="0.25">
      <c r="A413" s="73" t="s">
        <v>833</v>
      </c>
      <c r="B413" s="168" t="s">
        <v>6220</v>
      </c>
      <c r="C413" s="168" t="s">
        <v>833</v>
      </c>
    </row>
    <row r="414" spans="1:3" hidden="1" x14ac:dyDescent="0.25">
      <c r="A414" s="73" t="s">
        <v>757</v>
      </c>
      <c r="B414" s="168" t="s">
        <v>6221</v>
      </c>
      <c r="C414" s="168" t="s">
        <v>757</v>
      </c>
    </row>
    <row r="415" spans="1:3" hidden="1" x14ac:dyDescent="0.25">
      <c r="A415" s="73" t="s">
        <v>756</v>
      </c>
      <c r="B415" s="168" t="s">
        <v>6222</v>
      </c>
      <c r="C415" s="168" t="s">
        <v>756</v>
      </c>
    </row>
    <row r="416" spans="1:3" hidden="1" x14ac:dyDescent="0.25">
      <c r="A416" s="73" t="s">
        <v>729</v>
      </c>
      <c r="B416" s="168" t="s">
        <v>6223</v>
      </c>
      <c r="C416" s="168" t="s">
        <v>729</v>
      </c>
    </row>
    <row r="417" spans="1:3" hidden="1" x14ac:dyDescent="0.25">
      <c r="A417" s="73" t="s">
        <v>712</v>
      </c>
      <c r="B417" s="168" t="s">
        <v>6224</v>
      </c>
      <c r="C417" s="168" t="s">
        <v>712</v>
      </c>
    </row>
    <row r="418" spans="1:3" hidden="1" x14ac:dyDescent="0.25">
      <c r="A418" s="73" t="s">
        <v>750</v>
      </c>
      <c r="B418" s="168" t="s">
        <v>6225</v>
      </c>
      <c r="C418" s="168" t="s">
        <v>750</v>
      </c>
    </row>
    <row r="419" spans="1:3" hidden="1" x14ac:dyDescent="0.25">
      <c r="A419" s="73" t="s">
        <v>764</v>
      </c>
      <c r="B419" s="168" t="s">
        <v>6226</v>
      </c>
      <c r="C419" s="168" t="s">
        <v>764</v>
      </c>
    </row>
    <row r="420" spans="1:3" hidden="1" x14ac:dyDescent="0.25">
      <c r="A420" s="73" t="s">
        <v>781</v>
      </c>
      <c r="B420" s="168" t="s">
        <v>6227</v>
      </c>
      <c r="C420" s="168" t="s">
        <v>781</v>
      </c>
    </row>
    <row r="421" spans="1:3" hidden="1" x14ac:dyDescent="0.25">
      <c r="A421" s="73" t="s">
        <v>868</v>
      </c>
      <c r="B421" s="168" t="s">
        <v>6228</v>
      </c>
      <c r="C421" s="168" t="s">
        <v>868</v>
      </c>
    </row>
    <row r="422" spans="1:3" hidden="1" x14ac:dyDescent="0.25">
      <c r="A422" s="73" t="s">
        <v>767</v>
      </c>
      <c r="B422" s="168" t="s">
        <v>6229</v>
      </c>
      <c r="C422" s="168" t="s">
        <v>767</v>
      </c>
    </row>
    <row r="423" spans="1:3" hidden="1" x14ac:dyDescent="0.25">
      <c r="A423" s="73" t="s">
        <v>836</v>
      </c>
      <c r="B423" s="168" t="s">
        <v>6230</v>
      </c>
      <c r="C423" s="168" t="s">
        <v>836</v>
      </c>
    </row>
    <row r="424" spans="1:3" hidden="1" x14ac:dyDescent="0.25">
      <c r="A424" s="73" t="s">
        <v>770</v>
      </c>
      <c r="B424" s="168" t="s">
        <v>6231</v>
      </c>
      <c r="C424" s="168" t="s">
        <v>770</v>
      </c>
    </row>
    <row r="425" spans="1:3" hidden="1" x14ac:dyDescent="0.25">
      <c r="A425" s="73" t="s">
        <v>763</v>
      </c>
      <c r="B425" s="168" t="s">
        <v>6232</v>
      </c>
      <c r="C425" s="168" t="s">
        <v>763</v>
      </c>
    </row>
    <row r="426" spans="1:3" hidden="1" x14ac:dyDescent="0.25">
      <c r="A426" s="73" t="s">
        <v>837</v>
      </c>
      <c r="B426" s="168" t="s">
        <v>6233</v>
      </c>
      <c r="C426" s="168" t="s">
        <v>837</v>
      </c>
    </row>
    <row r="427" spans="1:3" hidden="1" x14ac:dyDescent="0.25">
      <c r="A427" s="73" t="s">
        <v>874</v>
      </c>
      <c r="B427" s="168" t="s">
        <v>6234</v>
      </c>
      <c r="C427" s="168" t="s">
        <v>874</v>
      </c>
    </row>
    <row r="428" spans="1:3" hidden="1" x14ac:dyDescent="0.25">
      <c r="A428" s="73" t="s">
        <v>872</v>
      </c>
      <c r="B428" s="168" t="s">
        <v>6235</v>
      </c>
      <c r="C428" s="168" t="s">
        <v>872</v>
      </c>
    </row>
    <row r="429" spans="1:3" hidden="1" x14ac:dyDescent="0.25">
      <c r="A429" s="73" t="s">
        <v>748</v>
      </c>
      <c r="B429" s="168" t="s">
        <v>6236</v>
      </c>
      <c r="C429" s="168" t="s">
        <v>748</v>
      </c>
    </row>
    <row r="430" spans="1:3" hidden="1" x14ac:dyDescent="0.25">
      <c r="A430" s="73" t="s">
        <v>740</v>
      </c>
      <c r="B430" s="168" t="s">
        <v>6237</v>
      </c>
      <c r="C430" s="168" t="s">
        <v>740</v>
      </c>
    </row>
    <row r="431" spans="1:3" hidden="1" x14ac:dyDescent="0.25">
      <c r="A431" s="73" t="s">
        <v>6098</v>
      </c>
      <c r="B431" s="168" t="s">
        <v>6238</v>
      </c>
      <c r="C431" s="168" t="s">
        <v>6098</v>
      </c>
    </row>
    <row r="432" spans="1:3" hidden="1" x14ac:dyDescent="0.25">
      <c r="A432" s="73" t="s">
        <v>6099</v>
      </c>
      <c r="B432" s="168" t="s">
        <v>6239</v>
      </c>
      <c r="C432" s="168" t="s">
        <v>6099</v>
      </c>
    </row>
    <row r="433" spans="1:3" hidden="1" x14ac:dyDescent="0.25">
      <c r="A433" s="73" t="s">
        <v>6100</v>
      </c>
      <c r="B433" s="168" t="s">
        <v>6240</v>
      </c>
      <c r="C433" s="168" t="s">
        <v>6100</v>
      </c>
    </row>
    <row r="434" spans="1:3" hidden="1" x14ac:dyDescent="0.25">
      <c r="A434" s="73" t="s">
        <v>4224</v>
      </c>
      <c r="B434" s="168" t="s">
        <v>6241</v>
      </c>
      <c r="C434" s="168" t="s">
        <v>4224</v>
      </c>
    </row>
    <row r="435" spans="1:3" hidden="1" x14ac:dyDescent="0.25">
      <c r="A435" s="73" t="s">
        <v>772</v>
      </c>
      <c r="B435" s="168" t="s">
        <v>6242</v>
      </c>
      <c r="C435" s="168" t="s">
        <v>772</v>
      </c>
    </row>
    <row r="436" spans="1:3" hidden="1" x14ac:dyDescent="0.25">
      <c r="A436" s="73" t="s">
        <v>4215</v>
      </c>
      <c r="B436" s="168" t="s">
        <v>6243</v>
      </c>
      <c r="C436" s="168" t="s">
        <v>4215</v>
      </c>
    </row>
    <row r="437" spans="1:3" hidden="1" x14ac:dyDescent="0.25">
      <c r="A437" s="73" t="s">
        <v>6101</v>
      </c>
      <c r="B437" s="168" t="s">
        <v>6244</v>
      </c>
      <c r="C437" s="168" t="s">
        <v>6101</v>
      </c>
    </row>
    <row r="438" spans="1:3" hidden="1" x14ac:dyDescent="0.25">
      <c r="A438" s="73" t="s">
        <v>865</v>
      </c>
      <c r="B438" s="168" t="s">
        <v>6245</v>
      </c>
      <c r="C438" s="168" t="s">
        <v>865</v>
      </c>
    </row>
    <row r="439" spans="1:3" hidden="1" x14ac:dyDescent="0.25">
      <c r="A439" s="73" t="s">
        <v>771</v>
      </c>
      <c r="B439" s="168" t="s">
        <v>6246</v>
      </c>
      <c r="C439" s="168" t="s">
        <v>771</v>
      </c>
    </row>
    <row r="440" spans="1:3" hidden="1" x14ac:dyDescent="0.25">
      <c r="A440" s="73" t="s">
        <v>779</v>
      </c>
      <c r="B440" s="168" t="s">
        <v>6247</v>
      </c>
      <c r="C440" s="168" t="s">
        <v>779</v>
      </c>
    </row>
    <row r="441" spans="1:3" hidden="1" x14ac:dyDescent="0.25">
      <c r="A441" s="73" t="s">
        <v>880</v>
      </c>
      <c r="B441" s="168" t="s">
        <v>6248</v>
      </c>
      <c r="C441" s="168" t="s">
        <v>880</v>
      </c>
    </row>
    <row r="442" spans="1:3" hidden="1" x14ac:dyDescent="0.25">
      <c r="A442" s="73" t="s">
        <v>777</v>
      </c>
      <c r="B442" s="168" t="s">
        <v>6249</v>
      </c>
      <c r="C442" s="168" t="s">
        <v>777</v>
      </c>
    </row>
    <row r="443" spans="1:3" hidden="1" x14ac:dyDescent="0.25">
      <c r="A443" s="73" t="s">
        <v>879</v>
      </c>
      <c r="B443" s="168" t="s">
        <v>6250</v>
      </c>
      <c r="C443" s="168" t="s">
        <v>879</v>
      </c>
    </row>
    <row r="444" spans="1:3" hidden="1" x14ac:dyDescent="0.25">
      <c r="A444" s="73" t="s">
        <v>839</v>
      </c>
      <c r="B444" s="168" t="s">
        <v>6251</v>
      </c>
      <c r="C444" s="168" t="s">
        <v>839</v>
      </c>
    </row>
    <row r="445" spans="1:3" hidden="1" x14ac:dyDescent="0.25">
      <c r="A445" s="73" t="s">
        <v>4225</v>
      </c>
      <c r="B445" s="168" t="s">
        <v>6252</v>
      </c>
      <c r="C445" s="168" t="s">
        <v>4225</v>
      </c>
    </row>
    <row r="446" spans="1:3" hidden="1" x14ac:dyDescent="0.25">
      <c r="A446" s="73" t="s">
        <v>3174</v>
      </c>
      <c r="B446" s="168" t="s">
        <v>6253</v>
      </c>
      <c r="C446" s="168" t="s">
        <v>3174</v>
      </c>
    </row>
    <row r="447" spans="1:3" hidden="1" x14ac:dyDescent="0.25">
      <c r="A447" s="73" t="s">
        <v>780</v>
      </c>
      <c r="B447" s="168" t="s">
        <v>6254</v>
      </c>
      <c r="C447" s="168" t="s">
        <v>780</v>
      </c>
    </row>
    <row r="448" spans="1:3" hidden="1" x14ac:dyDescent="0.25">
      <c r="A448" s="73" t="s">
        <v>792</v>
      </c>
      <c r="B448" s="168" t="s">
        <v>6255</v>
      </c>
      <c r="C448" s="168" t="s">
        <v>792</v>
      </c>
    </row>
    <row r="449" spans="1:3" hidden="1" x14ac:dyDescent="0.25">
      <c r="A449" s="73" t="s">
        <v>3170</v>
      </c>
      <c r="B449" s="168" t="s">
        <v>6256</v>
      </c>
      <c r="C449" s="168" t="s">
        <v>3170</v>
      </c>
    </row>
    <row r="450" spans="1:3" hidden="1" x14ac:dyDescent="0.25">
      <c r="A450" s="73" t="s">
        <v>3175</v>
      </c>
      <c r="B450" s="168" t="s">
        <v>6257</v>
      </c>
      <c r="C450" s="168" t="s">
        <v>3175</v>
      </c>
    </row>
    <row r="451" spans="1:3" hidden="1" x14ac:dyDescent="0.25">
      <c r="A451" s="73" t="s">
        <v>774</v>
      </c>
      <c r="B451" s="168" t="s">
        <v>6258</v>
      </c>
      <c r="C451" s="168" t="s">
        <v>774</v>
      </c>
    </row>
    <row r="452" spans="1:3" hidden="1" x14ac:dyDescent="0.25">
      <c r="A452" s="73" t="s">
        <v>737</v>
      </c>
      <c r="B452" s="168" t="s">
        <v>6259</v>
      </c>
      <c r="C452" s="168" t="s">
        <v>737</v>
      </c>
    </row>
    <row r="453" spans="1:3" hidden="1" x14ac:dyDescent="0.25">
      <c r="A453" s="73" t="s">
        <v>835</v>
      </c>
      <c r="B453" s="168" t="s">
        <v>6260</v>
      </c>
      <c r="C453" s="168" t="s">
        <v>835</v>
      </c>
    </row>
    <row r="454" spans="1:3" hidden="1" x14ac:dyDescent="0.25">
      <c r="A454" s="73" t="s">
        <v>6102</v>
      </c>
      <c r="B454" s="168" t="s">
        <v>6261</v>
      </c>
      <c r="C454" s="168" t="s">
        <v>6102</v>
      </c>
    </row>
    <row r="455" spans="1:3" hidden="1" x14ac:dyDescent="0.25">
      <c r="A455" s="73" t="s">
        <v>782</v>
      </c>
      <c r="B455" s="168" t="s">
        <v>6262</v>
      </c>
      <c r="C455" s="168" t="s">
        <v>782</v>
      </c>
    </row>
    <row r="456" spans="1:3" hidden="1" x14ac:dyDescent="0.25">
      <c r="A456" s="73" t="s">
        <v>808</v>
      </c>
      <c r="B456" s="168" t="s">
        <v>6263</v>
      </c>
      <c r="C456" s="168" t="s">
        <v>808</v>
      </c>
    </row>
    <row r="457" spans="1:3" hidden="1" x14ac:dyDescent="0.25">
      <c r="A457" s="73" t="s">
        <v>773</v>
      </c>
      <c r="B457" s="168" t="s">
        <v>6264</v>
      </c>
      <c r="C457" s="168" t="s">
        <v>773</v>
      </c>
    </row>
    <row r="458" spans="1:3" hidden="1" x14ac:dyDescent="0.25">
      <c r="A458" s="73" t="s">
        <v>840</v>
      </c>
      <c r="B458" s="168" t="s">
        <v>6265</v>
      </c>
      <c r="C458" s="168" t="s">
        <v>840</v>
      </c>
    </row>
    <row r="459" spans="1:3" hidden="1" x14ac:dyDescent="0.25">
      <c r="A459" s="73" t="s">
        <v>809</v>
      </c>
      <c r="B459" s="168" t="s">
        <v>6266</v>
      </c>
      <c r="C459" s="168" t="s">
        <v>809</v>
      </c>
    </row>
    <row r="460" spans="1:3" hidden="1" x14ac:dyDescent="0.25">
      <c r="A460" s="73" t="s">
        <v>841</v>
      </c>
      <c r="B460" s="168" t="s">
        <v>6267</v>
      </c>
      <c r="C460" s="168" t="s">
        <v>841</v>
      </c>
    </row>
    <row r="461" spans="1:3" hidden="1" x14ac:dyDescent="0.25">
      <c r="A461" s="73" t="s">
        <v>4222</v>
      </c>
      <c r="B461" s="168" t="s">
        <v>6268</v>
      </c>
      <c r="C461" s="168" t="s">
        <v>4222</v>
      </c>
    </row>
    <row r="462" spans="1:3" hidden="1" x14ac:dyDescent="0.25">
      <c r="A462" s="73" t="s">
        <v>743</v>
      </c>
      <c r="B462" s="168" t="s">
        <v>6269</v>
      </c>
      <c r="C462" s="168" t="s">
        <v>743</v>
      </c>
    </row>
    <row r="463" spans="1:3" hidden="1" x14ac:dyDescent="0.25">
      <c r="A463" s="73" t="s">
        <v>744</v>
      </c>
      <c r="B463" s="168" t="s">
        <v>6270</v>
      </c>
      <c r="C463" s="168" t="s">
        <v>744</v>
      </c>
    </row>
    <row r="464" spans="1:3" hidden="1" x14ac:dyDescent="0.25">
      <c r="A464" s="73" t="s">
        <v>4230</v>
      </c>
      <c r="B464" s="168" t="s">
        <v>6271</v>
      </c>
      <c r="C464" s="168" t="s">
        <v>4230</v>
      </c>
    </row>
    <row r="465" spans="1:3" hidden="1" x14ac:dyDescent="0.25">
      <c r="A465" s="73" t="s">
        <v>842</v>
      </c>
      <c r="B465" s="168" t="s">
        <v>6272</v>
      </c>
      <c r="C465" s="168" t="s">
        <v>842</v>
      </c>
    </row>
    <row r="466" spans="1:3" hidden="1" x14ac:dyDescent="0.25">
      <c r="A466" s="73" t="s">
        <v>6103</v>
      </c>
      <c r="B466" s="168" t="s">
        <v>6273</v>
      </c>
      <c r="C466" s="168" t="s">
        <v>6103</v>
      </c>
    </row>
    <row r="467" spans="1:3" hidden="1" x14ac:dyDescent="0.25">
      <c r="A467" s="73" t="s">
        <v>844</v>
      </c>
      <c r="B467" s="168" t="s">
        <v>6274</v>
      </c>
      <c r="C467" s="168" t="s">
        <v>844</v>
      </c>
    </row>
    <row r="468" spans="1:3" hidden="1" x14ac:dyDescent="0.25">
      <c r="A468" s="73" t="s">
        <v>823</v>
      </c>
      <c r="B468" s="168" t="s">
        <v>6275</v>
      </c>
      <c r="C468" s="168" t="s">
        <v>823</v>
      </c>
    </row>
    <row r="469" spans="1:3" hidden="1" x14ac:dyDescent="0.25">
      <c r="A469" s="73" t="s">
        <v>843</v>
      </c>
      <c r="B469" s="168" t="s">
        <v>6276</v>
      </c>
      <c r="C469" s="168" t="s">
        <v>843</v>
      </c>
    </row>
    <row r="470" spans="1:3" hidden="1" x14ac:dyDescent="0.25">
      <c r="A470" s="73" t="s">
        <v>3182</v>
      </c>
      <c r="B470" s="168" t="s">
        <v>6277</v>
      </c>
      <c r="C470" s="168" t="s">
        <v>3182</v>
      </c>
    </row>
    <row r="471" spans="1:3" hidden="1" x14ac:dyDescent="0.25">
      <c r="A471" s="73" t="s">
        <v>845</v>
      </c>
      <c r="B471" s="168" t="s">
        <v>6278</v>
      </c>
      <c r="C471" s="168" t="s">
        <v>845</v>
      </c>
    </row>
    <row r="472" spans="1:3" hidden="1" x14ac:dyDescent="0.25">
      <c r="A472" s="73" t="s">
        <v>753</v>
      </c>
      <c r="B472" s="168" t="s">
        <v>6279</v>
      </c>
      <c r="C472" s="168" t="s">
        <v>753</v>
      </c>
    </row>
    <row r="473" spans="1:3" hidden="1" x14ac:dyDescent="0.25">
      <c r="A473" s="73" t="s">
        <v>846</v>
      </c>
      <c r="B473" s="168" t="s">
        <v>6280</v>
      </c>
      <c r="C473" s="168" t="s">
        <v>846</v>
      </c>
    </row>
    <row r="474" spans="1:3" hidden="1" x14ac:dyDescent="0.25">
      <c r="A474" s="73" t="s">
        <v>752</v>
      </c>
      <c r="B474" s="168" t="s">
        <v>6281</v>
      </c>
      <c r="C474" s="168" t="s">
        <v>752</v>
      </c>
    </row>
    <row r="475" spans="1:3" hidden="1" x14ac:dyDescent="0.25">
      <c r="A475" s="73" t="s">
        <v>847</v>
      </c>
      <c r="B475" s="168" t="s">
        <v>6282</v>
      </c>
      <c r="C475" s="168" t="s">
        <v>847</v>
      </c>
    </row>
    <row r="476" spans="1:3" hidden="1" x14ac:dyDescent="0.25">
      <c r="A476" s="73" t="s">
        <v>4214</v>
      </c>
      <c r="B476" s="168" t="s">
        <v>6283</v>
      </c>
      <c r="C476" s="168" t="s">
        <v>4214</v>
      </c>
    </row>
    <row r="477" spans="1:3" hidden="1" x14ac:dyDescent="0.25">
      <c r="A477" s="73" t="s">
        <v>3173</v>
      </c>
      <c r="B477" s="168" t="s">
        <v>6284</v>
      </c>
      <c r="C477" s="168" t="s">
        <v>3173</v>
      </c>
    </row>
    <row r="478" spans="1:3" hidden="1" x14ac:dyDescent="0.25">
      <c r="A478" s="73" t="s">
        <v>848</v>
      </c>
      <c r="B478" s="168" t="s">
        <v>6285</v>
      </c>
      <c r="C478" s="168" t="s">
        <v>848</v>
      </c>
    </row>
    <row r="479" spans="1:3" hidden="1" x14ac:dyDescent="0.25">
      <c r="A479" s="73" t="s">
        <v>849</v>
      </c>
      <c r="B479" s="168" t="s">
        <v>6286</v>
      </c>
      <c r="C479" s="168" t="s">
        <v>849</v>
      </c>
    </row>
    <row r="480" spans="1:3" hidden="1" x14ac:dyDescent="0.25">
      <c r="A480" s="73" t="s">
        <v>850</v>
      </c>
      <c r="B480" s="168" t="s">
        <v>6287</v>
      </c>
      <c r="C480" s="168" t="s">
        <v>850</v>
      </c>
    </row>
    <row r="481" spans="1:3" hidden="1" x14ac:dyDescent="0.25">
      <c r="A481" s="73" t="s">
        <v>4223</v>
      </c>
      <c r="B481" s="168" t="s">
        <v>6288</v>
      </c>
      <c r="C481" s="168" t="s">
        <v>4223</v>
      </c>
    </row>
    <row r="482" spans="1:3" hidden="1" x14ac:dyDescent="0.25">
      <c r="A482" s="73" t="s">
        <v>866</v>
      </c>
      <c r="B482" s="168" t="s">
        <v>6289</v>
      </c>
      <c r="C482" s="168" t="s">
        <v>866</v>
      </c>
    </row>
    <row r="483" spans="1:3" hidden="1" x14ac:dyDescent="0.25">
      <c r="A483" s="73" t="s">
        <v>708</v>
      </c>
      <c r="B483" s="168" t="s">
        <v>6290</v>
      </c>
      <c r="C483" s="168" t="s">
        <v>708</v>
      </c>
    </row>
    <row r="484" spans="1:3" hidden="1" x14ac:dyDescent="0.25">
      <c r="A484" s="73" t="s">
        <v>739</v>
      </c>
      <c r="B484" s="168" t="s">
        <v>6291</v>
      </c>
      <c r="C484" s="168" t="s">
        <v>739</v>
      </c>
    </row>
    <row r="485" spans="1:3" hidden="1" x14ac:dyDescent="0.25">
      <c r="A485" s="73" t="s">
        <v>783</v>
      </c>
      <c r="B485" s="168" t="s">
        <v>6292</v>
      </c>
      <c r="C485" s="168" t="s">
        <v>783</v>
      </c>
    </row>
    <row r="486" spans="1:3" hidden="1" x14ac:dyDescent="0.25">
      <c r="A486" s="73" t="s">
        <v>875</v>
      </c>
      <c r="B486" s="168" t="s">
        <v>6293</v>
      </c>
      <c r="C486" s="168" t="s">
        <v>875</v>
      </c>
    </row>
    <row r="487" spans="1:3" hidden="1" x14ac:dyDescent="0.25">
      <c r="A487" s="73" t="s">
        <v>831</v>
      </c>
      <c r="B487" s="168" t="s">
        <v>6294</v>
      </c>
      <c r="C487" s="168" t="s">
        <v>831</v>
      </c>
    </row>
    <row r="488" spans="1:3" hidden="1" x14ac:dyDescent="0.25">
      <c r="A488" s="73" t="s">
        <v>810</v>
      </c>
      <c r="B488" s="168" t="s">
        <v>6295</v>
      </c>
      <c r="C488" s="168" t="s">
        <v>810</v>
      </c>
    </row>
    <row r="489" spans="1:3" hidden="1" x14ac:dyDescent="0.25">
      <c r="A489" s="73" t="s">
        <v>811</v>
      </c>
      <c r="B489" s="168" t="s">
        <v>6296</v>
      </c>
      <c r="C489" s="168" t="s">
        <v>811</v>
      </c>
    </row>
    <row r="490" spans="1:3" hidden="1" x14ac:dyDescent="0.25">
      <c r="A490" s="73" t="s">
        <v>855</v>
      </c>
      <c r="B490" s="168" t="s">
        <v>6297</v>
      </c>
      <c r="C490" s="168" t="s">
        <v>855</v>
      </c>
    </row>
    <row r="491" spans="1:3" hidden="1" x14ac:dyDescent="0.25">
      <c r="A491" s="73" t="s">
        <v>6104</v>
      </c>
      <c r="B491" s="168" t="s">
        <v>6298</v>
      </c>
      <c r="C491" s="168" t="s">
        <v>6104</v>
      </c>
    </row>
    <row r="492" spans="1:3" hidden="1" x14ac:dyDescent="0.25">
      <c r="A492" s="73" t="s">
        <v>6105</v>
      </c>
      <c r="B492" s="168" t="s">
        <v>6299</v>
      </c>
      <c r="C492" s="168" t="s">
        <v>6105</v>
      </c>
    </row>
    <row r="493" spans="1:3" hidden="1" x14ac:dyDescent="0.25">
      <c r="A493" s="73" t="s">
        <v>820</v>
      </c>
      <c r="B493" s="168" t="s">
        <v>6300</v>
      </c>
      <c r="C493" s="168" t="s">
        <v>820</v>
      </c>
    </row>
    <row r="494" spans="1:3" hidden="1" x14ac:dyDescent="0.25">
      <c r="A494" s="73" t="s">
        <v>864</v>
      </c>
      <c r="B494" s="168" t="s">
        <v>6301</v>
      </c>
      <c r="C494" s="168" t="s">
        <v>864</v>
      </c>
    </row>
    <row r="495" spans="1:3" hidden="1" x14ac:dyDescent="0.25">
      <c r="A495" s="73" t="s">
        <v>3168</v>
      </c>
      <c r="B495" s="168" t="s">
        <v>6302</v>
      </c>
      <c r="C495" s="168" t="s">
        <v>3168</v>
      </c>
    </row>
    <row r="496" spans="1:3" hidden="1" x14ac:dyDescent="0.25">
      <c r="A496" s="73" t="s">
        <v>814</v>
      </c>
      <c r="B496" s="168" t="s">
        <v>6303</v>
      </c>
      <c r="C496" s="168" t="s">
        <v>814</v>
      </c>
    </row>
    <row r="497" spans="1:3" hidden="1" x14ac:dyDescent="0.25">
      <c r="A497" s="73" t="s">
        <v>834</v>
      </c>
      <c r="B497" s="168" t="s">
        <v>6304</v>
      </c>
      <c r="C497" s="168" t="s">
        <v>834</v>
      </c>
    </row>
    <row r="498" spans="1:3" hidden="1" x14ac:dyDescent="0.25">
      <c r="A498" s="73" t="s">
        <v>815</v>
      </c>
      <c r="B498" s="168" t="s">
        <v>6305</v>
      </c>
      <c r="C498" s="168" t="s">
        <v>815</v>
      </c>
    </row>
    <row r="499" spans="1:3" hidden="1" x14ac:dyDescent="0.25">
      <c r="A499" s="73" t="s">
        <v>6106</v>
      </c>
      <c r="B499" s="168" t="s">
        <v>6306</v>
      </c>
      <c r="C499" s="168" t="s">
        <v>6106</v>
      </c>
    </row>
    <row r="500" spans="1:3" hidden="1" x14ac:dyDescent="0.25">
      <c r="A500" s="73" t="s">
        <v>755</v>
      </c>
      <c r="B500" s="168" t="s">
        <v>6307</v>
      </c>
      <c r="C500" s="168" t="s">
        <v>755</v>
      </c>
    </row>
    <row r="501" spans="1:3" hidden="1" x14ac:dyDescent="0.25">
      <c r="A501" s="73" t="s">
        <v>785</v>
      </c>
      <c r="B501" s="168" t="s">
        <v>6308</v>
      </c>
      <c r="C501" s="168" t="s">
        <v>785</v>
      </c>
    </row>
    <row r="502" spans="1:3" hidden="1" x14ac:dyDescent="0.25">
      <c r="A502" s="73" t="s">
        <v>851</v>
      </c>
      <c r="B502" s="168" t="s">
        <v>6309</v>
      </c>
      <c r="C502" s="168" t="s">
        <v>851</v>
      </c>
    </row>
    <row r="503" spans="1:3" hidden="1" x14ac:dyDescent="0.25">
      <c r="A503" s="73" t="s">
        <v>711</v>
      </c>
      <c r="B503" s="168" t="s">
        <v>6310</v>
      </c>
      <c r="C503" s="168" t="s">
        <v>711</v>
      </c>
    </row>
    <row r="504" spans="1:3" hidden="1" x14ac:dyDescent="0.25">
      <c r="A504" s="73" t="s">
        <v>3172</v>
      </c>
      <c r="B504" s="168" t="s">
        <v>6311</v>
      </c>
      <c r="C504" s="168" t="s">
        <v>3172</v>
      </c>
    </row>
    <row r="505" spans="1:3" hidden="1" x14ac:dyDescent="0.25">
      <c r="A505" s="73" t="s">
        <v>852</v>
      </c>
      <c r="B505" s="168" t="s">
        <v>6312</v>
      </c>
      <c r="C505" s="168" t="s">
        <v>852</v>
      </c>
    </row>
    <row r="506" spans="1:3" hidden="1" x14ac:dyDescent="0.25">
      <c r="A506" s="73" t="s">
        <v>818</v>
      </c>
      <c r="B506" s="168" t="s">
        <v>6313</v>
      </c>
      <c r="C506" s="168" t="s">
        <v>818</v>
      </c>
    </row>
    <row r="507" spans="1:3" hidden="1" x14ac:dyDescent="0.25">
      <c r="A507" s="73" t="s">
        <v>3176</v>
      </c>
      <c r="B507" s="168" t="s">
        <v>6314</v>
      </c>
      <c r="C507" s="168" t="s">
        <v>3176</v>
      </c>
    </row>
    <row r="508" spans="1:3" hidden="1" x14ac:dyDescent="0.25">
      <c r="A508" s="73" t="s">
        <v>819</v>
      </c>
      <c r="B508" s="168" t="s">
        <v>6315</v>
      </c>
      <c r="C508" s="168" t="s">
        <v>819</v>
      </c>
    </row>
    <row r="509" spans="1:3" hidden="1" x14ac:dyDescent="0.25">
      <c r="A509" s="73" t="s">
        <v>816</v>
      </c>
      <c r="B509" s="168" t="s">
        <v>6316</v>
      </c>
      <c r="C509" s="168" t="s">
        <v>816</v>
      </c>
    </row>
    <row r="510" spans="1:3" hidden="1" x14ac:dyDescent="0.25">
      <c r="A510" s="73" t="s">
        <v>6107</v>
      </c>
      <c r="B510" s="168" t="s">
        <v>6317</v>
      </c>
      <c r="C510" s="168" t="s">
        <v>6107</v>
      </c>
    </row>
    <row r="511" spans="1:3" hidden="1" x14ac:dyDescent="0.25">
      <c r="A511" s="73" t="s">
        <v>786</v>
      </c>
      <c r="B511" s="168" t="s">
        <v>6318</v>
      </c>
      <c r="C511" s="168" t="s">
        <v>786</v>
      </c>
    </row>
    <row r="512" spans="1:3" hidden="1" x14ac:dyDescent="0.25">
      <c r="A512" s="73" t="s">
        <v>4219</v>
      </c>
      <c r="B512" s="168" t="s">
        <v>6319</v>
      </c>
      <c r="C512" s="168" t="s">
        <v>4219</v>
      </c>
    </row>
    <row r="513" spans="1:3" hidden="1" x14ac:dyDescent="0.25">
      <c r="A513" s="73" t="s">
        <v>817</v>
      </c>
      <c r="B513" s="168" t="s">
        <v>6320</v>
      </c>
      <c r="C513" s="168" t="s">
        <v>817</v>
      </c>
    </row>
    <row r="514" spans="1:3" hidden="1" x14ac:dyDescent="0.25">
      <c r="A514" s="73" t="s">
        <v>827</v>
      </c>
      <c r="B514" s="168" t="s">
        <v>6321</v>
      </c>
      <c r="C514" s="168" t="s">
        <v>827</v>
      </c>
    </row>
    <row r="515" spans="1:3" hidden="1" x14ac:dyDescent="0.25">
      <c r="A515" s="73" t="s">
        <v>709</v>
      </c>
      <c r="B515" s="168" t="s">
        <v>6322</v>
      </c>
      <c r="C515" s="168" t="s">
        <v>709</v>
      </c>
    </row>
    <row r="516" spans="1:3" hidden="1" x14ac:dyDescent="0.25">
      <c r="A516" s="73" t="s">
        <v>882</v>
      </c>
      <c r="B516" s="168" t="s">
        <v>6323</v>
      </c>
      <c r="C516" s="168" t="s">
        <v>882</v>
      </c>
    </row>
    <row r="517" spans="1:3" hidden="1" x14ac:dyDescent="0.25">
      <c r="A517" s="73" t="s">
        <v>821</v>
      </c>
      <c r="B517" s="168" t="s">
        <v>6324</v>
      </c>
      <c r="C517" s="168" t="s">
        <v>821</v>
      </c>
    </row>
    <row r="518" spans="1:3" hidden="1" x14ac:dyDescent="0.25">
      <c r="A518" s="73" t="s">
        <v>883</v>
      </c>
      <c r="B518" s="168" t="s">
        <v>6325</v>
      </c>
      <c r="C518" s="168" t="s">
        <v>883</v>
      </c>
    </row>
    <row r="519" spans="1:3" hidden="1" x14ac:dyDescent="0.25">
      <c r="A519" s="73" t="s">
        <v>822</v>
      </c>
      <c r="B519" s="168" t="s">
        <v>6326</v>
      </c>
      <c r="C519" s="168" t="s">
        <v>822</v>
      </c>
    </row>
    <row r="520" spans="1:3" hidden="1" x14ac:dyDescent="0.25">
      <c r="A520" s="73" t="s">
        <v>813</v>
      </c>
      <c r="B520" s="168" t="s">
        <v>6327</v>
      </c>
      <c r="C520" s="168" t="s">
        <v>813</v>
      </c>
    </row>
    <row r="521" spans="1:3" hidden="1" x14ac:dyDescent="0.25">
      <c r="A521" s="73" t="s">
        <v>3180</v>
      </c>
      <c r="B521" s="168" t="s">
        <v>6328</v>
      </c>
      <c r="C521" s="168" t="s">
        <v>3180</v>
      </c>
    </row>
    <row r="522" spans="1:3" hidden="1" x14ac:dyDescent="0.25">
      <c r="A522" s="73" t="s">
        <v>4228</v>
      </c>
      <c r="B522" s="168" t="s">
        <v>6329</v>
      </c>
      <c r="C522" s="168" t="s">
        <v>4228</v>
      </c>
    </row>
    <row r="523" spans="1:3" hidden="1" x14ac:dyDescent="0.25">
      <c r="A523" s="73" t="s">
        <v>6108</v>
      </c>
      <c r="B523" s="168" t="s">
        <v>6330</v>
      </c>
      <c r="C523" s="168" t="s">
        <v>6108</v>
      </c>
    </row>
    <row r="524" spans="1:3" hidden="1" x14ac:dyDescent="0.25">
      <c r="A524" s="73" t="s">
        <v>6109</v>
      </c>
      <c r="B524" s="168" t="s">
        <v>6331</v>
      </c>
      <c r="C524" s="168" t="s">
        <v>6109</v>
      </c>
    </row>
    <row r="525" spans="1:3" hidden="1" x14ac:dyDescent="0.25">
      <c r="A525" s="73" t="s">
        <v>4284</v>
      </c>
      <c r="B525" s="168" t="s">
        <v>6332</v>
      </c>
      <c r="C525" s="168" t="s">
        <v>4284</v>
      </c>
    </row>
    <row r="526" spans="1:3" hidden="1" x14ac:dyDescent="0.25">
      <c r="A526" s="73" t="s">
        <v>3177</v>
      </c>
      <c r="B526" s="168" t="s">
        <v>6333</v>
      </c>
      <c r="C526" s="168" t="s">
        <v>3177</v>
      </c>
    </row>
    <row r="527" spans="1:3" hidden="1" x14ac:dyDescent="0.25">
      <c r="A527" s="73" t="s">
        <v>886</v>
      </c>
      <c r="B527" s="168" t="s">
        <v>6334</v>
      </c>
      <c r="C527" s="168" t="s">
        <v>886</v>
      </c>
    </row>
    <row r="528" spans="1:3" hidden="1" x14ac:dyDescent="0.25">
      <c r="A528" s="73" t="s">
        <v>891</v>
      </c>
      <c r="B528" s="168" t="s">
        <v>6335</v>
      </c>
      <c r="C528" s="168" t="s">
        <v>891</v>
      </c>
    </row>
    <row r="529" spans="1:3" hidden="1" x14ac:dyDescent="0.25">
      <c r="A529" s="73" t="s">
        <v>824</v>
      </c>
      <c r="B529" s="168" t="s">
        <v>6336</v>
      </c>
      <c r="C529" s="168" t="s">
        <v>824</v>
      </c>
    </row>
    <row r="530" spans="1:3" hidden="1" x14ac:dyDescent="0.25">
      <c r="A530" s="73" t="s">
        <v>885</v>
      </c>
      <c r="B530" s="168" t="s">
        <v>6337</v>
      </c>
      <c r="C530" s="168" t="s">
        <v>885</v>
      </c>
    </row>
    <row r="531" spans="1:3" hidden="1" x14ac:dyDescent="0.25">
      <c r="A531" s="73" t="s">
        <v>854</v>
      </c>
      <c r="B531" s="168" t="s">
        <v>6338</v>
      </c>
      <c r="C531" s="168" t="s">
        <v>854</v>
      </c>
    </row>
    <row r="532" spans="1:3" hidden="1" x14ac:dyDescent="0.25">
      <c r="A532" s="73" t="s">
        <v>6110</v>
      </c>
      <c r="B532" s="168" t="s">
        <v>6339</v>
      </c>
      <c r="C532" s="168" t="s">
        <v>6110</v>
      </c>
    </row>
    <row r="533" spans="1:3" hidden="1" x14ac:dyDescent="0.25">
      <c r="A533" s="73" t="s">
        <v>4232</v>
      </c>
      <c r="B533" s="168" t="s">
        <v>6340</v>
      </c>
      <c r="C533" s="168" t="s">
        <v>4232</v>
      </c>
    </row>
    <row r="534" spans="1:3" hidden="1" x14ac:dyDescent="0.25">
      <c r="A534" s="73" t="s">
        <v>6111</v>
      </c>
      <c r="B534" s="168" t="s">
        <v>6341</v>
      </c>
      <c r="C534" s="168" t="s">
        <v>6111</v>
      </c>
    </row>
    <row r="535" spans="1:3" hidden="1" x14ac:dyDescent="0.25">
      <c r="A535" s="73" t="s">
        <v>6112</v>
      </c>
      <c r="B535" s="168" t="s">
        <v>6342</v>
      </c>
      <c r="C535" s="168" t="s">
        <v>6112</v>
      </c>
    </row>
    <row r="536" spans="1:3" hidden="1" x14ac:dyDescent="0.25">
      <c r="A536" s="73" t="s">
        <v>6113</v>
      </c>
      <c r="B536" s="168" t="s">
        <v>6343</v>
      </c>
      <c r="C536" s="168" t="s">
        <v>6113</v>
      </c>
    </row>
    <row r="537" spans="1:3" hidden="1" x14ac:dyDescent="0.25">
      <c r="A537" s="73" t="s">
        <v>6114</v>
      </c>
      <c r="B537" s="168" t="s">
        <v>6344</v>
      </c>
      <c r="C537" s="168" t="s">
        <v>6114</v>
      </c>
    </row>
    <row r="538" spans="1:3" hidden="1" x14ac:dyDescent="0.25">
      <c r="A538" s="73" t="s">
        <v>6115</v>
      </c>
      <c r="B538" s="168" t="s">
        <v>6345</v>
      </c>
      <c r="C538" s="168" t="s">
        <v>6115</v>
      </c>
    </row>
    <row r="539" spans="1:3" hidden="1" x14ac:dyDescent="0.25">
      <c r="A539" s="73" t="s">
        <v>6577</v>
      </c>
      <c r="B539" s="168" t="s">
        <v>4322</v>
      </c>
      <c r="C539" s="168" t="s">
        <v>6577</v>
      </c>
    </row>
    <row r="540" spans="1:3" hidden="1" x14ac:dyDescent="0.25">
      <c r="A540" s="73" t="s">
        <v>6578</v>
      </c>
      <c r="B540" s="168" t="s">
        <v>6654</v>
      </c>
      <c r="C540" s="168" t="s">
        <v>6578</v>
      </c>
    </row>
    <row r="541" spans="1:3" hidden="1" x14ac:dyDescent="0.25">
      <c r="A541" s="73" t="s">
        <v>6579</v>
      </c>
      <c r="B541" s="168" t="s">
        <v>6655</v>
      </c>
      <c r="C541" s="168" t="s">
        <v>6579</v>
      </c>
    </row>
    <row r="542" spans="1:3" hidden="1" x14ac:dyDescent="0.25">
      <c r="A542" s="73" t="s">
        <v>6580</v>
      </c>
      <c r="B542" s="168" t="s">
        <v>6656</v>
      </c>
      <c r="C542" s="168" t="s">
        <v>6580</v>
      </c>
    </row>
    <row r="543" spans="1:3" hidden="1" x14ac:dyDescent="0.25">
      <c r="A543" s="73" t="s">
        <v>6581</v>
      </c>
      <c r="B543" s="168" t="s">
        <v>6657</v>
      </c>
      <c r="C543" s="168" t="s">
        <v>6581</v>
      </c>
    </row>
    <row r="544" spans="1:3" hidden="1" x14ac:dyDescent="0.25">
      <c r="A544" s="73" t="s">
        <v>6582</v>
      </c>
      <c r="B544" s="168" t="s">
        <v>6658</v>
      </c>
      <c r="C544" s="168" t="s">
        <v>6582</v>
      </c>
    </row>
    <row r="545" spans="1:3" hidden="1" x14ac:dyDescent="0.25">
      <c r="A545" s="73" t="s">
        <v>6583</v>
      </c>
      <c r="B545" s="168" t="s">
        <v>6659</v>
      </c>
      <c r="C545" s="168" t="s">
        <v>6583</v>
      </c>
    </row>
    <row r="546" spans="1:3" hidden="1" x14ac:dyDescent="0.25">
      <c r="A546" s="73" t="s">
        <v>6584</v>
      </c>
      <c r="B546" s="168" t="s">
        <v>6660</v>
      </c>
      <c r="C546" s="168" t="s">
        <v>6584</v>
      </c>
    </row>
    <row r="547" spans="1:3" hidden="1" x14ac:dyDescent="0.25">
      <c r="A547" s="73" t="s">
        <v>6585</v>
      </c>
      <c r="B547" s="168" t="s">
        <v>6661</v>
      </c>
      <c r="C547" s="168" t="s">
        <v>6585</v>
      </c>
    </row>
    <row r="548" spans="1:3" hidden="1" x14ac:dyDescent="0.25">
      <c r="A548" s="73" t="s">
        <v>6586</v>
      </c>
      <c r="B548" s="168" t="s">
        <v>6662</v>
      </c>
      <c r="C548" s="168" t="s">
        <v>6586</v>
      </c>
    </row>
    <row r="549" spans="1:3" hidden="1" x14ac:dyDescent="0.25">
      <c r="A549" s="73" t="s">
        <v>6587</v>
      </c>
      <c r="B549" s="168" t="s">
        <v>6663</v>
      </c>
      <c r="C549" s="168" t="s">
        <v>6587</v>
      </c>
    </row>
    <row r="550" spans="1:3" hidden="1" x14ac:dyDescent="0.25">
      <c r="A550" s="73" t="s">
        <v>6588</v>
      </c>
      <c r="B550" s="168" t="s">
        <v>6664</v>
      </c>
      <c r="C550" s="168" t="s">
        <v>6588</v>
      </c>
    </row>
    <row r="551" spans="1:3" hidden="1" x14ac:dyDescent="0.25">
      <c r="A551" s="73" t="s">
        <v>6589</v>
      </c>
      <c r="B551" s="168" t="s">
        <v>6665</v>
      </c>
      <c r="C551" s="168" t="s">
        <v>6589</v>
      </c>
    </row>
    <row r="552" spans="1:3" hidden="1" x14ac:dyDescent="0.25">
      <c r="A552" s="73" t="s">
        <v>6590</v>
      </c>
      <c r="B552" s="168" t="s">
        <v>6666</v>
      </c>
      <c r="C552" s="168" t="s">
        <v>6590</v>
      </c>
    </row>
    <row r="553" spans="1:3" hidden="1" x14ac:dyDescent="0.25">
      <c r="A553" s="73" t="s">
        <v>6591</v>
      </c>
      <c r="B553" s="168" t="s">
        <v>6667</v>
      </c>
      <c r="C553" s="168" t="s">
        <v>6591</v>
      </c>
    </row>
    <row r="554" spans="1:3" hidden="1" x14ac:dyDescent="0.25">
      <c r="A554" s="73" t="s">
        <v>6592</v>
      </c>
      <c r="B554" s="168" t="s">
        <v>6668</v>
      </c>
      <c r="C554" s="168" t="s">
        <v>6592</v>
      </c>
    </row>
    <row r="555" spans="1:3" hidden="1" x14ac:dyDescent="0.25">
      <c r="A555" s="73" t="s">
        <v>6593</v>
      </c>
      <c r="B555" s="168" t="s">
        <v>6669</v>
      </c>
      <c r="C555" s="168" t="s">
        <v>6593</v>
      </c>
    </row>
    <row r="556" spans="1:3" hidden="1" x14ac:dyDescent="0.25">
      <c r="A556" s="73" t="s">
        <v>6594</v>
      </c>
      <c r="B556" s="168" t="s">
        <v>6670</v>
      </c>
      <c r="C556" s="168" t="s">
        <v>6594</v>
      </c>
    </row>
    <row r="557" spans="1:3" hidden="1" x14ac:dyDescent="0.25">
      <c r="A557" s="73" t="s">
        <v>6595</v>
      </c>
      <c r="B557" s="168" t="s">
        <v>6671</v>
      </c>
      <c r="C557" s="168" t="s">
        <v>6595</v>
      </c>
    </row>
    <row r="558" spans="1:3" hidden="1" x14ac:dyDescent="0.25">
      <c r="A558" s="73" t="s">
        <v>6596</v>
      </c>
      <c r="B558" s="168" t="s">
        <v>6672</v>
      </c>
      <c r="C558" s="168" t="s">
        <v>6596</v>
      </c>
    </row>
    <row r="559" spans="1:3" hidden="1" x14ac:dyDescent="0.25">
      <c r="A559" s="73" t="s">
        <v>6597</v>
      </c>
      <c r="B559" s="168" t="s">
        <v>6673</v>
      </c>
      <c r="C559" s="168" t="s">
        <v>6597</v>
      </c>
    </row>
    <row r="560" spans="1:3" hidden="1" x14ac:dyDescent="0.25">
      <c r="A560" s="73" t="s">
        <v>6598</v>
      </c>
      <c r="B560" s="168" t="s">
        <v>6674</v>
      </c>
      <c r="C560" s="168" t="s">
        <v>6598</v>
      </c>
    </row>
    <row r="561" spans="1:3" hidden="1" x14ac:dyDescent="0.25">
      <c r="A561" s="73" t="s">
        <v>6599</v>
      </c>
      <c r="B561" s="168" t="s">
        <v>6675</v>
      </c>
      <c r="C561" s="168" t="s">
        <v>6599</v>
      </c>
    </row>
    <row r="562" spans="1:3" hidden="1" x14ac:dyDescent="0.25">
      <c r="A562" s="73" t="s">
        <v>6600</v>
      </c>
      <c r="B562" s="168" t="s">
        <v>6676</v>
      </c>
      <c r="C562" s="168" t="s">
        <v>6600</v>
      </c>
    </row>
    <row r="563" spans="1:3" hidden="1" x14ac:dyDescent="0.25">
      <c r="A563" s="73" t="s">
        <v>6601</v>
      </c>
      <c r="B563" s="168" t="s">
        <v>6677</v>
      </c>
      <c r="C563" s="168" t="s">
        <v>6601</v>
      </c>
    </row>
    <row r="564" spans="1:3" hidden="1" x14ac:dyDescent="0.25">
      <c r="A564" s="73" t="s">
        <v>6602</v>
      </c>
      <c r="B564" s="168" t="s">
        <v>6678</v>
      </c>
      <c r="C564" s="168" t="s">
        <v>6602</v>
      </c>
    </row>
    <row r="565" spans="1:3" hidden="1" x14ac:dyDescent="0.25">
      <c r="A565" s="73" t="s">
        <v>6603</v>
      </c>
      <c r="B565" s="168" t="s">
        <v>6679</v>
      </c>
      <c r="C565" s="168" t="s">
        <v>6603</v>
      </c>
    </row>
    <row r="566" spans="1:3" hidden="1" x14ac:dyDescent="0.25">
      <c r="A566" s="73" t="s">
        <v>6604</v>
      </c>
      <c r="B566" s="168" t="s">
        <v>6680</v>
      </c>
      <c r="C566" s="168" t="s">
        <v>6604</v>
      </c>
    </row>
    <row r="567" spans="1:3" hidden="1" x14ac:dyDescent="0.25">
      <c r="A567" s="73" t="s">
        <v>6605</v>
      </c>
      <c r="B567" s="168" t="s">
        <v>6681</v>
      </c>
      <c r="C567" s="168" t="s">
        <v>6605</v>
      </c>
    </row>
  </sheetData>
  <sheetProtection algorithmName="SHA-512" hashValue="yIp84j+GMDNOyx3lJSAPAMD3lIEz4zuwaik1IQ7xalKjayof6Xkx+YfdQfEyonpbqM0iAs4WxpwTVa8reBXfLw==" saltValue="P1jFs6ROJesGPDGHXuNMgw==" spinCount="100000" sheet="1" objects="1" scenarios="1"/>
  <sortState xmlns:xlrd2="http://schemas.microsoft.com/office/spreadsheetml/2017/richdata2" ref="Y1:Z186">
    <sortCondition ref="Y1"/>
  </sortState>
  <mergeCells count="16">
    <mergeCell ref="B81:D81"/>
    <mergeCell ref="B5:D5"/>
    <mergeCell ref="B33:D33"/>
    <mergeCell ref="C40:D40"/>
    <mergeCell ref="C43:D43"/>
    <mergeCell ref="C44:D44"/>
    <mergeCell ref="B49:D49"/>
    <mergeCell ref="B52:D52"/>
    <mergeCell ref="B54:D54"/>
    <mergeCell ref="B59:C60"/>
    <mergeCell ref="D59:D60"/>
    <mergeCell ref="B98:D98"/>
    <mergeCell ref="B119:D119"/>
    <mergeCell ref="B124:D124"/>
    <mergeCell ref="B147:D147"/>
    <mergeCell ref="B148:D148"/>
  </mergeCells>
  <conditionalFormatting sqref="C68">
    <cfRule type="containsText" dxfId="16" priority="13" operator="containsText" text="leave">
      <formula>NOT(ISERROR(SEARCH("leave",C68)))</formula>
    </cfRule>
  </conditionalFormatting>
  <conditionalFormatting sqref="C74">
    <cfRule type="containsText" dxfId="15" priority="12" operator="containsText" text="leave">
      <formula>NOT(ISERROR(SEARCH("leave",C74)))</formula>
    </cfRule>
  </conditionalFormatting>
  <conditionalFormatting sqref="C151">
    <cfRule type="containsText" dxfId="14" priority="11" operator="containsText" text="leave">
      <formula>NOT(ISERROR(SEARCH("leave",C151)))</formula>
    </cfRule>
  </conditionalFormatting>
  <conditionalFormatting sqref="C76">
    <cfRule type="cellIs" dxfId="13" priority="10" operator="equal">
      <formula>"leave blank"</formula>
    </cfRule>
  </conditionalFormatting>
  <conditionalFormatting sqref="D195">
    <cfRule type="containsText" dxfId="12" priority="5" operator="containsText" text="EU">
      <formula>NOT(ISERROR(SEARCH("EU",D195)))</formula>
    </cfRule>
    <cfRule type="containsText" dxfId="11" priority="6" operator="containsText" text="FR">
      <formula>NOT(ISERROR(SEARCH("FR",D195)))</formula>
    </cfRule>
    <cfRule type="containsText" dxfId="10" priority="7" operator="containsText" text="NEED">
      <formula>NOT(ISERROR(SEARCH("NEED",D195)))</formula>
    </cfRule>
    <cfRule type="containsText" dxfId="9" priority="8" operator="containsText" text="NEED">
      <formula>NOT(ISERROR(SEARCH("NEED",D195)))</formula>
    </cfRule>
  </conditionalFormatting>
  <conditionalFormatting sqref="B68">
    <cfRule type="containsText" dxfId="8" priority="4" operator="containsText" text="leave">
      <formula>NOT(ISERROR(SEARCH("leave",B68)))</formula>
    </cfRule>
  </conditionalFormatting>
  <conditionalFormatting sqref="C116 C118">
    <cfRule type="containsText" dxfId="7" priority="3" operator="containsText" text="sans">
      <formula>NOT(ISERROR(SEARCH("sans",C116)))</formula>
    </cfRule>
  </conditionalFormatting>
  <conditionalFormatting sqref="C118">
    <cfRule type="containsText" dxfId="6" priority="2" operator="containsText" text="0">
      <formula>NOT(ISERROR(SEARCH("0",C118)))</formula>
    </cfRule>
  </conditionalFormatting>
  <hyperlinks>
    <hyperlink ref="B59:C60" location="'Hiring Action Reason'!A1" display="CLICK TO GET ACTION AND REASON  HERE" xr:uid="{00000000-0004-0000-0900-000000000000}"/>
  </hyperlink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38"/>
  <sheetViews>
    <sheetView showGridLines="0" showRowColHeaders="0" zoomScale="70" zoomScaleNormal="70" workbookViewId="0">
      <selection activeCell="D28" sqref="D28"/>
    </sheetView>
  </sheetViews>
  <sheetFormatPr baseColWidth="10" defaultColWidth="0" defaultRowHeight="15" zeroHeight="1" x14ac:dyDescent="0.25"/>
  <cols>
    <col min="1" max="1" width="10.85546875" bestFit="1" customWidth="1"/>
    <col min="2" max="2" width="40.85546875" bestFit="1" customWidth="1"/>
    <col min="3" max="3" width="44.140625" bestFit="1" customWidth="1"/>
    <col min="4" max="4" width="49.42578125" bestFit="1" customWidth="1"/>
    <col min="5" max="5" width="9.140625" customWidth="1"/>
    <col min="6" max="16384" width="9.140625" hidden="1"/>
  </cols>
  <sheetData>
    <row r="1" spans="1:4" x14ac:dyDescent="0.25">
      <c r="A1" s="3"/>
      <c r="B1" s="3"/>
      <c r="C1" s="3"/>
      <c r="D1" s="3"/>
    </row>
    <row r="2" spans="1:4" ht="15.75" thickBot="1" x14ac:dyDescent="0.3">
      <c r="A2" s="117" t="s">
        <v>3052</v>
      </c>
      <c r="B2" s="118" t="s">
        <v>3146</v>
      </c>
      <c r="C2" s="118" t="s">
        <v>3147</v>
      </c>
      <c r="D2" s="118" t="s">
        <v>3148</v>
      </c>
    </row>
    <row r="3" spans="1:4" ht="15.75" thickTop="1" x14ac:dyDescent="0.25">
      <c r="A3" s="119">
        <v>12</v>
      </c>
      <c r="B3" s="120" t="s">
        <v>17</v>
      </c>
      <c r="C3" s="120" t="s">
        <v>18</v>
      </c>
      <c r="D3" s="121" t="s">
        <v>3149</v>
      </c>
    </row>
    <row r="4" spans="1:4" x14ac:dyDescent="0.25">
      <c r="A4" s="119">
        <v>14</v>
      </c>
      <c r="B4" s="120" t="s">
        <v>23</v>
      </c>
      <c r="C4" s="120" t="s">
        <v>24</v>
      </c>
      <c r="D4" s="121" t="s">
        <v>3149</v>
      </c>
    </row>
    <row r="5" spans="1:4" x14ac:dyDescent="0.25">
      <c r="A5" s="119">
        <v>15</v>
      </c>
      <c r="B5" s="120" t="s">
        <v>25</v>
      </c>
      <c r="C5" s="120" t="s">
        <v>3150</v>
      </c>
      <c r="D5" s="121" t="s">
        <v>3149</v>
      </c>
    </row>
    <row r="6" spans="1:4" x14ac:dyDescent="0.25">
      <c r="A6" s="119">
        <v>19</v>
      </c>
      <c r="B6" s="120" t="s">
        <v>29</v>
      </c>
      <c r="C6" s="120" t="s">
        <v>30</v>
      </c>
      <c r="D6" s="121" t="s">
        <v>3149</v>
      </c>
    </row>
    <row r="7" spans="1:4" x14ac:dyDescent="0.25">
      <c r="A7" s="119">
        <v>27</v>
      </c>
      <c r="B7" s="120" t="s">
        <v>2587</v>
      </c>
      <c r="C7" s="120" t="s">
        <v>2588</v>
      </c>
      <c r="D7" s="121" t="s">
        <v>3149</v>
      </c>
    </row>
    <row r="8" spans="1:4" x14ac:dyDescent="0.25">
      <c r="A8" s="119">
        <v>42</v>
      </c>
      <c r="B8" s="120" t="s">
        <v>3151</v>
      </c>
      <c r="C8" s="120" t="s">
        <v>3152</v>
      </c>
      <c r="D8" s="121" t="s">
        <v>3149</v>
      </c>
    </row>
    <row r="9" spans="1:4" x14ac:dyDescent="0.25">
      <c r="A9" s="119">
        <v>43</v>
      </c>
      <c r="B9" s="120" t="s">
        <v>3153</v>
      </c>
      <c r="C9" s="120" t="s">
        <v>3154</v>
      </c>
      <c r="D9" s="121" t="s">
        <v>3155</v>
      </c>
    </row>
    <row r="10" spans="1:4" x14ac:dyDescent="0.25">
      <c r="A10" s="119">
        <v>44</v>
      </c>
      <c r="B10" s="120" t="s">
        <v>3156</v>
      </c>
      <c r="C10" s="120" t="s">
        <v>3157</v>
      </c>
      <c r="D10" s="121" t="s">
        <v>3158</v>
      </c>
    </row>
    <row r="11" spans="1:4" x14ac:dyDescent="0.25">
      <c r="A11" s="119">
        <v>45</v>
      </c>
      <c r="B11" s="120" t="s">
        <v>38</v>
      </c>
      <c r="C11" s="120" t="s">
        <v>39</v>
      </c>
      <c r="D11" s="121" t="s">
        <v>3149</v>
      </c>
    </row>
    <row r="12" spans="1:4" x14ac:dyDescent="0.25">
      <c r="A12" s="122">
        <v>58</v>
      </c>
      <c r="B12" s="123" t="s">
        <v>972</v>
      </c>
      <c r="C12" s="123" t="s">
        <v>973</v>
      </c>
      <c r="D12" s="121" t="s">
        <v>6015</v>
      </c>
    </row>
    <row r="13" spans="1:4" x14ac:dyDescent="0.25">
      <c r="A13" s="122">
        <v>59</v>
      </c>
      <c r="B13" s="123" t="s">
        <v>974</v>
      </c>
      <c r="C13" s="123" t="s">
        <v>975</v>
      </c>
      <c r="D13" s="121" t="s">
        <v>6015</v>
      </c>
    </row>
    <row r="14" spans="1:4" x14ac:dyDescent="0.25">
      <c r="A14" s="280">
        <v>60</v>
      </c>
      <c r="B14" s="268" t="s">
        <v>972</v>
      </c>
      <c r="C14" s="268" t="s">
        <v>973</v>
      </c>
      <c r="D14" s="121" t="s">
        <v>6014</v>
      </c>
    </row>
    <row r="15" spans="1:4" x14ac:dyDescent="0.25">
      <c r="A15" s="280">
        <v>61</v>
      </c>
      <c r="B15" s="268" t="s">
        <v>974</v>
      </c>
      <c r="C15" s="268" t="s">
        <v>975</v>
      </c>
      <c r="D15" s="121" t="s">
        <v>6014</v>
      </c>
    </row>
    <row r="16" spans="1:4" x14ac:dyDescent="0.25">
      <c r="A16" s="280">
        <v>62</v>
      </c>
      <c r="B16" s="268" t="s">
        <v>976</v>
      </c>
      <c r="C16" s="268" t="s">
        <v>977</v>
      </c>
      <c r="D16" s="121" t="s">
        <v>6016</v>
      </c>
    </row>
    <row r="17" spans="1:4" x14ac:dyDescent="0.25">
      <c r="A17" s="280">
        <v>63</v>
      </c>
      <c r="B17" s="268" t="s">
        <v>974</v>
      </c>
      <c r="C17" s="268" t="s">
        <v>975</v>
      </c>
      <c r="D17" s="121" t="s">
        <v>6016</v>
      </c>
    </row>
    <row r="18" spans="1:4" x14ac:dyDescent="0.25">
      <c r="A18" s="124">
        <v>64</v>
      </c>
      <c r="B18" s="125" t="s">
        <v>980</v>
      </c>
      <c r="C18" s="125" t="s">
        <v>981</v>
      </c>
      <c r="D18" s="121" t="s">
        <v>3159</v>
      </c>
    </row>
    <row r="19" spans="1:4" x14ac:dyDescent="0.25">
      <c r="A19" s="124">
        <v>65</v>
      </c>
      <c r="B19" s="125" t="s">
        <v>982</v>
      </c>
      <c r="C19" s="125" t="s">
        <v>983</v>
      </c>
      <c r="D19" s="121" t="s">
        <v>3159</v>
      </c>
    </row>
    <row r="20" spans="1:4" x14ac:dyDescent="0.25">
      <c r="A20" s="124">
        <v>68</v>
      </c>
      <c r="B20" s="125" t="s">
        <v>984</v>
      </c>
      <c r="C20" s="125" t="s">
        <v>985</v>
      </c>
      <c r="D20" s="121" t="s">
        <v>3159</v>
      </c>
    </row>
    <row r="21" spans="1:4" x14ac:dyDescent="0.25">
      <c r="A21" s="124">
        <v>70</v>
      </c>
      <c r="B21" s="125" t="s">
        <v>988</v>
      </c>
      <c r="C21" s="126" t="s">
        <v>989</v>
      </c>
      <c r="D21" s="121" t="s">
        <v>3160</v>
      </c>
    </row>
    <row r="22" spans="1:4" x14ac:dyDescent="0.25">
      <c r="A22" s="124">
        <v>71</v>
      </c>
      <c r="B22" s="125" t="s">
        <v>990</v>
      </c>
      <c r="C22" s="126" t="s">
        <v>991</v>
      </c>
      <c r="D22" s="121" t="s">
        <v>3160</v>
      </c>
    </row>
    <row r="23" spans="1:4" x14ac:dyDescent="0.25">
      <c r="A23" s="127">
        <v>80</v>
      </c>
      <c r="B23" s="120" t="s">
        <v>66</v>
      </c>
      <c r="C23" s="120" t="s">
        <v>67</v>
      </c>
      <c r="D23" s="121" t="s">
        <v>3149</v>
      </c>
    </row>
    <row r="24" spans="1:4" x14ac:dyDescent="0.25">
      <c r="A24" s="127">
        <v>90</v>
      </c>
      <c r="B24" t="s">
        <v>73</v>
      </c>
      <c r="C24" t="s">
        <v>74</v>
      </c>
      <c r="D24" s="121" t="s">
        <v>3149</v>
      </c>
    </row>
    <row r="25" spans="1:4" x14ac:dyDescent="0.25">
      <c r="A25" s="127">
        <v>93</v>
      </c>
      <c r="B25" s="207" t="s">
        <v>6012</v>
      </c>
      <c r="C25" s="208" t="s">
        <v>6013</v>
      </c>
      <c r="D25" s="121" t="s">
        <v>3162</v>
      </c>
    </row>
    <row r="26" spans="1:4" x14ac:dyDescent="0.25">
      <c r="A26" s="127">
        <v>94</v>
      </c>
      <c r="B26" s="207" t="s">
        <v>5580</v>
      </c>
      <c r="C26" s="207" t="s">
        <v>5581</v>
      </c>
      <c r="D26" s="121" t="s">
        <v>3149</v>
      </c>
    </row>
    <row r="27" spans="1:4" x14ac:dyDescent="0.25">
      <c r="A27" s="127">
        <v>95</v>
      </c>
      <c r="B27" s="207" t="s">
        <v>5582</v>
      </c>
      <c r="C27" s="207" t="s">
        <v>5583</v>
      </c>
      <c r="D27" s="121" t="s">
        <v>3149</v>
      </c>
    </row>
    <row r="28" spans="1:4" x14ac:dyDescent="0.25">
      <c r="A28" s="127">
        <v>97</v>
      </c>
      <c r="B28" s="128" t="s">
        <v>83</v>
      </c>
      <c r="C28" s="129" t="s">
        <v>6011</v>
      </c>
      <c r="D28" s="121" t="s">
        <v>3162</v>
      </c>
    </row>
    <row r="29" spans="1:4" x14ac:dyDescent="0.25">
      <c r="A29" s="127">
        <v>99</v>
      </c>
      <c r="B29" s="120" t="s">
        <v>86</v>
      </c>
      <c r="C29" s="120" t="s">
        <v>87</v>
      </c>
      <c r="D29" s="121" t="s">
        <v>3162</v>
      </c>
    </row>
    <row r="30" spans="1:4" x14ac:dyDescent="0.25">
      <c r="A30" s="127">
        <v>102</v>
      </c>
      <c r="B30" s="120" t="s">
        <v>90</v>
      </c>
      <c r="C30" s="120" t="s">
        <v>91</v>
      </c>
      <c r="D30" s="121" t="s">
        <v>3162</v>
      </c>
    </row>
    <row r="31" spans="1:4" x14ac:dyDescent="0.25">
      <c r="A31" s="127">
        <v>103</v>
      </c>
      <c r="B31" s="120" t="s">
        <v>92</v>
      </c>
      <c r="C31" s="120" t="s">
        <v>93</v>
      </c>
      <c r="D31" s="121" t="s">
        <v>3162</v>
      </c>
    </row>
    <row r="32" spans="1:4" x14ac:dyDescent="0.25">
      <c r="A32" s="127">
        <v>105</v>
      </c>
      <c r="B32" s="120" t="s">
        <v>96</v>
      </c>
      <c r="C32" s="120" t="s">
        <v>97</v>
      </c>
      <c r="D32" s="121" t="s">
        <v>3163</v>
      </c>
    </row>
    <row r="33" spans="1:4" x14ac:dyDescent="0.25">
      <c r="A33" s="127">
        <v>113</v>
      </c>
      <c r="B33" s="120" t="s">
        <v>102</v>
      </c>
      <c r="C33" s="120" t="s">
        <v>103</v>
      </c>
      <c r="D33" s="121" t="s">
        <v>3161</v>
      </c>
    </row>
    <row r="34" spans="1:4" x14ac:dyDescent="0.25">
      <c r="A34" s="127">
        <v>107</v>
      </c>
      <c r="B34" s="283" t="s">
        <v>6055</v>
      </c>
      <c r="C34" s="283" t="s">
        <v>6054</v>
      </c>
      <c r="D34" s="121" t="s">
        <v>6061</v>
      </c>
    </row>
    <row r="35" spans="1:4" x14ac:dyDescent="0.25"/>
    <row r="36" spans="1:4" x14ac:dyDescent="0.25"/>
    <row r="37" spans="1:4" x14ac:dyDescent="0.25"/>
    <row r="38" spans="1:4" x14ac:dyDescent="0.25"/>
  </sheetData>
  <sheetProtection algorithmName="SHA-512" hashValue="GR9V+SUzUdYwE2bD0PYg1IzCdRV3X1wr7MlOJvOylTo22Tox6VBWv5h+iQT5NhUBhXFRLJZ+M1iTeWatHELN8Q==" saltValue="+Pi/u72oL98Uzlzck3+CYQ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J1304"/>
  <sheetViews>
    <sheetView topLeftCell="F1" zoomScale="55" zoomScaleNormal="55" workbookViewId="0">
      <selection activeCell="L25" sqref="L25"/>
    </sheetView>
  </sheetViews>
  <sheetFormatPr baseColWidth="10" defaultColWidth="9.140625" defaultRowHeight="15" x14ac:dyDescent="0.25"/>
  <cols>
    <col min="1" max="1" width="72.85546875" bestFit="1" customWidth="1"/>
    <col min="2" max="2" width="38.5703125" bestFit="1" customWidth="1"/>
    <col min="3" max="3" width="47" bestFit="1" customWidth="1"/>
    <col min="4" max="4" width="50.140625" bestFit="1" customWidth="1"/>
    <col min="5" max="5" width="53" bestFit="1" customWidth="1"/>
    <col min="6" max="6" width="36.5703125" bestFit="1" customWidth="1"/>
    <col min="7" max="7" width="61" bestFit="1" customWidth="1"/>
    <col min="10" max="10" width="59" style="55" bestFit="1" customWidth="1"/>
    <col min="11" max="11" width="30.42578125" style="56" bestFit="1" customWidth="1"/>
    <col min="12" max="12" width="26.140625" style="56" bestFit="1" customWidth="1"/>
    <col min="13" max="13" width="26.42578125" style="56" bestFit="1" customWidth="1"/>
    <col min="15" max="15" width="61" bestFit="1" customWidth="1"/>
    <col min="16" max="16" width="6.140625" bestFit="1" customWidth="1"/>
    <col min="21" max="21" width="38.5703125" customWidth="1"/>
    <col min="22" max="22" width="34.42578125" customWidth="1"/>
    <col min="25" max="25" width="31.5703125" bestFit="1" customWidth="1"/>
    <col min="26" max="26" width="24.7109375" bestFit="1" customWidth="1"/>
    <col min="27" max="27" width="24.85546875" bestFit="1" customWidth="1"/>
    <col min="28" max="28" width="16.85546875" bestFit="1" customWidth="1"/>
    <col min="29" max="29" width="28.7109375" bestFit="1" customWidth="1"/>
    <col min="30" max="30" width="19.42578125" bestFit="1" customWidth="1"/>
    <col min="31" max="31" width="22.42578125" bestFit="1" customWidth="1"/>
    <col min="32" max="32" width="29" bestFit="1" customWidth="1"/>
    <col min="33" max="33" width="27" bestFit="1" customWidth="1"/>
    <col min="34" max="34" width="27.85546875" bestFit="1" customWidth="1"/>
    <col min="35" max="35" width="27.85546875" customWidth="1"/>
    <col min="36" max="36" width="21.28515625" customWidth="1"/>
  </cols>
  <sheetData>
    <row r="1" spans="1:36" ht="15.75" thickBot="1" x14ac:dyDescent="0.3">
      <c r="A1" s="1" t="s">
        <v>1</v>
      </c>
      <c r="B1" s="1" t="s">
        <v>167</v>
      </c>
      <c r="C1" s="1"/>
      <c r="D1" s="1"/>
      <c r="E1" s="1"/>
      <c r="F1" s="1"/>
      <c r="G1" t="s">
        <v>136</v>
      </c>
      <c r="H1" t="s">
        <v>136</v>
      </c>
      <c r="J1" s="55" t="s">
        <v>136</v>
      </c>
      <c r="K1" s="56" t="s">
        <v>1121</v>
      </c>
      <c r="L1" s="56" t="s">
        <v>1122</v>
      </c>
      <c r="M1" s="56" t="s">
        <v>6553</v>
      </c>
      <c r="O1" s="90" t="s">
        <v>136</v>
      </c>
      <c r="P1" s="90" t="s">
        <v>136</v>
      </c>
      <c r="U1" s="198" t="s">
        <v>136</v>
      </c>
      <c r="V1" s="199"/>
      <c r="X1" t="s">
        <v>136</v>
      </c>
      <c r="Y1" t="s">
        <v>5607</v>
      </c>
      <c r="Z1" t="s">
        <v>5610</v>
      </c>
      <c r="AA1" t="s">
        <v>5611</v>
      </c>
      <c r="AB1" t="s">
        <v>5612</v>
      </c>
      <c r="AC1" t="s">
        <v>5613</v>
      </c>
      <c r="AD1" t="s">
        <v>5614</v>
      </c>
      <c r="AE1" t="s">
        <v>5615</v>
      </c>
      <c r="AF1" t="s">
        <v>5616</v>
      </c>
      <c r="AG1" t="s">
        <v>5617</v>
      </c>
      <c r="AH1" t="s">
        <v>5609</v>
      </c>
      <c r="AJ1" t="s">
        <v>5607</v>
      </c>
    </row>
    <row r="2" spans="1:36" x14ac:dyDescent="0.25">
      <c r="A2" t="s">
        <v>8</v>
      </c>
      <c r="B2" t="s">
        <v>6716</v>
      </c>
      <c r="C2" t="s">
        <v>6717</v>
      </c>
      <c r="D2" t="s">
        <v>6715</v>
      </c>
      <c r="E2" t="s">
        <v>6715</v>
      </c>
      <c r="F2" t="s">
        <v>136</v>
      </c>
      <c r="G2" t="s">
        <v>179</v>
      </c>
      <c r="H2" t="s">
        <v>180</v>
      </c>
      <c r="J2" s="55" t="s">
        <v>965</v>
      </c>
      <c r="K2" s="56">
        <v>300</v>
      </c>
      <c r="L2" s="56">
        <v>650</v>
      </c>
      <c r="M2" s="56">
        <v>400</v>
      </c>
      <c r="O2" s="91" t="s">
        <v>179</v>
      </c>
      <c r="P2" s="91" t="s">
        <v>180</v>
      </c>
      <c r="R2" s="194" t="s">
        <v>6715</v>
      </c>
      <c r="U2" s="91" t="s">
        <v>911</v>
      </c>
      <c r="V2" s="91" t="s">
        <v>6524</v>
      </c>
      <c r="X2" t="s">
        <v>136</v>
      </c>
      <c r="Y2" t="s">
        <v>911</v>
      </c>
      <c r="Z2" t="s">
        <v>5590</v>
      </c>
      <c r="AA2" t="s">
        <v>5590</v>
      </c>
      <c r="AB2" t="s">
        <v>5588</v>
      </c>
      <c r="AC2" t="s">
        <v>5588</v>
      </c>
      <c r="AD2" t="s">
        <v>5592</v>
      </c>
      <c r="AE2" t="s">
        <v>5592</v>
      </c>
      <c r="AF2" t="s">
        <v>5590</v>
      </c>
      <c r="AG2" t="s">
        <v>5590</v>
      </c>
      <c r="AH2" t="s">
        <v>5588</v>
      </c>
      <c r="AJ2" t="e">
        <f>INDEX(Table1[#All],,,MATCH($AJ$1,Table1[#Headers],0))</f>
        <v>#REF!</v>
      </c>
    </row>
    <row r="3" spans="1:36" x14ac:dyDescent="0.25">
      <c r="A3" t="s">
        <v>136</v>
      </c>
      <c r="B3">
        <v>1</v>
      </c>
      <c r="C3" t="s">
        <v>6703</v>
      </c>
      <c r="D3">
        <v>2020</v>
      </c>
      <c r="E3">
        <f>E4+1</f>
        <v>2010</v>
      </c>
      <c r="F3" t="s">
        <v>101</v>
      </c>
      <c r="G3" t="s">
        <v>181</v>
      </c>
      <c r="H3" t="s">
        <v>182</v>
      </c>
      <c r="J3" t="s">
        <v>5981</v>
      </c>
      <c r="K3" s="56">
        <v>300</v>
      </c>
      <c r="L3" s="56">
        <v>650</v>
      </c>
      <c r="M3" s="56">
        <v>400</v>
      </c>
      <c r="O3" s="91" t="s">
        <v>181</v>
      </c>
      <c r="P3" s="91" t="s">
        <v>182</v>
      </c>
      <c r="R3">
        <v>2030</v>
      </c>
      <c r="U3" s="202" t="s">
        <v>5590</v>
      </c>
      <c r="V3" s="91" t="s">
        <v>5591</v>
      </c>
      <c r="Y3" t="s">
        <v>912</v>
      </c>
      <c r="AG3" t="s">
        <v>5588</v>
      </c>
    </row>
    <row r="4" spans="1:36" x14ac:dyDescent="0.25">
      <c r="A4" t="s">
        <v>137</v>
      </c>
      <c r="B4">
        <v>2</v>
      </c>
      <c r="C4" t="s">
        <v>6704</v>
      </c>
      <c r="D4">
        <v>2019</v>
      </c>
      <c r="E4">
        <f>E5+1</f>
        <v>2009</v>
      </c>
      <c r="F4" t="s">
        <v>168</v>
      </c>
      <c r="G4" t="s">
        <v>183</v>
      </c>
      <c r="H4" t="s">
        <v>184</v>
      </c>
      <c r="J4" t="s">
        <v>5980</v>
      </c>
      <c r="K4" s="56">
        <v>300</v>
      </c>
      <c r="L4" s="56">
        <v>650</v>
      </c>
      <c r="M4" s="56">
        <v>400</v>
      </c>
      <c r="O4" s="91" t="s">
        <v>183</v>
      </c>
      <c r="P4" s="91" t="s">
        <v>184</v>
      </c>
      <c r="R4">
        <v>2029</v>
      </c>
      <c r="U4" s="200" t="s">
        <v>5586</v>
      </c>
      <c r="V4" s="201" t="s">
        <v>5587</v>
      </c>
      <c r="Y4" t="s">
        <v>913</v>
      </c>
      <c r="AG4" t="s">
        <v>5592</v>
      </c>
    </row>
    <row r="5" spans="1:36" x14ac:dyDescent="0.25">
      <c r="A5" t="s">
        <v>138</v>
      </c>
      <c r="B5">
        <v>3</v>
      </c>
      <c r="C5" t="s">
        <v>6705</v>
      </c>
      <c r="D5">
        <v>2018</v>
      </c>
      <c r="E5">
        <f>E6+1</f>
        <v>2008</v>
      </c>
      <c r="G5" t="s">
        <v>185</v>
      </c>
      <c r="H5" t="s">
        <v>186</v>
      </c>
      <c r="J5" s="55" t="s">
        <v>2287</v>
      </c>
      <c r="K5" s="56" t="s">
        <v>2288</v>
      </c>
      <c r="L5" s="56" t="s">
        <v>2288</v>
      </c>
      <c r="M5" s="56" t="s">
        <v>2288</v>
      </c>
      <c r="O5" s="91" t="s">
        <v>185</v>
      </c>
      <c r="P5" s="91" t="s">
        <v>186</v>
      </c>
      <c r="R5">
        <v>2028</v>
      </c>
      <c r="U5" s="202" t="s">
        <v>5588</v>
      </c>
      <c r="V5" s="91" t="s">
        <v>5589</v>
      </c>
      <c r="Y5" t="s">
        <v>914</v>
      </c>
      <c r="AG5" t="s">
        <v>5596</v>
      </c>
    </row>
    <row r="6" spans="1:36" x14ac:dyDescent="0.25">
      <c r="A6" t="s">
        <v>139</v>
      </c>
      <c r="B6">
        <v>4</v>
      </c>
      <c r="C6" t="s">
        <v>6706</v>
      </c>
      <c r="D6">
        <v>2017</v>
      </c>
      <c r="E6">
        <f>E7+1</f>
        <v>2007</v>
      </c>
      <c r="G6" t="s">
        <v>187</v>
      </c>
      <c r="H6" t="s">
        <v>188</v>
      </c>
      <c r="J6" s="55" t="s">
        <v>966</v>
      </c>
      <c r="K6" s="56">
        <v>400</v>
      </c>
      <c r="L6" s="56">
        <v>400</v>
      </c>
      <c r="M6" s="56">
        <v>400</v>
      </c>
      <c r="O6" s="91" t="s">
        <v>187</v>
      </c>
      <c r="P6" s="91" t="s">
        <v>188</v>
      </c>
      <c r="R6">
        <v>2027</v>
      </c>
      <c r="U6" s="91" t="s">
        <v>912</v>
      </c>
      <c r="V6" s="91" t="s">
        <v>6525</v>
      </c>
      <c r="Y6" t="s">
        <v>916</v>
      </c>
      <c r="AG6" t="s">
        <v>5584</v>
      </c>
    </row>
    <row r="7" spans="1:36" x14ac:dyDescent="0.25">
      <c r="A7" t="s">
        <v>140</v>
      </c>
      <c r="B7">
        <v>5</v>
      </c>
      <c r="C7" t="s">
        <v>6707</v>
      </c>
      <c r="D7">
        <v>2016</v>
      </c>
      <c r="E7">
        <f>E8+1</f>
        <v>2006</v>
      </c>
      <c r="G7" t="s">
        <v>189</v>
      </c>
      <c r="H7" t="s">
        <v>190</v>
      </c>
      <c r="J7" s="55" t="s">
        <v>967</v>
      </c>
      <c r="K7" s="56">
        <v>400</v>
      </c>
      <c r="L7" s="56">
        <v>400</v>
      </c>
      <c r="M7" s="56">
        <v>400</v>
      </c>
      <c r="O7" s="91" t="s">
        <v>189</v>
      </c>
      <c r="P7" s="91" t="s">
        <v>190</v>
      </c>
      <c r="R7">
        <v>2026</v>
      </c>
      <c r="U7" s="91" t="s">
        <v>913</v>
      </c>
      <c r="V7" s="91" t="s">
        <v>6526</v>
      </c>
      <c r="Y7" t="s">
        <v>917</v>
      </c>
      <c r="AG7" t="s">
        <v>5586</v>
      </c>
    </row>
    <row r="8" spans="1:36" x14ac:dyDescent="0.25">
      <c r="A8" t="s">
        <v>141</v>
      </c>
      <c r="B8">
        <v>6</v>
      </c>
      <c r="C8" t="s">
        <v>6708</v>
      </c>
      <c r="D8">
        <v>2015</v>
      </c>
      <c r="E8">
        <v>2005</v>
      </c>
      <c r="G8" t="s">
        <v>191</v>
      </c>
      <c r="H8" t="s">
        <v>192</v>
      </c>
      <c r="J8" s="55" t="s">
        <v>968</v>
      </c>
      <c r="K8" s="56">
        <v>400</v>
      </c>
      <c r="L8" s="56">
        <v>400</v>
      </c>
      <c r="M8" s="56">
        <v>400</v>
      </c>
      <c r="O8" s="91" t="s">
        <v>191</v>
      </c>
      <c r="P8" s="91" t="s">
        <v>192</v>
      </c>
      <c r="R8">
        <v>2025</v>
      </c>
      <c r="U8" s="91" t="s">
        <v>914</v>
      </c>
      <c r="V8" s="91" t="s">
        <v>6527</v>
      </c>
      <c r="Y8" t="s">
        <v>6523</v>
      </c>
      <c r="AG8" t="s">
        <v>5594</v>
      </c>
    </row>
    <row r="9" spans="1:36" x14ac:dyDescent="0.25">
      <c r="A9" t="s">
        <v>142</v>
      </c>
      <c r="B9">
        <v>7</v>
      </c>
      <c r="C9" t="s">
        <v>6709</v>
      </c>
      <c r="D9">
        <v>2014</v>
      </c>
      <c r="E9">
        <v>2004</v>
      </c>
      <c r="G9" t="s">
        <v>193</v>
      </c>
      <c r="H9" t="s">
        <v>194</v>
      </c>
      <c r="J9" s="57" t="e">
        <f>MATCH(Recruitment!D110,LOV!K1:M1,0)</f>
        <v>#N/A</v>
      </c>
      <c r="K9" s="58"/>
      <c r="L9" s="58"/>
      <c r="M9" s="58"/>
      <c r="O9" s="91" t="s">
        <v>193</v>
      </c>
      <c r="P9" s="91" t="s">
        <v>194</v>
      </c>
      <c r="R9">
        <v>2024</v>
      </c>
      <c r="U9" t="s">
        <v>916</v>
      </c>
      <c r="V9" t="s">
        <v>6528</v>
      </c>
      <c r="Y9" t="s">
        <v>918</v>
      </c>
    </row>
    <row r="10" spans="1:36" x14ac:dyDescent="0.25">
      <c r="A10" t="s">
        <v>143</v>
      </c>
      <c r="B10">
        <v>8</v>
      </c>
      <c r="C10" t="s">
        <v>6710</v>
      </c>
      <c r="D10">
        <v>2013</v>
      </c>
      <c r="E10">
        <v>2003</v>
      </c>
      <c r="G10" t="s">
        <v>195</v>
      </c>
      <c r="H10" t="s">
        <v>196</v>
      </c>
      <c r="J10" s="57" t="e">
        <f>MATCH(Recruitment!D112,LOV!J2:J8,0)</f>
        <v>#N/A</v>
      </c>
      <c r="K10" s="58"/>
      <c r="L10" s="58"/>
      <c r="M10" s="58"/>
      <c r="O10" s="91" t="s">
        <v>195</v>
      </c>
      <c r="P10" s="91" t="s">
        <v>196</v>
      </c>
      <c r="R10">
        <v>2023</v>
      </c>
      <c r="U10" t="s">
        <v>917</v>
      </c>
      <c r="V10" t="s">
        <v>6529</v>
      </c>
      <c r="Y10" t="s">
        <v>919</v>
      </c>
    </row>
    <row r="11" spans="1:36" x14ac:dyDescent="0.25">
      <c r="A11" t="s">
        <v>144</v>
      </c>
      <c r="B11">
        <v>9</v>
      </c>
      <c r="C11" t="s">
        <v>6711</v>
      </c>
      <c r="D11">
        <v>2012</v>
      </c>
      <c r="E11">
        <v>2002</v>
      </c>
      <c r="G11" t="s">
        <v>197</v>
      </c>
      <c r="H11" t="s">
        <v>198</v>
      </c>
      <c r="J11" s="55" t="s">
        <v>136</v>
      </c>
      <c r="K11" s="56" t="s">
        <v>1121</v>
      </c>
      <c r="L11" s="56" t="s">
        <v>1122</v>
      </c>
      <c r="M11" s="56" t="s">
        <v>6553</v>
      </c>
      <c r="O11" s="91" t="s">
        <v>197</v>
      </c>
      <c r="P11" s="91" t="s">
        <v>198</v>
      </c>
      <c r="R11">
        <v>2022</v>
      </c>
      <c r="U11" t="s">
        <v>6523</v>
      </c>
      <c r="V11" t="s">
        <v>6530</v>
      </c>
      <c r="Y11" t="s">
        <v>923</v>
      </c>
    </row>
    <row r="12" spans="1:36" x14ac:dyDescent="0.25">
      <c r="A12" t="s">
        <v>145</v>
      </c>
      <c r="B12">
        <v>10</v>
      </c>
      <c r="C12" t="s">
        <v>6712</v>
      </c>
      <c r="D12">
        <v>2011</v>
      </c>
      <c r="E12">
        <v>2001</v>
      </c>
      <c r="G12" t="s">
        <v>199</v>
      </c>
      <c r="H12" t="s">
        <v>200</v>
      </c>
      <c r="J12" s="55" t="s">
        <v>965</v>
      </c>
      <c r="K12" s="56">
        <v>500</v>
      </c>
      <c r="L12" s="56">
        <v>500</v>
      </c>
      <c r="M12" s="56">
        <v>500</v>
      </c>
      <c r="O12" s="91" t="s">
        <v>199</v>
      </c>
      <c r="P12" s="91" t="s">
        <v>200</v>
      </c>
      <c r="R12">
        <v>2021</v>
      </c>
      <c r="U12" t="s">
        <v>918</v>
      </c>
      <c r="V12" t="s">
        <v>6531</v>
      </c>
      <c r="Y12" t="s">
        <v>934</v>
      </c>
    </row>
    <row r="13" spans="1:36" x14ac:dyDescent="0.25">
      <c r="B13">
        <v>11</v>
      </c>
      <c r="C13" t="s">
        <v>6713</v>
      </c>
      <c r="D13">
        <v>2010</v>
      </c>
      <c r="E13">
        <v>2000</v>
      </c>
      <c r="G13" t="s">
        <v>201</v>
      </c>
      <c r="H13" t="s">
        <v>202</v>
      </c>
      <c r="J13" t="s">
        <v>5981</v>
      </c>
      <c r="K13" s="56">
        <v>500</v>
      </c>
      <c r="L13" s="56">
        <v>500</v>
      </c>
      <c r="M13" s="56">
        <v>500</v>
      </c>
      <c r="O13" s="91" t="s">
        <v>201</v>
      </c>
      <c r="P13" s="91" t="s">
        <v>202</v>
      </c>
      <c r="R13">
        <v>2020</v>
      </c>
      <c r="U13" s="28" t="s">
        <v>5592</v>
      </c>
      <c r="V13" t="s">
        <v>5593</v>
      </c>
      <c r="Y13" t="s">
        <v>932</v>
      </c>
    </row>
    <row r="14" spans="1:36" x14ac:dyDescent="0.25">
      <c r="A14" t="s">
        <v>146</v>
      </c>
      <c r="B14">
        <v>12</v>
      </c>
      <c r="C14" t="s">
        <v>6714</v>
      </c>
      <c r="D14">
        <v>2009</v>
      </c>
      <c r="E14">
        <v>1999</v>
      </c>
      <c r="G14" t="s">
        <v>203</v>
      </c>
      <c r="H14" t="s">
        <v>204</v>
      </c>
      <c r="J14" t="s">
        <v>5980</v>
      </c>
      <c r="K14" s="56">
        <v>500</v>
      </c>
      <c r="L14" s="56">
        <v>500</v>
      </c>
      <c r="M14" s="56">
        <v>500</v>
      </c>
      <c r="O14" s="91" t="s">
        <v>203</v>
      </c>
      <c r="P14" s="91" t="s">
        <v>204</v>
      </c>
      <c r="R14">
        <v>2019</v>
      </c>
      <c r="U14" t="s">
        <v>919</v>
      </c>
      <c r="V14" t="s">
        <v>6532</v>
      </c>
      <c r="Y14" t="s">
        <v>929</v>
      </c>
    </row>
    <row r="15" spans="1:36" x14ac:dyDescent="0.25">
      <c r="A15" t="s">
        <v>136</v>
      </c>
      <c r="B15">
        <v>13</v>
      </c>
      <c r="D15">
        <v>2008</v>
      </c>
      <c r="E15">
        <v>1998</v>
      </c>
      <c r="G15" t="s">
        <v>205</v>
      </c>
      <c r="H15" t="s">
        <v>206</v>
      </c>
      <c r="J15" s="55" t="s">
        <v>2287</v>
      </c>
      <c r="K15" s="56" t="s">
        <v>2288</v>
      </c>
      <c r="L15" s="56" t="s">
        <v>2288</v>
      </c>
      <c r="M15" s="56" t="s">
        <v>2288</v>
      </c>
      <c r="O15" s="91" t="s">
        <v>205</v>
      </c>
      <c r="P15" s="91" t="s">
        <v>206</v>
      </c>
      <c r="R15">
        <v>2018</v>
      </c>
      <c r="U15" t="s">
        <v>923</v>
      </c>
      <c r="V15" t="s">
        <v>6533</v>
      </c>
      <c r="Y15" t="s">
        <v>921</v>
      </c>
    </row>
    <row r="16" spans="1:36" x14ac:dyDescent="0.25">
      <c r="A16" t="s">
        <v>147</v>
      </c>
      <c r="B16">
        <v>14</v>
      </c>
      <c r="D16">
        <v>2007</v>
      </c>
      <c r="E16">
        <v>1997</v>
      </c>
      <c r="G16" t="s">
        <v>207</v>
      </c>
      <c r="H16" t="s">
        <v>208</v>
      </c>
      <c r="J16" s="55" t="s">
        <v>966</v>
      </c>
      <c r="K16" s="56">
        <v>0</v>
      </c>
      <c r="L16" s="56">
        <v>0</v>
      </c>
      <c r="M16" s="56">
        <v>0</v>
      </c>
      <c r="O16" s="91" t="s">
        <v>207</v>
      </c>
      <c r="P16" s="91" t="s">
        <v>208</v>
      </c>
      <c r="R16">
        <v>2017</v>
      </c>
      <c r="U16" t="s">
        <v>934</v>
      </c>
      <c r="V16" t="s">
        <v>6534</v>
      </c>
      <c r="Y16" t="s">
        <v>920</v>
      </c>
    </row>
    <row r="17" spans="1:28" x14ac:dyDescent="0.25">
      <c r="A17" t="s">
        <v>148</v>
      </c>
      <c r="B17">
        <v>15</v>
      </c>
      <c r="D17">
        <v>2006</v>
      </c>
      <c r="E17">
        <v>1996</v>
      </c>
      <c r="G17" t="s">
        <v>209</v>
      </c>
      <c r="H17" t="s">
        <v>210</v>
      </c>
      <c r="J17" s="55" t="s">
        <v>967</v>
      </c>
      <c r="K17" s="56">
        <v>0</v>
      </c>
      <c r="L17" s="56">
        <v>0</v>
      </c>
      <c r="M17" s="56">
        <v>0</v>
      </c>
      <c r="O17" s="91" t="s">
        <v>209</v>
      </c>
      <c r="P17" s="91" t="s">
        <v>210</v>
      </c>
      <c r="U17" t="s">
        <v>932</v>
      </c>
      <c r="V17" t="s">
        <v>6535</v>
      </c>
      <c r="Y17" t="s">
        <v>922</v>
      </c>
    </row>
    <row r="18" spans="1:28" x14ac:dyDescent="0.25">
      <c r="A18" t="s">
        <v>149</v>
      </c>
      <c r="B18">
        <v>16</v>
      </c>
      <c r="D18">
        <v>2005</v>
      </c>
      <c r="E18">
        <v>1995</v>
      </c>
      <c r="G18" t="s">
        <v>211</v>
      </c>
      <c r="H18" t="s">
        <v>212</v>
      </c>
      <c r="J18" s="55" t="s">
        <v>968</v>
      </c>
      <c r="K18" s="56">
        <v>0</v>
      </c>
      <c r="L18" s="56">
        <v>0</v>
      </c>
      <c r="M18" s="56">
        <v>0</v>
      </c>
      <c r="O18" s="91" t="s">
        <v>211</v>
      </c>
      <c r="P18" s="91" t="s">
        <v>212</v>
      </c>
      <c r="U18" t="s">
        <v>929</v>
      </c>
      <c r="V18" t="s">
        <v>6536</v>
      </c>
      <c r="Y18" t="s">
        <v>924</v>
      </c>
    </row>
    <row r="19" spans="1:28" x14ac:dyDescent="0.25">
      <c r="A19" t="s">
        <v>150</v>
      </c>
      <c r="B19">
        <v>17</v>
      </c>
      <c r="D19">
        <v>2004</v>
      </c>
      <c r="E19">
        <v>1994</v>
      </c>
      <c r="G19" t="s">
        <v>213</v>
      </c>
      <c r="H19" t="s">
        <v>214</v>
      </c>
      <c r="J19" s="57" t="e">
        <f>MATCH(Recruitment!D110,LOV!K11:M11,0)</f>
        <v>#N/A</v>
      </c>
      <c r="K19" s="58"/>
      <c r="L19" s="58"/>
      <c r="M19" s="58"/>
      <c r="O19" s="91" t="s">
        <v>213</v>
      </c>
      <c r="P19" s="91" t="s">
        <v>214</v>
      </c>
      <c r="U19" t="s">
        <v>921</v>
      </c>
      <c r="V19" t="s">
        <v>6537</v>
      </c>
      <c r="Y19" t="s">
        <v>925</v>
      </c>
    </row>
    <row r="20" spans="1:28" x14ac:dyDescent="0.25">
      <c r="A20" t="s">
        <v>151</v>
      </c>
      <c r="B20">
        <v>18</v>
      </c>
      <c r="D20">
        <v>2003</v>
      </c>
      <c r="E20">
        <v>1993</v>
      </c>
      <c r="G20" t="s">
        <v>215</v>
      </c>
      <c r="H20" t="s">
        <v>216</v>
      </c>
      <c r="J20" s="57" t="e">
        <f>MATCH(Recruitment!D112,LOV!J12:J18,0)</f>
        <v>#N/A</v>
      </c>
      <c r="K20" s="58"/>
      <c r="L20" s="58"/>
      <c r="M20" s="58"/>
      <c r="O20" s="91" t="s">
        <v>215</v>
      </c>
      <c r="P20" s="91" t="s">
        <v>216</v>
      </c>
      <c r="U20" s="28" t="s">
        <v>5594</v>
      </c>
      <c r="V20" t="s">
        <v>5595</v>
      </c>
      <c r="Y20" t="s">
        <v>926</v>
      </c>
    </row>
    <row r="21" spans="1:28" x14ac:dyDescent="0.25">
      <c r="A21" t="s">
        <v>152</v>
      </c>
      <c r="B21">
        <v>19</v>
      </c>
      <c r="D21">
        <v>2002</v>
      </c>
      <c r="E21">
        <v>1992</v>
      </c>
      <c r="G21" t="s">
        <v>217</v>
      </c>
      <c r="H21" t="s">
        <v>218</v>
      </c>
      <c r="O21" s="91" t="s">
        <v>217</v>
      </c>
      <c r="P21" s="91" t="s">
        <v>218</v>
      </c>
      <c r="U21" t="s">
        <v>920</v>
      </c>
      <c r="V21" t="s">
        <v>6538</v>
      </c>
      <c r="Y21" t="s">
        <v>927</v>
      </c>
    </row>
    <row r="22" spans="1:28" x14ac:dyDescent="0.25">
      <c r="A22" t="s">
        <v>153</v>
      </c>
      <c r="B22">
        <v>20</v>
      </c>
      <c r="D22">
        <v>2001</v>
      </c>
      <c r="E22">
        <v>1991</v>
      </c>
      <c r="G22" t="s">
        <v>219</v>
      </c>
      <c r="H22" t="s">
        <v>220</v>
      </c>
      <c r="O22" s="91" t="s">
        <v>219</v>
      </c>
      <c r="P22" s="91" t="s">
        <v>220</v>
      </c>
      <c r="U22" t="s">
        <v>922</v>
      </c>
      <c r="V22" t="s">
        <v>6539</v>
      </c>
      <c r="Y22" t="s">
        <v>928</v>
      </c>
    </row>
    <row r="23" spans="1:28" x14ac:dyDescent="0.25">
      <c r="B23">
        <v>21</v>
      </c>
      <c r="D23">
        <v>2000</v>
      </c>
      <c r="E23">
        <v>1990</v>
      </c>
      <c r="G23" t="s">
        <v>221</v>
      </c>
      <c r="H23" t="s">
        <v>222</v>
      </c>
      <c r="O23" s="91" t="s">
        <v>221</v>
      </c>
      <c r="P23" s="91" t="s">
        <v>222</v>
      </c>
      <c r="U23" s="298" t="s">
        <v>5584</v>
      </c>
      <c r="V23" s="55" t="s">
        <v>5585</v>
      </c>
      <c r="Y23" t="s">
        <v>930</v>
      </c>
    </row>
    <row r="24" spans="1:28" x14ac:dyDescent="0.25">
      <c r="A24" t="s">
        <v>136</v>
      </c>
      <c r="B24">
        <v>22</v>
      </c>
      <c r="E24">
        <v>1989</v>
      </c>
      <c r="G24" t="s">
        <v>223</v>
      </c>
      <c r="H24" t="s">
        <v>224</v>
      </c>
      <c r="O24" s="91" t="s">
        <v>223</v>
      </c>
      <c r="P24" s="91" t="s">
        <v>224</v>
      </c>
      <c r="U24" t="s">
        <v>924</v>
      </c>
      <c r="V24" t="s">
        <v>6540</v>
      </c>
      <c r="Y24" t="s">
        <v>931</v>
      </c>
    </row>
    <row r="25" spans="1:28" x14ac:dyDescent="0.25">
      <c r="A25" s="7" t="s">
        <v>691</v>
      </c>
      <c r="B25">
        <v>23</v>
      </c>
      <c r="D25" t="s">
        <v>6715</v>
      </c>
      <c r="E25">
        <v>1988</v>
      </c>
      <c r="G25" t="s">
        <v>225</v>
      </c>
      <c r="H25" t="s">
        <v>226</v>
      </c>
      <c r="O25" s="91" t="s">
        <v>225</v>
      </c>
      <c r="P25" s="91" t="s">
        <v>226</v>
      </c>
      <c r="U25" t="s">
        <v>925</v>
      </c>
      <c r="V25" t="s">
        <v>6541</v>
      </c>
      <c r="Y25" t="s">
        <v>936</v>
      </c>
    </row>
    <row r="26" spans="1:28" x14ac:dyDescent="0.25">
      <c r="A26" s="7" t="s">
        <v>692</v>
      </c>
      <c r="B26">
        <v>24</v>
      </c>
      <c r="D26">
        <v>2030</v>
      </c>
      <c r="E26">
        <v>1987</v>
      </c>
      <c r="G26" t="s">
        <v>227</v>
      </c>
      <c r="H26" t="s">
        <v>228</v>
      </c>
      <c r="O26" s="91" t="s">
        <v>227</v>
      </c>
      <c r="P26" s="91" t="s">
        <v>228</v>
      </c>
      <c r="U26" t="s">
        <v>926</v>
      </c>
      <c r="V26" t="s">
        <v>6542</v>
      </c>
      <c r="Y26" t="s">
        <v>933</v>
      </c>
    </row>
    <row r="27" spans="1:28" x14ac:dyDescent="0.25">
      <c r="A27" s="7" t="s">
        <v>693</v>
      </c>
      <c r="B27">
        <v>25</v>
      </c>
      <c r="D27">
        <v>2029</v>
      </c>
      <c r="E27">
        <v>1986</v>
      </c>
      <c r="G27" t="s">
        <v>229</v>
      </c>
      <c r="H27" t="s">
        <v>230</v>
      </c>
      <c r="O27" s="91" t="s">
        <v>229</v>
      </c>
      <c r="P27" s="91" t="s">
        <v>230</v>
      </c>
      <c r="U27" t="s">
        <v>927</v>
      </c>
      <c r="V27" t="s">
        <v>6543</v>
      </c>
      <c r="Y27" t="s">
        <v>935</v>
      </c>
    </row>
    <row r="28" spans="1:28" x14ac:dyDescent="0.25">
      <c r="B28">
        <v>26</v>
      </c>
      <c r="D28">
        <v>2028</v>
      </c>
      <c r="E28">
        <v>1985</v>
      </c>
      <c r="G28" t="s">
        <v>231</v>
      </c>
      <c r="H28" t="s">
        <v>232</v>
      </c>
      <c r="O28" s="91" t="s">
        <v>231</v>
      </c>
      <c r="P28" s="91" t="s">
        <v>232</v>
      </c>
      <c r="U28" t="s">
        <v>928</v>
      </c>
      <c r="V28" t="s">
        <v>6544</v>
      </c>
    </row>
    <row r="29" spans="1:28" x14ac:dyDescent="0.25">
      <c r="A29" s="7" t="s">
        <v>701</v>
      </c>
      <c r="B29">
        <v>27</v>
      </c>
      <c r="D29">
        <v>2027</v>
      </c>
      <c r="E29">
        <v>1984</v>
      </c>
      <c r="G29" t="s">
        <v>233</v>
      </c>
      <c r="H29" t="s">
        <v>234</v>
      </c>
      <c r="O29" s="91" t="s">
        <v>233</v>
      </c>
      <c r="P29" s="91" t="s">
        <v>234</v>
      </c>
      <c r="U29" t="s">
        <v>930</v>
      </c>
      <c r="V29" t="s">
        <v>6545</v>
      </c>
      <c r="Z29">
        <f ca="1">COUNTA(OFFSET(Table1[[#Headers],[menu]],1,MATCH($AJ$1,Table1[#Headers],0)-1,27))</f>
        <v>26</v>
      </c>
      <c r="AB29" t="str">
        <f ca="1">OFFSET(Table1[[#Headers],[menu]],1,MATCH(Recruitment!$E$128,Table1[#Headers],0)-1,COUNTA(OFFSET(Table1[[#Headers],[menu]],1,MATCH(Recruitment!$E$128,Table1[#Headers],0)-1,27)),1)</f>
        <v>menu</v>
      </c>
    </row>
    <row r="30" spans="1:28" x14ac:dyDescent="0.25">
      <c r="A30" t="s">
        <v>136</v>
      </c>
      <c r="B30">
        <v>28</v>
      </c>
      <c r="D30">
        <v>2026</v>
      </c>
      <c r="E30">
        <v>1983</v>
      </c>
      <c r="G30" t="s">
        <v>235</v>
      </c>
      <c r="H30" t="s">
        <v>236</v>
      </c>
      <c r="O30" s="91" t="s">
        <v>235</v>
      </c>
      <c r="P30" s="91" t="s">
        <v>236</v>
      </c>
      <c r="U30" t="s">
        <v>931</v>
      </c>
      <c r="V30" t="s">
        <v>6546</v>
      </c>
    </row>
    <row r="31" spans="1:28" x14ac:dyDescent="0.25">
      <c r="A31" t="s">
        <v>694</v>
      </c>
      <c r="B31">
        <v>29</v>
      </c>
      <c r="D31">
        <v>2025</v>
      </c>
      <c r="E31">
        <v>1982</v>
      </c>
      <c r="G31" t="s">
        <v>237</v>
      </c>
      <c r="H31" t="s">
        <v>238</v>
      </c>
      <c r="O31" s="91" t="s">
        <v>237</v>
      </c>
      <c r="P31" s="91" t="s">
        <v>238</v>
      </c>
      <c r="U31" s="299" t="s">
        <v>5596</v>
      </c>
      <c r="V31" s="39" t="s">
        <v>5597</v>
      </c>
    </row>
    <row r="32" spans="1:28" x14ac:dyDescent="0.25">
      <c r="A32" t="s">
        <v>695</v>
      </c>
      <c r="B32">
        <v>30</v>
      </c>
      <c r="D32">
        <v>2024</v>
      </c>
      <c r="E32">
        <v>1981</v>
      </c>
      <c r="G32" t="s">
        <v>239</v>
      </c>
      <c r="H32" t="s">
        <v>240</v>
      </c>
      <c r="O32" s="91" t="s">
        <v>239</v>
      </c>
      <c r="P32" s="91" t="s">
        <v>240</v>
      </c>
      <c r="U32" t="s">
        <v>936</v>
      </c>
      <c r="V32" t="s">
        <v>6547</v>
      </c>
    </row>
    <row r="33" spans="1:22" x14ac:dyDescent="0.25">
      <c r="A33" t="s">
        <v>696</v>
      </c>
      <c r="B33">
        <v>31</v>
      </c>
      <c r="D33">
        <v>2023</v>
      </c>
      <c r="E33">
        <v>1980</v>
      </c>
      <c r="G33" t="s">
        <v>241</v>
      </c>
      <c r="H33" t="s">
        <v>242</v>
      </c>
      <c r="O33" s="91" t="s">
        <v>241</v>
      </c>
      <c r="P33" s="91" t="s">
        <v>242</v>
      </c>
      <c r="U33" t="s">
        <v>933</v>
      </c>
      <c r="V33" t="s">
        <v>6548</v>
      </c>
    </row>
    <row r="34" spans="1:22" x14ac:dyDescent="0.25">
      <c r="A34" t="s">
        <v>697</v>
      </c>
      <c r="D34">
        <v>2022</v>
      </c>
      <c r="E34">
        <v>1979</v>
      </c>
      <c r="G34" t="s">
        <v>243</v>
      </c>
      <c r="H34" t="s">
        <v>244</v>
      </c>
      <c r="O34" s="91" t="s">
        <v>243</v>
      </c>
      <c r="P34" s="91" t="s">
        <v>244</v>
      </c>
      <c r="U34" t="s">
        <v>935</v>
      </c>
      <c r="V34" t="s">
        <v>6549</v>
      </c>
    </row>
    <row r="35" spans="1:22" x14ac:dyDescent="0.25">
      <c r="A35" t="s">
        <v>698</v>
      </c>
      <c r="D35">
        <v>2021</v>
      </c>
      <c r="E35">
        <v>1978</v>
      </c>
      <c r="G35" t="s">
        <v>245</v>
      </c>
      <c r="H35" t="s">
        <v>246</v>
      </c>
      <c r="O35" s="91" t="s">
        <v>245</v>
      </c>
      <c r="P35" s="91" t="s">
        <v>246</v>
      </c>
    </row>
    <row r="36" spans="1:22" x14ac:dyDescent="0.25">
      <c r="A36" t="s">
        <v>699</v>
      </c>
      <c r="D36">
        <v>2020</v>
      </c>
      <c r="E36">
        <v>1977</v>
      </c>
      <c r="G36" t="s">
        <v>247</v>
      </c>
      <c r="H36" t="s">
        <v>248</v>
      </c>
      <c r="O36" s="91" t="s">
        <v>247</v>
      </c>
      <c r="P36" s="91" t="s">
        <v>248</v>
      </c>
    </row>
    <row r="37" spans="1:22" x14ac:dyDescent="0.25">
      <c r="A37" t="s">
        <v>700</v>
      </c>
      <c r="B37" s="4" t="s">
        <v>136</v>
      </c>
      <c r="C37" s="4" t="s">
        <v>136</v>
      </c>
      <c r="D37">
        <v>2019</v>
      </c>
      <c r="E37">
        <v>1976</v>
      </c>
      <c r="G37" t="s">
        <v>249</v>
      </c>
      <c r="H37" t="s">
        <v>250</v>
      </c>
      <c r="O37" s="91" t="s">
        <v>249</v>
      </c>
      <c r="P37" s="91" t="s">
        <v>250</v>
      </c>
    </row>
    <row r="38" spans="1:22" x14ac:dyDescent="0.25">
      <c r="B38" s="4" t="s">
        <v>169</v>
      </c>
      <c r="C38" s="4" t="s">
        <v>170</v>
      </c>
      <c r="D38">
        <v>2018</v>
      </c>
      <c r="E38">
        <v>1975</v>
      </c>
      <c r="G38" t="s">
        <v>251</v>
      </c>
      <c r="H38" t="s">
        <v>252</v>
      </c>
      <c r="O38" s="91" t="s">
        <v>251</v>
      </c>
      <c r="P38" s="91" t="s">
        <v>252</v>
      </c>
    </row>
    <row r="39" spans="1:22" x14ac:dyDescent="0.25">
      <c r="B39" s="4" t="s">
        <v>171</v>
      </c>
      <c r="C39" s="4" t="s">
        <v>172</v>
      </c>
      <c r="D39">
        <v>2017</v>
      </c>
      <c r="E39">
        <v>1974</v>
      </c>
      <c r="G39" t="s">
        <v>253</v>
      </c>
      <c r="H39" t="s">
        <v>254</v>
      </c>
      <c r="O39" s="91" t="s">
        <v>253</v>
      </c>
      <c r="P39" s="91" t="s">
        <v>254</v>
      </c>
    </row>
    <row r="40" spans="1:22" x14ac:dyDescent="0.25">
      <c r="A40" t="s">
        <v>136</v>
      </c>
      <c r="D40">
        <v>2016</v>
      </c>
      <c r="E40">
        <v>1973</v>
      </c>
      <c r="G40" t="s">
        <v>255</v>
      </c>
      <c r="H40" t="s">
        <v>256</v>
      </c>
      <c r="O40" s="91" t="s">
        <v>255</v>
      </c>
      <c r="P40" s="91" t="s">
        <v>256</v>
      </c>
    </row>
    <row r="41" spans="1:22" x14ac:dyDescent="0.25">
      <c r="A41" t="s">
        <v>702</v>
      </c>
      <c r="B41" s="5" t="s">
        <v>173</v>
      </c>
      <c r="D41">
        <v>2015</v>
      </c>
      <c r="E41">
        <v>1972</v>
      </c>
      <c r="G41" t="s">
        <v>257</v>
      </c>
      <c r="H41" t="s">
        <v>258</v>
      </c>
      <c r="O41" s="91" t="s">
        <v>257</v>
      </c>
      <c r="P41" s="91" t="s">
        <v>258</v>
      </c>
    </row>
    <row r="42" spans="1:22" x14ac:dyDescent="0.25">
      <c r="A42" t="s">
        <v>703</v>
      </c>
      <c r="B42" s="6" t="s">
        <v>136</v>
      </c>
      <c r="D42">
        <v>2014</v>
      </c>
      <c r="E42">
        <v>1971</v>
      </c>
      <c r="G42" t="s">
        <v>259</v>
      </c>
      <c r="H42" t="s">
        <v>260</v>
      </c>
      <c r="O42" s="91" t="s">
        <v>259</v>
      </c>
      <c r="P42" s="91" t="s">
        <v>260</v>
      </c>
    </row>
    <row r="43" spans="1:22" x14ac:dyDescent="0.25">
      <c r="A43" t="s">
        <v>704</v>
      </c>
      <c r="B43" s="6" t="s">
        <v>174</v>
      </c>
      <c r="C43" t="s">
        <v>2732</v>
      </c>
      <c r="D43">
        <v>2013</v>
      </c>
      <c r="E43">
        <v>1970</v>
      </c>
      <c r="G43" t="s">
        <v>261</v>
      </c>
      <c r="H43" t="s">
        <v>262</v>
      </c>
      <c r="O43" s="91" t="s">
        <v>261</v>
      </c>
      <c r="P43" s="91" t="s">
        <v>262</v>
      </c>
    </row>
    <row r="44" spans="1:22" x14ac:dyDescent="0.25">
      <c r="B44" s="6" t="s">
        <v>175</v>
      </c>
      <c r="C44" t="s">
        <v>2733</v>
      </c>
      <c r="D44">
        <v>2012</v>
      </c>
      <c r="E44">
        <v>1969</v>
      </c>
      <c r="G44" t="s">
        <v>263</v>
      </c>
      <c r="H44" t="s">
        <v>264</v>
      </c>
      <c r="O44" s="91" t="s">
        <v>263</v>
      </c>
      <c r="P44" s="91" t="s">
        <v>264</v>
      </c>
    </row>
    <row r="45" spans="1:22" x14ac:dyDescent="0.25">
      <c r="A45" t="s">
        <v>136</v>
      </c>
      <c r="B45" s="6" t="s">
        <v>176</v>
      </c>
      <c r="C45" t="s">
        <v>2734</v>
      </c>
      <c r="D45">
        <v>2011</v>
      </c>
      <c r="E45">
        <v>1968</v>
      </c>
      <c r="G45" t="s">
        <v>265</v>
      </c>
      <c r="H45" t="s">
        <v>266</v>
      </c>
      <c r="O45" s="91" t="s">
        <v>265</v>
      </c>
      <c r="P45" s="91" t="s">
        <v>266</v>
      </c>
    </row>
    <row r="46" spans="1:22" x14ac:dyDescent="0.25">
      <c r="A46" t="s">
        <v>1121</v>
      </c>
      <c r="B46" s="6" t="s">
        <v>177</v>
      </c>
      <c r="C46" t="s">
        <v>2735</v>
      </c>
      <c r="D46">
        <v>2010</v>
      </c>
      <c r="E46">
        <v>1967</v>
      </c>
      <c r="G46" t="s">
        <v>267</v>
      </c>
      <c r="H46" t="s">
        <v>268</v>
      </c>
      <c r="O46" s="91" t="s">
        <v>267</v>
      </c>
      <c r="P46" s="91" t="s">
        <v>268</v>
      </c>
    </row>
    <row r="47" spans="1:22" x14ac:dyDescent="0.25">
      <c r="A47" t="s">
        <v>1122</v>
      </c>
      <c r="D47">
        <v>2009</v>
      </c>
      <c r="E47">
        <v>1966</v>
      </c>
      <c r="G47" t="s">
        <v>269</v>
      </c>
      <c r="H47" t="s">
        <v>270</v>
      </c>
      <c r="O47" s="91" t="s">
        <v>269</v>
      </c>
      <c r="P47" s="91" t="s">
        <v>270</v>
      </c>
    </row>
    <row r="48" spans="1:22" x14ac:dyDescent="0.25">
      <c r="A48" t="s">
        <v>6553</v>
      </c>
      <c r="D48">
        <v>2008</v>
      </c>
      <c r="E48">
        <v>1965</v>
      </c>
      <c r="G48" t="s">
        <v>271</v>
      </c>
      <c r="H48" t="s">
        <v>272</v>
      </c>
      <c r="O48" s="91" t="s">
        <v>271</v>
      </c>
      <c r="P48" s="91" t="s">
        <v>272</v>
      </c>
    </row>
    <row r="49" spans="1:16" x14ac:dyDescent="0.25">
      <c r="B49" s="6" t="s">
        <v>136</v>
      </c>
      <c r="D49">
        <v>2007</v>
      </c>
      <c r="E49">
        <v>1964</v>
      </c>
      <c r="G49" t="s">
        <v>273</v>
      </c>
      <c r="H49" t="s">
        <v>274</v>
      </c>
      <c r="O49" s="91" t="s">
        <v>273</v>
      </c>
      <c r="P49" s="91" t="s">
        <v>274</v>
      </c>
    </row>
    <row r="50" spans="1:16" x14ac:dyDescent="0.25">
      <c r="B50" s="6" t="s">
        <v>1073</v>
      </c>
      <c r="D50">
        <v>2006</v>
      </c>
      <c r="E50">
        <v>1963</v>
      </c>
      <c r="G50" t="s">
        <v>275</v>
      </c>
      <c r="H50" t="s">
        <v>276</v>
      </c>
      <c r="O50" s="91" t="s">
        <v>275</v>
      </c>
      <c r="P50" s="91" t="s">
        <v>276</v>
      </c>
    </row>
    <row r="51" spans="1:16" x14ac:dyDescent="0.25">
      <c r="A51" t="s">
        <v>136</v>
      </c>
      <c r="B51" s="6" t="s">
        <v>1074</v>
      </c>
      <c r="D51">
        <v>2005</v>
      </c>
      <c r="E51">
        <v>1962</v>
      </c>
      <c r="G51" t="s">
        <v>277</v>
      </c>
      <c r="H51" t="s">
        <v>278</v>
      </c>
      <c r="O51" s="91" t="s">
        <v>277</v>
      </c>
      <c r="P51" s="91" t="s">
        <v>278</v>
      </c>
    </row>
    <row r="52" spans="1:16" x14ac:dyDescent="0.25">
      <c r="A52" t="s">
        <v>705</v>
      </c>
      <c r="B52" s="6" t="s">
        <v>1075</v>
      </c>
      <c r="D52">
        <v>2004</v>
      </c>
      <c r="E52">
        <v>1961</v>
      </c>
      <c r="G52" t="s">
        <v>279</v>
      </c>
      <c r="H52" t="s">
        <v>280</v>
      </c>
      <c r="O52" s="91" t="s">
        <v>279</v>
      </c>
      <c r="P52" s="91" t="s">
        <v>280</v>
      </c>
    </row>
    <row r="53" spans="1:16" x14ac:dyDescent="0.25">
      <c r="A53" t="s">
        <v>706</v>
      </c>
      <c r="B53" s="6" t="s">
        <v>1076</v>
      </c>
      <c r="D53">
        <v>2003</v>
      </c>
      <c r="E53">
        <v>1960</v>
      </c>
      <c r="G53" t="s">
        <v>281</v>
      </c>
      <c r="H53" t="s">
        <v>282</v>
      </c>
      <c r="O53" s="91" t="s">
        <v>281</v>
      </c>
      <c r="P53" s="91" t="s">
        <v>282</v>
      </c>
    </row>
    <row r="54" spans="1:16" x14ac:dyDescent="0.25">
      <c r="D54">
        <v>2002</v>
      </c>
      <c r="E54">
        <v>1959</v>
      </c>
      <c r="G54" t="s">
        <v>283</v>
      </c>
      <c r="H54" t="s">
        <v>284</v>
      </c>
      <c r="O54" s="91" t="s">
        <v>283</v>
      </c>
      <c r="P54" s="91" t="s">
        <v>284</v>
      </c>
    </row>
    <row r="55" spans="1:16" x14ac:dyDescent="0.25">
      <c r="D55">
        <v>2001</v>
      </c>
      <c r="E55">
        <v>1958</v>
      </c>
      <c r="G55" t="s">
        <v>285</v>
      </c>
      <c r="H55" t="s">
        <v>286</v>
      </c>
      <c r="O55" s="91" t="s">
        <v>285</v>
      </c>
      <c r="P55" s="91" t="s">
        <v>286</v>
      </c>
    </row>
    <row r="56" spans="1:16" x14ac:dyDescent="0.25">
      <c r="A56" t="s">
        <v>136</v>
      </c>
      <c r="D56">
        <v>2000</v>
      </c>
      <c r="E56">
        <v>1957</v>
      </c>
      <c r="G56" t="s">
        <v>287</v>
      </c>
      <c r="H56" t="s">
        <v>288</v>
      </c>
      <c r="O56" s="91" t="s">
        <v>287</v>
      </c>
      <c r="P56" s="91" t="s">
        <v>288</v>
      </c>
    </row>
    <row r="57" spans="1:16" x14ac:dyDescent="0.25">
      <c r="A57" t="s">
        <v>797</v>
      </c>
      <c r="G57" t="s">
        <v>289</v>
      </c>
      <c r="H57" t="s">
        <v>290</v>
      </c>
      <c r="O57" s="91" t="s">
        <v>289</v>
      </c>
      <c r="P57" s="91" t="s">
        <v>290</v>
      </c>
    </row>
    <row r="58" spans="1:16" x14ac:dyDescent="0.25">
      <c r="A58" t="s">
        <v>798</v>
      </c>
      <c r="B58" t="s">
        <v>894</v>
      </c>
      <c r="C58" t="s">
        <v>895</v>
      </c>
      <c r="D58" t="s">
        <v>896</v>
      </c>
      <c r="G58" t="s">
        <v>291</v>
      </c>
      <c r="H58" t="s">
        <v>292</v>
      </c>
      <c r="O58" s="91" t="s">
        <v>291</v>
      </c>
      <c r="P58" s="91" t="s">
        <v>292</v>
      </c>
    </row>
    <row r="59" spans="1:16" x14ac:dyDescent="0.25">
      <c r="A59" t="s">
        <v>863</v>
      </c>
      <c r="B59" t="s">
        <v>136</v>
      </c>
      <c r="C59" t="s">
        <v>136</v>
      </c>
      <c r="D59" t="s">
        <v>136</v>
      </c>
      <c r="G59" t="s">
        <v>293</v>
      </c>
      <c r="H59" t="s">
        <v>294</v>
      </c>
      <c r="O59" s="91" t="s">
        <v>293</v>
      </c>
      <c r="P59" s="91" t="s">
        <v>294</v>
      </c>
    </row>
    <row r="60" spans="1:16" x14ac:dyDescent="0.25">
      <c r="A60" t="s">
        <v>710</v>
      </c>
      <c r="B60" t="s">
        <v>897</v>
      </c>
      <c r="C60" t="s">
        <v>898</v>
      </c>
      <c r="D60" t="s">
        <v>899</v>
      </c>
      <c r="G60" t="s">
        <v>295</v>
      </c>
      <c r="H60" t="s">
        <v>296</v>
      </c>
      <c r="O60" s="91" t="s">
        <v>295</v>
      </c>
      <c r="P60" s="91" t="s">
        <v>296</v>
      </c>
    </row>
    <row r="61" spans="1:16" x14ac:dyDescent="0.25">
      <c r="A61" t="s">
        <v>732</v>
      </c>
      <c r="B61" t="s">
        <v>900</v>
      </c>
      <c r="C61" t="s">
        <v>901</v>
      </c>
      <c r="D61" t="s">
        <v>902</v>
      </c>
      <c r="E61" t="s">
        <v>6715</v>
      </c>
      <c r="G61" t="s">
        <v>297</v>
      </c>
      <c r="H61" t="s">
        <v>298</v>
      </c>
      <c r="O61" s="91" t="s">
        <v>297</v>
      </c>
      <c r="P61" s="91" t="s">
        <v>298</v>
      </c>
    </row>
    <row r="62" spans="1:16" x14ac:dyDescent="0.25">
      <c r="A62" t="s">
        <v>788</v>
      </c>
      <c r="B62" t="s">
        <v>903</v>
      </c>
      <c r="C62" t="s">
        <v>898</v>
      </c>
      <c r="D62" t="s">
        <v>899</v>
      </c>
      <c r="E62">
        <v>2035</v>
      </c>
      <c r="G62" t="s">
        <v>299</v>
      </c>
      <c r="H62" t="s">
        <v>300</v>
      </c>
      <c r="O62" s="91" t="s">
        <v>299</v>
      </c>
      <c r="P62" s="91" t="s">
        <v>300</v>
      </c>
    </row>
    <row r="63" spans="1:16" x14ac:dyDescent="0.25">
      <c r="A63" t="s">
        <v>789</v>
      </c>
      <c r="B63" t="s">
        <v>904</v>
      </c>
      <c r="C63" t="s">
        <v>905</v>
      </c>
      <c r="D63" t="s">
        <v>902</v>
      </c>
      <c r="E63">
        <v>2034</v>
      </c>
      <c r="G63" t="s">
        <v>301</v>
      </c>
      <c r="H63" t="s">
        <v>302</v>
      </c>
      <c r="O63" s="91" t="s">
        <v>301</v>
      </c>
      <c r="P63" s="91" t="s">
        <v>302</v>
      </c>
    </row>
    <row r="64" spans="1:16" x14ac:dyDescent="0.25">
      <c r="A64" t="s">
        <v>857</v>
      </c>
      <c r="B64" t="s">
        <v>906</v>
      </c>
      <c r="C64" t="s">
        <v>898</v>
      </c>
      <c r="D64" t="s">
        <v>899</v>
      </c>
      <c r="E64">
        <v>2033</v>
      </c>
      <c r="G64" t="s">
        <v>303</v>
      </c>
      <c r="H64" t="s">
        <v>304</v>
      </c>
      <c r="O64" s="91" t="s">
        <v>303</v>
      </c>
      <c r="P64" s="91" t="s">
        <v>304</v>
      </c>
    </row>
    <row r="65" spans="1:16" x14ac:dyDescent="0.25">
      <c r="A65" t="s">
        <v>790</v>
      </c>
      <c r="B65" t="s">
        <v>907</v>
      </c>
      <c r="C65" t="s">
        <v>905</v>
      </c>
      <c r="D65" t="s">
        <v>902</v>
      </c>
      <c r="E65">
        <v>2032</v>
      </c>
      <c r="G65" t="s">
        <v>305</v>
      </c>
      <c r="H65" t="s">
        <v>306</v>
      </c>
      <c r="O65" s="91" t="s">
        <v>305</v>
      </c>
      <c r="P65" s="91" t="s">
        <v>306</v>
      </c>
    </row>
    <row r="66" spans="1:16" x14ac:dyDescent="0.25">
      <c r="A66" t="s">
        <v>889</v>
      </c>
      <c r="B66" t="s">
        <v>908</v>
      </c>
      <c r="C66" t="s">
        <v>905</v>
      </c>
      <c r="D66" t="s">
        <v>902</v>
      </c>
      <c r="E66">
        <v>2031</v>
      </c>
      <c r="G66" t="s">
        <v>307</v>
      </c>
      <c r="H66" t="s">
        <v>308</v>
      </c>
      <c r="O66" s="91" t="s">
        <v>307</v>
      </c>
      <c r="P66" s="91" t="s">
        <v>308</v>
      </c>
    </row>
    <row r="67" spans="1:16" x14ac:dyDescent="0.25">
      <c r="A67" t="s">
        <v>715</v>
      </c>
      <c r="B67" t="s">
        <v>909</v>
      </c>
      <c r="C67" t="s">
        <v>898</v>
      </c>
      <c r="D67" t="s">
        <v>899</v>
      </c>
      <c r="E67">
        <v>2030</v>
      </c>
      <c r="G67" t="s">
        <v>309</v>
      </c>
      <c r="H67" t="s">
        <v>310</v>
      </c>
      <c r="O67" s="91" t="s">
        <v>309</v>
      </c>
      <c r="P67" s="91" t="s">
        <v>310</v>
      </c>
    </row>
    <row r="68" spans="1:16" x14ac:dyDescent="0.25">
      <c r="A68" t="s">
        <v>738</v>
      </c>
      <c r="E68">
        <v>2029</v>
      </c>
      <c r="G68" t="s">
        <v>311</v>
      </c>
      <c r="H68" t="s">
        <v>312</v>
      </c>
      <c r="O68" s="91" t="s">
        <v>311</v>
      </c>
      <c r="P68" s="91" t="s">
        <v>312</v>
      </c>
    </row>
    <row r="69" spans="1:16" x14ac:dyDescent="0.25">
      <c r="A69" t="s">
        <v>713</v>
      </c>
      <c r="E69">
        <v>2028</v>
      </c>
      <c r="G69" t="s">
        <v>313</v>
      </c>
      <c r="H69" t="s">
        <v>314</v>
      </c>
      <c r="O69" s="91" t="s">
        <v>313</v>
      </c>
      <c r="P69" s="91" t="s">
        <v>314</v>
      </c>
    </row>
    <row r="70" spans="1:16" x14ac:dyDescent="0.25">
      <c r="A70" t="s">
        <v>716</v>
      </c>
      <c r="B70" t="s">
        <v>937</v>
      </c>
      <c r="E70">
        <v>2027</v>
      </c>
      <c r="G70" t="s">
        <v>315</v>
      </c>
      <c r="H70" t="s">
        <v>316</v>
      </c>
      <c r="O70" s="91" t="s">
        <v>315</v>
      </c>
      <c r="P70" s="91" t="s">
        <v>316</v>
      </c>
    </row>
    <row r="71" spans="1:16" x14ac:dyDescent="0.25">
      <c r="A71" t="s">
        <v>858</v>
      </c>
      <c r="B71" t="s">
        <v>136</v>
      </c>
      <c r="E71">
        <v>2026</v>
      </c>
      <c r="G71" t="s">
        <v>317</v>
      </c>
      <c r="H71" t="s">
        <v>318</v>
      </c>
      <c r="O71" s="91" t="s">
        <v>317</v>
      </c>
      <c r="P71" s="91" t="s">
        <v>318</v>
      </c>
    </row>
    <row r="72" spans="1:16" x14ac:dyDescent="0.25">
      <c r="A72" t="s">
        <v>892</v>
      </c>
      <c r="B72" t="s">
        <v>911</v>
      </c>
      <c r="C72" s="4" t="s">
        <v>170</v>
      </c>
      <c r="D72" t="s">
        <v>2730</v>
      </c>
      <c r="E72">
        <v>2025</v>
      </c>
      <c r="G72" t="s">
        <v>319</v>
      </c>
      <c r="H72" t="s">
        <v>320</v>
      </c>
      <c r="O72" s="91" t="s">
        <v>319</v>
      </c>
      <c r="P72" s="91" t="s">
        <v>320</v>
      </c>
    </row>
    <row r="73" spans="1:16" x14ac:dyDescent="0.25">
      <c r="A73" t="s">
        <v>724</v>
      </c>
      <c r="B73" t="s">
        <v>912</v>
      </c>
      <c r="C73" s="4" t="s">
        <v>172</v>
      </c>
      <c r="D73" t="s">
        <v>2731</v>
      </c>
      <c r="E73">
        <v>2024</v>
      </c>
      <c r="G73" t="s">
        <v>321</v>
      </c>
      <c r="H73" t="s">
        <v>322</v>
      </c>
      <c r="O73" s="91" t="s">
        <v>321</v>
      </c>
      <c r="P73" s="91" t="s">
        <v>322</v>
      </c>
    </row>
    <row r="74" spans="1:16" x14ac:dyDescent="0.25">
      <c r="A74" t="s">
        <v>859</v>
      </c>
      <c r="B74" t="s">
        <v>913</v>
      </c>
      <c r="E74">
        <v>2023</v>
      </c>
      <c r="G74" t="s">
        <v>323</v>
      </c>
      <c r="H74" t="s">
        <v>324</v>
      </c>
      <c r="O74" s="91" t="s">
        <v>323</v>
      </c>
      <c r="P74" s="91" t="s">
        <v>324</v>
      </c>
    </row>
    <row r="75" spans="1:16" x14ac:dyDescent="0.25">
      <c r="A75" t="s">
        <v>893</v>
      </c>
      <c r="B75" t="s">
        <v>914</v>
      </c>
      <c r="E75">
        <v>2022</v>
      </c>
      <c r="G75" t="s">
        <v>325</v>
      </c>
      <c r="H75" t="s">
        <v>326</v>
      </c>
      <c r="O75" s="91" t="s">
        <v>325</v>
      </c>
      <c r="P75" s="91" t="s">
        <v>326</v>
      </c>
    </row>
    <row r="76" spans="1:16" x14ac:dyDescent="0.25">
      <c r="A76" t="s">
        <v>714</v>
      </c>
      <c r="B76" t="s">
        <v>915</v>
      </c>
      <c r="E76">
        <v>2021</v>
      </c>
      <c r="G76" t="s">
        <v>327</v>
      </c>
      <c r="H76" t="s">
        <v>328</v>
      </c>
      <c r="O76" s="91" t="s">
        <v>327</v>
      </c>
      <c r="P76" s="91" t="s">
        <v>328</v>
      </c>
    </row>
    <row r="77" spans="1:16" x14ac:dyDescent="0.25">
      <c r="A77" t="s">
        <v>717</v>
      </c>
      <c r="B77" t="s">
        <v>916</v>
      </c>
      <c r="E77">
        <v>2020</v>
      </c>
      <c r="G77" t="s">
        <v>329</v>
      </c>
      <c r="H77" t="s">
        <v>330</v>
      </c>
      <c r="O77" s="91" t="s">
        <v>329</v>
      </c>
      <c r="P77" s="91" t="s">
        <v>330</v>
      </c>
    </row>
    <row r="78" spans="1:16" x14ac:dyDescent="0.25">
      <c r="A78" t="s">
        <v>718</v>
      </c>
      <c r="B78" t="s">
        <v>917</v>
      </c>
      <c r="E78">
        <v>2019</v>
      </c>
      <c r="G78" t="s">
        <v>331</v>
      </c>
      <c r="H78" t="s">
        <v>332</v>
      </c>
      <c r="O78" s="91" t="s">
        <v>331</v>
      </c>
      <c r="P78" s="91" t="s">
        <v>332</v>
      </c>
    </row>
    <row r="79" spans="1:16" x14ac:dyDescent="0.25">
      <c r="A79" t="s">
        <v>719</v>
      </c>
      <c r="B79" t="s">
        <v>918</v>
      </c>
      <c r="E79">
        <v>2018</v>
      </c>
      <c r="G79" t="s">
        <v>333</v>
      </c>
      <c r="H79" t="s">
        <v>334</v>
      </c>
      <c r="O79" s="91" t="s">
        <v>333</v>
      </c>
      <c r="P79" s="91" t="s">
        <v>334</v>
      </c>
    </row>
    <row r="80" spans="1:16" x14ac:dyDescent="0.25">
      <c r="A80" t="s">
        <v>799</v>
      </c>
      <c r="B80" t="s">
        <v>919</v>
      </c>
      <c r="E80">
        <v>2017</v>
      </c>
      <c r="G80" t="s">
        <v>335</v>
      </c>
      <c r="H80" t="s">
        <v>336</v>
      </c>
      <c r="O80" s="91" t="s">
        <v>335</v>
      </c>
      <c r="P80" s="91" t="s">
        <v>336</v>
      </c>
    </row>
    <row r="81" spans="1:16" x14ac:dyDescent="0.25">
      <c r="A81" t="s">
        <v>754</v>
      </c>
      <c r="B81" t="s">
        <v>920</v>
      </c>
      <c r="E81">
        <v>2016</v>
      </c>
      <c r="G81" t="s">
        <v>337</v>
      </c>
      <c r="H81" t="s">
        <v>338</v>
      </c>
      <c r="O81" s="91" t="s">
        <v>337</v>
      </c>
      <c r="P81" s="91" t="s">
        <v>338</v>
      </c>
    </row>
    <row r="82" spans="1:16" x14ac:dyDescent="0.25">
      <c r="A82" t="s">
        <v>721</v>
      </c>
      <c r="B82" t="s">
        <v>921</v>
      </c>
      <c r="E82">
        <v>2015</v>
      </c>
      <c r="G82" t="s">
        <v>339</v>
      </c>
      <c r="H82" t="s">
        <v>340</v>
      </c>
      <c r="O82" s="91" t="s">
        <v>339</v>
      </c>
      <c r="P82" s="91" t="s">
        <v>340</v>
      </c>
    </row>
    <row r="83" spans="1:16" x14ac:dyDescent="0.25">
      <c r="A83" t="s">
        <v>741</v>
      </c>
      <c r="B83" t="s">
        <v>922</v>
      </c>
      <c r="E83">
        <v>2014</v>
      </c>
      <c r="G83" t="s">
        <v>341</v>
      </c>
      <c r="H83" t="s">
        <v>342</v>
      </c>
      <c r="O83" s="91" t="s">
        <v>341</v>
      </c>
      <c r="P83" s="91" t="s">
        <v>342</v>
      </c>
    </row>
    <row r="84" spans="1:16" x14ac:dyDescent="0.25">
      <c r="A84" t="s">
        <v>742</v>
      </c>
      <c r="B84" t="s">
        <v>923</v>
      </c>
      <c r="C84" s="62" t="s">
        <v>154</v>
      </c>
      <c r="D84" s="62" t="s">
        <v>2302</v>
      </c>
      <c r="E84">
        <v>2013</v>
      </c>
      <c r="G84" t="s">
        <v>343</v>
      </c>
      <c r="H84" t="s">
        <v>344</v>
      </c>
      <c r="O84" s="91" t="s">
        <v>343</v>
      </c>
      <c r="P84" s="91" t="s">
        <v>344</v>
      </c>
    </row>
    <row r="85" spans="1:16" x14ac:dyDescent="0.25">
      <c r="A85" t="s">
        <v>725</v>
      </c>
      <c r="B85" t="s">
        <v>924</v>
      </c>
      <c r="C85" t="s">
        <v>155</v>
      </c>
      <c r="D85" t="s">
        <v>6073</v>
      </c>
      <c r="E85">
        <v>2012</v>
      </c>
      <c r="G85" t="s">
        <v>345</v>
      </c>
      <c r="H85" t="s">
        <v>346</v>
      </c>
      <c r="O85" s="91" t="s">
        <v>345</v>
      </c>
      <c r="P85" s="91" t="s">
        <v>346</v>
      </c>
    </row>
    <row r="86" spans="1:16" x14ac:dyDescent="0.25">
      <c r="A86" t="s">
        <v>862</v>
      </c>
      <c r="B86" t="s">
        <v>925</v>
      </c>
      <c r="C86" t="s">
        <v>156</v>
      </c>
      <c r="D86" t="s">
        <v>2291</v>
      </c>
      <c r="E86">
        <v>2011</v>
      </c>
      <c r="G86" t="s">
        <v>347</v>
      </c>
      <c r="H86" t="s">
        <v>348</v>
      </c>
      <c r="O86" s="91" t="s">
        <v>347</v>
      </c>
      <c r="P86" s="91" t="s">
        <v>348</v>
      </c>
    </row>
    <row r="87" spans="1:16" x14ac:dyDescent="0.25">
      <c r="A87" t="s">
        <v>720</v>
      </c>
      <c r="B87" t="s">
        <v>926</v>
      </c>
      <c r="C87" t="s">
        <v>157</v>
      </c>
      <c r="D87" t="s">
        <v>2292</v>
      </c>
      <c r="E87">
        <v>2010</v>
      </c>
      <c r="G87" t="s">
        <v>349</v>
      </c>
      <c r="H87" t="s">
        <v>350</v>
      </c>
      <c r="O87" s="91" t="s">
        <v>349</v>
      </c>
      <c r="P87" s="91" t="s">
        <v>350</v>
      </c>
    </row>
    <row r="88" spans="1:16" x14ac:dyDescent="0.25">
      <c r="A88" t="s">
        <v>881</v>
      </c>
      <c r="B88" t="s">
        <v>927</v>
      </c>
      <c r="C88" t="s">
        <v>158</v>
      </c>
      <c r="D88" t="s">
        <v>2293</v>
      </c>
      <c r="E88">
        <v>2009</v>
      </c>
      <c r="G88" t="s">
        <v>351</v>
      </c>
      <c r="H88" t="s">
        <v>352</v>
      </c>
      <c r="O88" s="91" t="s">
        <v>351</v>
      </c>
      <c r="P88" s="91" t="s">
        <v>352</v>
      </c>
    </row>
    <row r="89" spans="1:16" x14ac:dyDescent="0.25">
      <c r="A89" t="s">
        <v>794</v>
      </c>
      <c r="B89" t="s">
        <v>928</v>
      </c>
      <c r="C89" t="s">
        <v>159</v>
      </c>
      <c r="D89" t="s">
        <v>2294</v>
      </c>
      <c r="E89">
        <v>2008</v>
      </c>
      <c r="G89" t="s">
        <v>353</v>
      </c>
      <c r="H89" t="s">
        <v>354</v>
      </c>
      <c r="O89" s="91" t="s">
        <v>353</v>
      </c>
      <c r="P89" s="91" t="s">
        <v>354</v>
      </c>
    </row>
    <row r="90" spans="1:16" x14ac:dyDescent="0.25">
      <c r="A90" t="s">
        <v>800</v>
      </c>
      <c r="B90" t="s">
        <v>929</v>
      </c>
      <c r="C90" t="s">
        <v>160</v>
      </c>
      <c r="D90" t="s">
        <v>2295</v>
      </c>
      <c r="E90">
        <v>2007</v>
      </c>
      <c r="G90" t="s">
        <v>355</v>
      </c>
      <c r="H90" t="s">
        <v>356</v>
      </c>
      <c r="O90" s="91" t="s">
        <v>355</v>
      </c>
      <c r="P90" s="91" t="s">
        <v>356</v>
      </c>
    </row>
    <row r="91" spans="1:16" x14ac:dyDescent="0.25">
      <c r="A91" t="s">
        <v>776</v>
      </c>
      <c r="B91" t="s">
        <v>930</v>
      </c>
      <c r="C91" t="s">
        <v>161</v>
      </c>
      <c r="D91" t="s">
        <v>2296</v>
      </c>
      <c r="E91">
        <v>2006</v>
      </c>
      <c r="G91" t="s">
        <v>357</v>
      </c>
      <c r="H91" t="s">
        <v>358</v>
      </c>
      <c r="O91" s="91" t="s">
        <v>357</v>
      </c>
      <c r="P91" s="91" t="s">
        <v>358</v>
      </c>
    </row>
    <row r="92" spans="1:16" x14ac:dyDescent="0.25">
      <c r="A92" t="s">
        <v>805</v>
      </c>
      <c r="B92" t="s">
        <v>931</v>
      </c>
      <c r="C92" t="s">
        <v>162</v>
      </c>
      <c r="D92" t="s">
        <v>2297</v>
      </c>
      <c r="E92">
        <v>2005</v>
      </c>
      <c r="G92" t="s">
        <v>359</v>
      </c>
      <c r="H92" t="s">
        <v>360</v>
      </c>
      <c r="O92" s="91" t="s">
        <v>359</v>
      </c>
      <c r="P92" s="91" t="s">
        <v>360</v>
      </c>
    </row>
    <row r="93" spans="1:16" x14ac:dyDescent="0.25">
      <c r="A93" t="s">
        <v>751</v>
      </c>
      <c r="B93" t="s">
        <v>932</v>
      </c>
      <c r="C93" t="s">
        <v>163</v>
      </c>
      <c r="D93" t="s">
        <v>2298</v>
      </c>
      <c r="E93">
        <v>2004</v>
      </c>
      <c r="G93" t="s">
        <v>361</v>
      </c>
      <c r="H93" t="s">
        <v>362</v>
      </c>
      <c r="O93" s="91" t="s">
        <v>361</v>
      </c>
      <c r="P93" s="91" t="s">
        <v>362</v>
      </c>
    </row>
    <row r="94" spans="1:16" x14ac:dyDescent="0.25">
      <c r="A94" t="s">
        <v>775</v>
      </c>
      <c r="B94" t="s">
        <v>933</v>
      </c>
      <c r="C94" t="s">
        <v>164</v>
      </c>
      <c r="D94" t="s">
        <v>2299</v>
      </c>
      <c r="E94">
        <v>2003</v>
      </c>
      <c r="G94" t="s">
        <v>363</v>
      </c>
      <c r="H94" t="s">
        <v>364</v>
      </c>
      <c r="O94" s="91" t="s">
        <v>363</v>
      </c>
      <c r="P94" s="91" t="s">
        <v>364</v>
      </c>
    </row>
    <row r="95" spans="1:16" x14ac:dyDescent="0.25">
      <c r="A95" t="s">
        <v>825</v>
      </c>
      <c r="B95" t="s">
        <v>934</v>
      </c>
      <c r="C95" t="s">
        <v>165</v>
      </c>
      <c r="D95" t="s">
        <v>2300</v>
      </c>
      <c r="E95">
        <v>2002</v>
      </c>
      <c r="G95" t="s">
        <v>365</v>
      </c>
      <c r="H95" t="s">
        <v>366</v>
      </c>
      <c r="O95" s="91" t="s">
        <v>365</v>
      </c>
      <c r="P95" s="91" t="s">
        <v>366</v>
      </c>
    </row>
    <row r="96" spans="1:16" x14ac:dyDescent="0.25">
      <c r="A96" t="s">
        <v>795</v>
      </c>
      <c r="B96" t="s">
        <v>935</v>
      </c>
      <c r="C96" t="s">
        <v>166</v>
      </c>
      <c r="D96" t="s">
        <v>2301</v>
      </c>
      <c r="E96">
        <v>2001</v>
      </c>
      <c r="G96" t="s">
        <v>367</v>
      </c>
      <c r="H96" t="s">
        <v>368</v>
      </c>
      <c r="O96" s="91" t="s">
        <v>367</v>
      </c>
      <c r="P96" s="91" t="s">
        <v>368</v>
      </c>
    </row>
    <row r="97" spans="1:16" x14ac:dyDescent="0.25">
      <c r="A97" t="s">
        <v>793</v>
      </c>
      <c r="B97" t="s">
        <v>936</v>
      </c>
      <c r="E97">
        <v>2000</v>
      </c>
      <c r="G97" t="s">
        <v>369</v>
      </c>
      <c r="H97" t="s">
        <v>370</v>
      </c>
      <c r="O97" s="91" t="s">
        <v>369</v>
      </c>
      <c r="P97" s="91" t="s">
        <v>370</v>
      </c>
    </row>
    <row r="98" spans="1:16" x14ac:dyDescent="0.25">
      <c r="A98" t="s">
        <v>856</v>
      </c>
      <c r="G98" t="s">
        <v>371</v>
      </c>
      <c r="H98" t="s">
        <v>372</v>
      </c>
      <c r="O98" s="91" t="s">
        <v>371</v>
      </c>
      <c r="P98" s="91" t="s">
        <v>372</v>
      </c>
    </row>
    <row r="99" spans="1:16" x14ac:dyDescent="0.25">
      <c r="A99" t="s">
        <v>826</v>
      </c>
      <c r="B99" t="s">
        <v>75</v>
      </c>
      <c r="G99" t="s">
        <v>373</v>
      </c>
      <c r="H99" t="s">
        <v>374</v>
      </c>
      <c r="O99" s="91" t="s">
        <v>373</v>
      </c>
      <c r="P99" s="91" t="s">
        <v>374</v>
      </c>
    </row>
    <row r="100" spans="1:16" x14ac:dyDescent="0.25">
      <c r="A100" t="s">
        <v>796</v>
      </c>
      <c r="B100" t="s">
        <v>136</v>
      </c>
      <c r="G100" t="s">
        <v>375</v>
      </c>
      <c r="H100" t="s">
        <v>376</v>
      </c>
      <c r="O100" s="91" t="s">
        <v>375</v>
      </c>
      <c r="P100" s="91" t="s">
        <v>376</v>
      </c>
    </row>
    <row r="101" spans="1:16" x14ac:dyDescent="0.25">
      <c r="A101" t="s">
        <v>804</v>
      </c>
      <c r="B101">
        <v>1</v>
      </c>
      <c r="G101" t="s">
        <v>377</v>
      </c>
      <c r="H101" t="s">
        <v>378</v>
      </c>
      <c r="O101" s="91" t="s">
        <v>377</v>
      </c>
      <c r="P101" s="91" t="s">
        <v>378</v>
      </c>
    </row>
    <row r="102" spans="1:16" x14ac:dyDescent="0.25">
      <c r="A102" t="s">
        <v>803</v>
      </c>
      <c r="B102">
        <v>2</v>
      </c>
      <c r="G102" t="s">
        <v>379</v>
      </c>
      <c r="H102" t="s">
        <v>380</v>
      </c>
      <c r="O102" s="91" t="s">
        <v>379</v>
      </c>
      <c r="P102" s="91" t="s">
        <v>380</v>
      </c>
    </row>
    <row r="103" spans="1:16" x14ac:dyDescent="0.25">
      <c r="A103" t="s">
        <v>801</v>
      </c>
      <c r="B103">
        <v>3</v>
      </c>
      <c r="G103" t="s">
        <v>381</v>
      </c>
      <c r="H103" t="s">
        <v>382</v>
      </c>
      <c r="O103" s="91" t="s">
        <v>381</v>
      </c>
      <c r="P103" s="91" t="s">
        <v>382</v>
      </c>
    </row>
    <row r="104" spans="1:16" x14ac:dyDescent="0.25">
      <c r="A104" t="s">
        <v>802</v>
      </c>
      <c r="B104">
        <v>4</v>
      </c>
      <c r="G104" t="s">
        <v>383</v>
      </c>
      <c r="H104" t="s">
        <v>384</v>
      </c>
      <c r="O104" s="91" t="s">
        <v>383</v>
      </c>
      <c r="P104" s="91" t="s">
        <v>384</v>
      </c>
    </row>
    <row r="105" spans="1:16" x14ac:dyDescent="0.25">
      <c r="A105" t="s">
        <v>722</v>
      </c>
      <c r="B105">
        <v>5</v>
      </c>
      <c r="G105" t="s">
        <v>385</v>
      </c>
      <c r="H105" t="s">
        <v>386</v>
      </c>
      <c r="O105" s="91" t="s">
        <v>385</v>
      </c>
      <c r="P105" s="91" t="s">
        <v>386</v>
      </c>
    </row>
    <row r="106" spans="1:16" x14ac:dyDescent="0.25">
      <c r="A106" t="s">
        <v>735</v>
      </c>
      <c r="B106">
        <v>6</v>
      </c>
      <c r="G106" t="s">
        <v>387</v>
      </c>
      <c r="H106" t="s">
        <v>388</v>
      </c>
      <c r="O106" s="91" t="s">
        <v>387</v>
      </c>
      <c r="P106" s="91" t="s">
        <v>388</v>
      </c>
    </row>
    <row r="107" spans="1:16" x14ac:dyDescent="0.25">
      <c r="A107" t="s">
        <v>734</v>
      </c>
      <c r="B107">
        <v>99</v>
      </c>
      <c r="G107" t="s">
        <v>389</v>
      </c>
      <c r="H107" t="s">
        <v>390</v>
      </c>
      <c r="O107" s="91" t="s">
        <v>389</v>
      </c>
      <c r="P107" s="91" t="s">
        <v>390</v>
      </c>
    </row>
    <row r="108" spans="1:16" x14ac:dyDescent="0.25">
      <c r="A108" t="s">
        <v>860</v>
      </c>
      <c r="G108" t="s">
        <v>391</v>
      </c>
      <c r="H108" t="s">
        <v>392</v>
      </c>
      <c r="O108" s="91" t="s">
        <v>391</v>
      </c>
      <c r="P108" s="91" t="s">
        <v>392</v>
      </c>
    </row>
    <row r="109" spans="1:16" x14ac:dyDescent="0.25">
      <c r="A109" t="s">
        <v>723</v>
      </c>
      <c r="B109" t="s">
        <v>939</v>
      </c>
      <c r="G109" t="s">
        <v>393</v>
      </c>
      <c r="H109" t="s">
        <v>394</v>
      </c>
      <c r="O109" s="91" t="s">
        <v>393</v>
      </c>
      <c r="P109" s="91" t="s">
        <v>394</v>
      </c>
    </row>
    <row r="110" spans="1:16" x14ac:dyDescent="0.25">
      <c r="A110" t="s">
        <v>861</v>
      </c>
      <c r="B110" t="s">
        <v>136</v>
      </c>
      <c r="G110" t="s">
        <v>395</v>
      </c>
      <c r="H110" t="s">
        <v>396</v>
      </c>
      <c r="O110" s="91" t="s">
        <v>395</v>
      </c>
      <c r="P110" s="91" t="s">
        <v>396</v>
      </c>
    </row>
    <row r="111" spans="1:16" x14ac:dyDescent="0.25">
      <c r="A111" t="s">
        <v>778</v>
      </c>
      <c r="B111" t="s">
        <v>940</v>
      </c>
      <c r="G111" t="s">
        <v>397</v>
      </c>
      <c r="H111" t="s">
        <v>398</v>
      </c>
      <c r="O111" s="91" t="s">
        <v>397</v>
      </c>
      <c r="P111" s="91" t="s">
        <v>398</v>
      </c>
    </row>
    <row r="112" spans="1:16" x14ac:dyDescent="0.25">
      <c r="A112" t="s">
        <v>733</v>
      </c>
      <c r="B112" t="s">
        <v>941</v>
      </c>
      <c r="G112" t="s">
        <v>399</v>
      </c>
      <c r="H112" t="s">
        <v>400</v>
      </c>
      <c r="O112" s="91" t="s">
        <v>399</v>
      </c>
      <c r="P112" s="91" t="s">
        <v>400</v>
      </c>
    </row>
    <row r="113" spans="1:16" x14ac:dyDescent="0.25">
      <c r="A113" t="s">
        <v>726</v>
      </c>
      <c r="B113" t="s">
        <v>942</v>
      </c>
      <c r="C113" t="s">
        <v>136</v>
      </c>
      <c r="G113" t="s">
        <v>401</v>
      </c>
      <c r="H113" t="s">
        <v>402</v>
      </c>
      <c r="O113" s="91" t="s">
        <v>401</v>
      </c>
      <c r="P113" s="91" t="s">
        <v>402</v>
      </c>
    </row>
    <row r="114" spans="1:16" x14ac:dyDescent="0.25">
      <c r="A114" t="s">
        <v>830</v>
      </c>
      <c r="B114" t="s">
        <v>943</v>
      </c>
      <c r="C114" t="s">
        <v>1121</v>
      </c>
      <c r="D114" t="s">
        <v>6078</v>
      </c>
      <c r="G114" t="s">
        <v>403</v>
      </c>
      <c r="H114" t="s">
        <v>404</v>
      </c>
      <c r="O114" s="91" t="s">
        <v>403</v>
      </c>
      <c r="P114" s="91" t="s">
        <v>404</v>
      </c>
    </row>
    <row r="115" spans="1:16" x14ac:dyDescent="0.25">
      <c r="A115" t="s">
        <v>727</v>
      </c>
      <c r="B115" t="s">
        <v>944</v>
      </c>
      <c r="C115" t="s">
        <v>1122</v>
      </c>
      <c r="D115" t="s">
        <v>6079</v>
      </c>
      <c r="G115" t="s">
        <v>405</v>
      </c>
      <c r="H115" t="s">
        <v>406</v>
      </c>
      <c r="O115" s="91" t="s">
        <v>405</v>
      </c>
      <c r="P115" s="91" t="s">
        <v>406</v>
      </c>
    </row>
    <row r="116" spans="1:16" x14ac:dyDescent="0.25">
      <c r="A116" t="s">
        <v>707</v>
      </c>
      <c r="B116" t="s">
        <v>945</v>
      </c>
      <c r="C116" t="s">
        <v>6553</v>
      </c>
      <c r="D116" t="s">
        <v>6080</v>
      </c>
      <c r="G116" t="s">
        <v>407</v>
      </c>
      <c r="H116" t="s">
        <v>408</v>
      </c>
      <c r="O116" s="91" t="s">
        <v>407</v>
      </c>
      <c r="P116" s="91" t="s">
        <v>408</v>
      </c>
    </row>
    <row r="117" spans="1:16" x14ac:dyDescent="0.25">
      <c r="A117" t="s">
        <v>728</v>
      </c>
      <c r="B117" t="s">
        <v>946</v>
      </c>
      <c r="G117" t="s">
        <v>409</v>
      </c>
      <c r="H117" t="s">
        <v>410</v>
      </c>
      <c r="O117" s="91" t="s">
        <v>409</v>
      </c>
      <c r="P117" s="91" t="s">
        <v>410</v>
      </c>
    </row>
    <row r="118" spans="1:16" x14ac:dyDescent="0.25">
      <c r="A118" t="s">
        <v>877</v>
      </c>
      <c r="B118" t="s">
        <v>947</v>
      </c>
      <c r="G118" t="s">
        <v>411</v>
      </c>
      <c r="H118" t="s">
        <v>412</v>
      </c>
      <c r="O118" s="91" t="s">
        <v>411</v>
      </c>
      <c r="P118" s="91" t="s">
        <v>412</v>
      </c>
    </row>
    <row r="119" spans="1:16" x14ac:dyDescent="0.25">
      <c r="A119" t="s">
        <v>876</v>
      </c>
      <c r="B119" t="s">
        <v>948</v>
      </c>
      <c r="G119" t="s">
        <v>413</v>
      </c>
      <c r="H119" t="s">
        <v>414</v>
      </c>
      <c r="O119" s="91" t="s">
        <v>413</v>
      </c>
      <c r="P119" s="91" t="s">
        <v>414</v>
      </c>
    </row>
    <row r="120" spans="1:16" x14ac:dyDescent="0.25">
      <c r="A120" t="s">
        <v>878</v>
      </c>
      <c r="B120" t="s">
        <v>922</v>
      </c>
      <c r="G120" t="s">
        <v>415</v>
      </c>
      <c r="H120" t="s">
        <v>416</v>
      </c>
      <c r="O120" s="91" t="s">
        <v>415</v>
      </c>
      <c r="P120" s="91" t="s">
        <v>416</v>
      </c>
    </row>
    <row r="121" spans="1:16" x14ac:dyDescent="0.25">
      <c r="A121" t="s">
        <v>787</v>
      </c>
      <c r="B121" t="s">
        <v>931</v>
      </c>
      <c r="G121" t="s">
        <v>417</v>
      </c>
      <c r="H121" t="s">
        <v>418</v>
      </c>
      <c r="O121" s="91" t="s">
        <v>417</v>
      </c>
      <c r="P121" s="91" t="s">
        <v>418</v>
      </c>
    </row>
    <row r="122" spans="1:16" x14ac:dyDescent="0.25">
      <c r="A122" t="s">
        <v>832</v>
      </c>
      <c r="B122" t="s">
        <v>933</v>
      </c>
      <c r="G122" t="s">
        <v>419</v>
      </c>
      <c r="H122" t="s">
        <v>420</v>
      </c>
      <c r="O122" s="91" t="s">
        <v>419</v>
      </c>
      <c r="P122" s="91" t="s">
        <v>420</v>
      </c>
    </row>
    <row r="123" spans="1:16" x14ac:dyDescent="0.25">
      <c r="A123" t="s">
        <v>806</v>
      </c>
      <c r="B123" t="s">
        <v>949</v>
      </c>
      <c r="G123" t="s">
        <v>421</v>
      </c>
      <c r="H123" t="s">
        <v>422</v>
      </c>
      <c r="O123" s="91" t="s">
        <v>421</v>
      </c>
      <c r="P123" s="91" t="s">
        <v>422</v>
      </c>
    </row>
    <row r="124" spans="1:16" x14ac:dyDescent="0.25">
      <c r="A124" t="s">
        <v>749</v>
      </c>
      <c r="G124" t="s">
        <v>423</v>
      </c>
      <c r="H124" t="s">
        <v>424</v>
      </c>
      <c r="O124" s="91" t="s">
        <v>423</v>
      </c>
      <c r="P124" s="91" t="s">
        <v>424</v>
      </c>
    </row>
    <row r="125" spans="1:16" x14ac:dyDescent="0.25">
      <c r="A125" t="s">
        <v>765</v>
      </c>
      <c r="G125" t="s">
        <v>425</v>
      </c>
      <c r="H125" t="s">
        <v>426</v>
      </c>
      <c r="O125" s="91" t="s">
        <v>425</v>
      </c>
      <c r="P125" s="91" t="s">
        <v>426</v>
      </c>
    </row>
    <row r="126" spans="1:16" x14ac:dyDescent="0.25">
      <c r="A126" t="s">
        <v>730</v>
      </c>
      <c r="B126" t="s">
        <v>950</v>
      </c>
      <c r="G126" t="s">
        <v>427</v>
      </c>
      <c r="H126" t="s">
        <v>428</v>
      </c>
      <c r="O126" s="91" t="s">
        <v>427</v>
      </c>
      <c r="P126" s="91" t="s">
        <v>428</v>
      </c>
    </row>
    <row r="127" spans="1:16" x14ac:dyDescent="0.25">
      <c r="A127" t="s">
        <v>731</v>
      </c>
      <c r="B127" s="8" t="s">
        <v>136</v>
      </c>
      <c r="G127" t="s">
        <v>429</v>
      </c>
      <c r="H127" t="s">
        <v>430</v>
      </c>
      <c r="O127" s="91" t="s">
        <v>429</v>
      </c>
      <c r="P127" s="91" t="s">
        <v>430</v>
      </c>
    </row>
    <row r="128" spans="1:16" x14ac:dyDescent="0.25">
      <c r="A128" t="s">
        <v>745</v>
      </c>
      <c r="B128" s="8" t="s">
        <v>951</v>
      </c>
      <c r="G128" t="s">
        <v>431</v>
      </c>
      <c r="H128" t="s">
        <v>432</v>
      </c>
      <c r="O128" s="91" t="s">
        <v>431</v>
      </c>
      <c r="P128" s="91" t="s">
        <v>432</v>
      </c>
    </row>
    <row r="129" spans="1:16" x14ac:dyDescent="0.25">
      <c r="A129" t="s">
        <v>867</v>
      </c>
      <c r="B129" s="8" t="s">
        <v>943</v>
      </c>
      <c r="G129" t="s">
        <v>433</v>
      </c>
      <c r="H129" t="s">
        <v>434</v>
      </c>
      <c r="O129" s="91" t="s">
        <v>433</v>
      </c>
      <c r="P129" s="91" t="s">
        <v>434</v>
      </c>
    </row>
    <row r="130" spans="1:16" x14ac:dyDescent="0.25">
      <c r="A130" t="s">
        <v>873</v>
      </c>
      <c r="B130" s="8" t="s">
        <v>952</v>
      </c>
      <c r="G130" t="s">
        <v>435</v>
      </c>
      <c r="H130" t="s">
        <v>436</v>
      </c>
      <c r="O130" s="91" t="s">
        <v>435</v>
      </c>
      <c r="P130" s="91" t="s">
        <v>436</v>
      </c>
    </row>
    <row r="131" spans="1:16" x14ac:dyDescent="0.25">
      <c r="A131" t="s">
        <v>747</v>
      </c>
      <c r="B131" s="8" t="s">
        <v>953</v>
      </c>
      <c r="G131" t="s">
        <v>437</v>
      </c>
      <c r="H131" t="s">
        <v>438</v>
      </c>
      <c r="O131" s="91" t="s">
        <v>437</v>
      </c>
      <c r="P131" s="91" t="s">
        <v>438</v>
      </c>
    </row>
    <row r="132" spans="1:16" x14ac:dyDescent="0.25">
      <c r="A132" t="s">
        <v>758</v>
      </c>
      <c r="B132" s="8" t="s">
        <v>944</v>
      </c>
      <c r="G132" t="s">
        <v>439</v>
      </c>
      <c r="H132" t="s">
        <v>440</v>
      </c>
      <c r="O132" s="91" t="s">
        <v>439</v>
      </c>
      <c r="P132" s="91" t="s">
        <v>440</v>
      </c>
    </row>
    <row r="133" spans="1:16" x14ac:dyDescent="0.25">
      <c r="A133" t="s">
        <v>746</v>
      </c>
      <c r="B133" s="8" t="s">
        <v>954</v>
      </c>
      <c r="G133" t="s">
        <v>441</v>
      </c>
      <c r="H133" t="s">
        <v>442</v>
      </c>
      <c r="O133" s="91" t="s">
        <v>441</v>
      </c>
      <c r="P133" s="91" t="s">
        <v>442</v>
      </c>
    </row>
    <row r="134" spans="1:16" x14ac:dyDescent="0.25">
      <c r="A134" t="s">
        <v>838</v>
      </c>
      <c r="B134" s="8" t="s">
        <v>955</v>
      </c>
      <c r="G134" t="s">
        <v>443</v>
      </c>
      <c r="H134" t="s">
        <v>444</v>
      </c>
      <c r="O134" s="91" t="s">
        <v>443</v>
      </c>
      <c r="P134" s="91" t="s">
        <v>444</v>
      </c>
    </row>
    <row r="135" spans="1:16" x14ac:dyDescent="0.25">
      <c r="A135" t="s">
        <v>769</v>
      </c>
      <c r="B135" s="8" t="s">
        <v>956</v>
      </c>
      <c r="G135" t="s">
        <v>445</v>
      </c>
      <c r="H135" t="s">
        <v>446</v>
      </c>
      <c r="O135" s="91" t="s">
        <v>445</v>
      </c>
      <c r="P135" s="91" t="s">
        <v>446</v>
      </c>
    </row>
    <row r="136" spans="1:16" x14ac:dyDescent="0.25">
      <c r="A136" t="s">
        <v>760</v>
      </c>
      <c r="B136" s="8" t="s">
        <v>957</v>
      </c>
      <c r="G136" t="s">
        <v>447</v>
      </c>
      <c r="H136" t="s">
        <v>448</v>
      </c>
      <c r="O136" s="91" t="s">
        <v>447</v>
      </c>
      <c r="P136" s="91" t="s">
        <v>448</v>
      </c>
    </row>
    <row r="137" spans="1:16" x14ac:dyDescent="0.25">
      <c r="A137" t="s">
        <v>807</v>
      </c>
      <c r="B137" s="8" t="s">
        <v>958</v>
      </c>
      <c r="G137" t="s">
        <v>449</v>
      </c>
      <c r="H137" t="s">
        <v>450</v>
      </c>
      <c r="O137" s="91" t="s">
        <v>449</v>
      </c>
      <c r="P137" s="91" t="s">
        <v>450</v>
      </c>
    </row>
    <row r="138" spans="1:16" x14ac:dyDescent="0.25">
      <c r="A138" t="s">
        <v>871</v>
      </c>
      <c r="B138" s="8" t="s">
        <v>959</v>
      </c>
      <c r="G138" t="s">
        <v>451</v>
      </c>
      <c r="H138" t="s">
        <v>452</v>
      </c>
      <c r="O138" s="91" t="s">
        <v>451</v>
      </c>
      <c r="P138" s="91" t="s">
        <v>452</v>
      </c>
    </row>
    <row r="139" spans="1:16" x14ac:dyDescent="0.25">
      <c r="A139" t="s">
        <v>759</v>
      </c>
      <c r="B139" s="8" t="s">
        <v>960</v>
      </c>
      <c r="G139" t="s">
        <v>453</v>
      </c>
      <c r="H139" t="s">
        <v>454</v>
      </c>
      <c r="O139" s="91" t="s">
        <v>453</v>
      </c>
      <c r="P139" s="91" t="s">
        <v>454</v>
      </c>
    </row>
    <row r="140" spans="1:16" x14ac:dyDescent="0.25">
      <c r="A140" t="s">
        <v>761</v>
      </c>
      <c r="B140" s="8" t="s">
        <v>961</v>
      </c>
      <c r="G140" t="s">
        <v>455</v>
      </c>
      <c r="H140" t="s">
        <v>456</v>
      </c>
      <c r="O140" s="91" t="s">
        <v>455</v>
      </c>
      <c r="P140" s="91" t="s">
        <v>456</v>
      </c>
    </row>
    <row r="141" spans="1:16" x14ac:dyDescent="0.25">
      <c r="A141" t="s">
        <v>870</v>
      </c>
      <c r="B141" s="8" t="s">
        <v>962</v>
      </c>
      <c r="G141" t="s">
        <v>457</v>
      </c>
      <c r="H141" t="s">
        <v>458</v>
      </c>
      <c r="O141" s="91" t="s">
        <v>457</v>
      </c>
      <c r="P141" s="91" t="s">
        <v>458</v>
      </c>
    </row>
    <row r="142" spans="1:16" x14ac:dyDescent="0.25">
      <c r="A142" t="s">
        <v>762</v>
      </c>
      <c r="G142" t="s">
        <v>459</v>
      </c>
      <c r="H142" t="s">
        <v>460</v>
      </c>
      <c r="O142" s="91" t="s">
        <v>459</v>
      </c>
      <c r="P142" s="91" t="s">
        <v>460</v>
      </c>
    </row>
    <row r="143" spans="1:16" x14ac:dyDescent="0.25">
      <c r="A143" t="s">
        <v>736</v>
      </c>
      <c r="B143" s="8" t="s">
        <v>136</v>
      </c>
      <c r="C143" t="s">
        <v>136</v>
      </c>
      <c r="G143" t="s">
        <v>461</v>
      </c>
      <c r="H143" t="s">
        <v>462</v>
      </c>
      <c r="O143" s="91" t="s">
        <v>461</v>
      </c>
      <c r="P143" s="91" t="s">
        <v>462</v>
      </c>
    </row>
    <row r="144" spans="1:16" x14ac:dyDescent="0.25">
      <c r="A144" t="s">
        <v>869</v>
      </c>
      <c r="B144" t="s">
        <v>965</v>
      </c>
      <c r="C144" t="s">
        <v>969</v>
      </c>
      <c r="D144" t="s">
        <v>1000</v>
      </c>
      <c r="E144" t="s">
        <v>1003</v>
      </c>
      <c r="F144" t="s">
        <v>1007</v>
      </c>
      <c r="G144" t="s">
        <v>463</v>
      </c>
      <c r="H144" t="s">
        <v>464</v>
      </c>
      <c r="O144" s="91" t="s">
        <v>463</v>
      </c>
      <c r="P144" s="91" t="s">
        <v>464</v>
      </c>
    </row>
    <row r="145" spans="1:16" x14ac:dyDescent="0.25">
      <c r="A145" t="s">
        <v>829</v>
      </c>
      <c r="B145" t="s">
        <v>5981</v>
      </c>
      <c r="C145" t="s">
        <v>5979</v>
      </c>
      <c r="D145" t="s">
        <v>1000</v>
      </c>
      <c r="E145" t="s">
        <v>1003</v>
      </c>
      <c r="F145" t="s">
        <v>1007</v>
      </c>
      <c r="G145" t="s">
        <v>465</v>
      </c>
      <c r="H145" t="s">
        <v>466</v>
      </c>
      <c r="O145" s="91" t="s">
        <v>465</v>
      </c>
      <c r="P145" s="91" t="s">
        <v>466</v>
      </c>
    </row>
    <row r="146" spans="1:16" x14ac:dyDescent="0.25">
      <c r="A146" t="s">
        <v>766</v>
      </c>
      <c r="B146" t="s">
        <v>5980</v>
      </c>
      <c r="C146" t="s">
        <v>2303</v>
      </c>
      <c r="D146" t="s">
        <v>1003</v>
      </c>
      <c r="E146" t="s">
        <v>1003</v>
      </c>
      <c r="F146" t="s">
        <v>1007</v>
      </c>
      <c r="G146" t="s">
        <v>467</v>
      </c>
      <c r="H146" t="s">
        <v>468</v>
      </c>
      <c r="O146" s="91" t="s">
        <v>467</v>
      </c>
      <c r="P146" s="91" t="s">
        <v>468</v>
      </c>
    </row>
    <row r="147" spans="1:16" x14ac:dyDescent="0.25">
      <c r="A147" t="s">
        <v>784</v>
      </c>
      <c r="B147" t="s">
        <v>2287</v>
      </c>
      <c r="C147" t="s">
        <v>970</v>
      </c>
      <c r="D147" t="s">
        <v>1001</v>
      </c>
      <c r="E147" t="s">
        <v>1001</v>
      </c>
      <c r="F147" t="s">
        <v>1008</v>
      </c>
      <c r="G147" t="s">
        <v>469</v>
      </c>
      <c r="H147" t="s">
        <v>470</v>
      </c>
      <c r="O147" s="91" t="s">
        <v>469</v>
      </c>
      <c r="P147" s="91" t="s">
        <v>470</v>
      </c>
    </row>
    <row r="148" spans="1:16" x14ac:dyDescent="0.25">
      <c r="A148" t="s">
        <v>833</v>
      </c>
      <c r="B148" t="s">
        <v>966</v>
      </c>
      <c r="C148" t="s">
        <v>970</v>
      </c>
      <c r="D148" t="s">
        <v>1000</v>
      </c>
      <c r="E148" t="s">
        <v>1003</v>
      </c>
      <c r="F148" t="s">
        <v>1007</v>
      </c>
      <c r="G148" t="s">
        <v>471</v>
      </c>
      <c r="H148" t="s">
        <v>472</v>
      </c>
      <c r="O148" s="91" t="s">
        <v>471</v>
      </c>
      <c r="P148" s="91" t="s">
        <v>472</v>
      </c>
    </row>
    <row r="149" spans="1:16" x14ac:dyDescent="0.25">
      <c r="A149" t="s">
        <v>757</v>
      </c>
      <c r="B149" t="s">
        <v>967</v>
      </c>
      <c r="C149" t="s">
        <v>970</v>
      </c>
      <c r="D149" t="s">
        <v>1000</v>
      </c>
      <c r="E149" t="s">
        <v>1003</v>
      </c>
      <c r="F149" t="s">
        <v>1007</v>
      </c>
      <c r="G149" t="s">
        <v>473</v>
      </c>
      <c r="H149" t="s">
        <v>474</v>
      </c>
      <c r="O149" s="91" t="s">
        <v>473</v>
      </c>
      <c r="P149" s="91" t="s">
        <v>474</v>
      </c>
    </row>
    <row r="150" spans="1:16" x14ac:dyDescent="0.25">
      <c r="A150" t="s">
        <v>756</v>
      </c>
      <c r="B150" t="s">
        <v>968</v>
      </c>
      <c r="C150" t="s">
        <v>970</v>
      </c>
      <c r="D150" t="s">
        <v>1000</v>
      </c>
      <c r="E150" t="s">
        <v>1003</v>
      </c>
      <c r="F150" t="s">
        <v>1007</v>
      </c>
      <c r="G150" t="s">
        <v>475</v>
      </c>
      <c r="H150" t="s">
        <v>476</v>
      </c>
      <c r="O150" s="91" t="s">
        <v>475</v>
      </c>
      <c r="P150" s="91" t="s">
        <v>476</v>
      </c>
    </row>
    <row r="151" spans="1:16" x14ac:dyDescent="0.25">
      <c r="A151" t="s">
        <v>729</v>
      </c>
      <c r="G151" t="s">
        <v>477</v>
      </c>
      <c r="H151" t="s">
        <v>478</v>
      </c>
      <c r="O151" s="91" t="s">
        <v>477</v>
      </c>
      <c r="P151" s="91" t="s">
        <v>478</v>
      </c>
    </row>
    <row r="152" spans="1:16" ht="15.75" x14ac:dyDescent="0.25">
      <c r="A152" t="s">
        <v>712</v>
      </c>
      <c r="B152" s="11" t="s">
        <v>136</v>
      </c>
      <c r="G152" t="s">
        <v>479</v>
      </c>
      <c r="H152" t="s">
        <v>480</v>
      </c>
      <c r="O152" s="91" t="s">
        <v>479</v>
      </c>
      <c r="P152" s="91" t="s">
        <v>480</v>
      </c>
    </row>
    <row r="153" spans="1:16" ht="15.75" x14ac:dyDescent="0.25">
      <c r="A153" t="s">
        <v>750</v>
      </c>
      <c r="B153" s="12">
        <v>0.02</v>
      </c>
      <c r="C153" s="8" t="s">
        <v>136</v>
      </c>
      <c r="E153" s="11" t="s">
        <v>136</v>
      </c>
      <c r="G153" t="s">
        <v>481</v>
      </c>
      <c r="H153" t="s">
        <v>482</v>
      </c>
      <c r="O153" s="91" t="s">
        <v>481</v>
      </c>
      <c r="P153" s="91" t="s">
        <v>482</v>
      </c>
    </row>
    <row r="154" spans="1:16" ht="15.75" x14ac:dyDescent="0.25">
      <c r="A154" t="s">
        <v>764</v>
      </c>
      <c r="B154" s="12">
        <v>0.05</v>
      </c>
      <c r="C154" t="s">
        <v>965</v>
      </c>
      <c r="D154" t="s">
        <v>1009</v>
      </c>
      <c r="E154" s="12">
        <v>0.02</v>
      </c>
      <c r="F154" s="4">
        <v>2</v>
      </c>
      <c r="G154" t="s">
        <v>483</v>
      </c>
      <c r="H154" t="s">
        <v>484</v>
      </c>
      <c r="O154" s="91" t="s">
        <v>483</v>
      </c>
      <c r="P154" s="91" t="s">
        <v>484</v>
      </c>
    </row>
    <row r="155" spans="1:16" ht="15.75" x14ac:dyDescent="0.25">
      <c r="A155" t="s">
        <v>781</v>
      </c>
      <c r="B155" s="12">
        <v>0.1</v>
      </c>
      <c r="C155" t="s">
        <v>5981</v>
      </c>
      <c r="D155" t="s">
        <v>1009</v>
      </c>
      <c r="E155" s="12">
        <v>0.05</v>
      </c>
      <c r="F155" s="4">
        <v>5</v>
      </c>
      <c r="G155" t="s">
        <v>485</v>
      </c>
      <c r="H155" t="s">
        <v>486</v>
      </c>
      <c r="O155" s="91" t="s">
        <v>485</v>
      </c>
      <c r="P155" s="91" t="s">
        <v>486</v>
      </c>
    </row>
    <row r="156" spans="1:16" ht="15.75" x14ac:dyDescent="0.25">
      <c r="A156" t="s">
        <v>868</v>
      </c>
      <c r="B156" s="12">
        <v>0.15</v>
      </c>
      <c r="C156" t="s">
        <v>5980</v>
      </c>
      <c r="D156" t="s">
        <v>1009</v>
      </c>
      <c r="E156" s="12">
        <v>0.1</v>
      </c>
      <c r="F156" s="4">
        <v>10</v>
      </c>
      <c r="G156" t="s">
        <v>487</v>
      </c>
      <c r="H156" t="s">
        <v>488</v>
      </c>
      <c r="O156" s="91" t="s">
        <v>487</v>
      </c>
      <c r="P156" s="91" t="s">
        <v>488</v>
      </c>
    </row>
    <row r="157" spans="1:16" ht="15.75" x14ac:dyDescent="0.25">
      <c r="A157" t="s">
        <v>767</v>
      </c>
      <c r="B157" s="11" t="s">
        <v>970</v>
      </c>
      <c r="C157" t="s">
        <v>2287</v>
      </c>
      <c r="D157" t="s">
        <v>1010</v>
      </c>
      <c r="E157" s="12">
        <v>0.15</v>
      </c>
      <c r="F157" s="4">
        <v>15</v>
      </c>
      <c r="G157" t="s">
        <v>489</v>
      </c>
      <c r="H157" t="s">
        <v>490</v>
      </c>
      <c r="O157" s="91" t="s">
        <v>489</v>
      </c>
      <c r="P157" s="91" t="s">
        <v>490</v>
      </c>
    </row>
    <row r="158" spans="1:16" ht="15.75" x14ac:dyDescent="0.25">
      <c r="A158" t="s">
        <v>836</v>
      </c>
      <c r="C158" t="s">
        <v>966</v>
      </c>
      <c r="D158" t="s">
        <v>1009</v>
      </c>
      <c r="E158" s="11" t="s">
        <v>970</v>
      </c>
      <c r="F158" s="4" t="s">
        <v>2729</v>
      </c>
      <c r="G158" t="s">
        <v>491</v>
      </c>
      <c r="H158" t="s">
        <v>492</v>
      </c>
      <c r="O158" s="91" t="s">
        <v>491</v>
      </c>
      <c r="P158" s="91" t="s">
        <v>492</v>
      </c>
    </row>
    <row r="159" spans="1:16" x14ac:dyDescent="0.25">
      <c r="A159" t="s">
        <v>770</v>
      </c>
      <c r="C159" t="s">
        <v>967</v>
      </c>
      <c r="D159" t="s">
        <v>1009</v>
      </c>
      <c r="G159" t="s">
        <v>493</v>
      </c>
      <c r="H159" t="s">
        <v>494</v>
      </c>
      <c r="O159" s="91" t="s">
        <v>493</v>
      </c>
      <c r="P159" s="91" t="s">
        <v>494</v>
      </c>
    </row>
    <row r="160" spans="1:16" x14ac:dyDescent="0.25">
      <c r="A160" t="s">
        <v>763</v>
      </c>
      <c r="B160" t="s">
        <v>136</v>
      </c>
      <c r="C160" t="s">
        <v>968</v>
      </c>
      <c r="D160" t="s">
        <v>1009</v>
      </c>
      <c r="G160" t="s">
        <v>495</v>
      </c>
      <c r="H160" t="s">
        <v>496</v>
      </c>
      <c r="O160" s="91" t="s">
        <v>495</v>
      </c>
      <c r="P160" s="91" t="s">
        <v>496</v>
      </c>
    </row>
    <row r="161" spans="1:16" x14ac:dyDescent="0.25">
      <c r="A161" t="s">
        <v>837</v>
      </c>
      <c r="B161" t="s">
        <v>996</v>
      </c>
      <c r="G161" t="s">
        <v>497</v>
      </c>
      <c r="H161" t="s">
        <v>498</v>
      </c>
      <c r="O161" s="91" t="s">
        <v>497</v>
      </c>
      <c r="P161" s="91" t="s">
        <v>498</v>
      </c>
    </row>
    <row r="162" spans="1:16" x14ac:dyDescent="0.25">
      <c r="A162" t="s">
        <v>874</v>
      </c>
      <c r="B162" t="s">
        <v>997</v>
      </c>
      <c r="G162" t="s">
        <v>499</v>
      </c>
      <c r="H162" t="s">
        <v>500</v>
      </c>
      <c r="O162" s="91" t="s">
        <v>499</v>
      </c>
      <c r="P162" s="91" t="s">
        <v>500</v>
      </c>
    </row>
    <row r="163" spans="1:16" x14ac:dyDescent="0.25">
      <c r="A163" t="s">
        <v>872</v>
      </c>
      <c r="G163" t="s">
        <v>501</v>
      </c>
      <c r="H163" t="s">
        <v>502</v>
      </c>
      <c r="O163" s="91" t="s">
        <v>501</v>
      </c>
      <c r="P163" s="91" t="s">
        <v>502</v>
      </c>
    </row>
    <row r="164" spans="1:16" x14ac:dyDescent="0.25">
      <c r="A164" t="s">
        <v>748</v>
      </c>
      <c r="B164" t="s">
        <v>136</v>
      </c>
      <c r="G164" t="s">
        <v>503</v>
      </c>
      <c r="H164" t="s">
        <v>504</v>
      </c>
      <c r="O164" s="91" t="s">
        <v>503</v>
      </c>
      <c r="P164" s="91" t="s">
        <v>504</v>
      </c>
    </row>
    <row r="165" spans="1:16" x14ac:dyDescent="0.25">
      <c r="A165" t="s">
        <v>740</v>
      </c>
      <c r="B165" s="39" t="s">
        <v>1044</v>
      </c>
      <c r="D165" s="8" t="s">
        <v>136</v>
      </c>
      <c r="G165" t="s">
        <v>505</v>
      </c>
      <c r="H165" t="s">
        <v>506</v>
      </c>
      <c r="O165" s="91" t="s">
        <v>505</v>
      </c>
      <c r="P165" s="91" t="s">
        <v>506</v>
      </c>
    </row>
    <row r="166" spans="1:16" x14ac:dyDescent="0.25">
      <c r="A166" t="s">
        <v>772</v>
      </c>
      <c r="B166" s="39" t="s">
        <v>1045</v>
      </c>
      <c r="D166" t="s">
        <v>965</v>
      </c>
      <c r="E166" t="s">
        <v>101</v>
      </c>
      <c r="G166" t="s">
        <v>507</v>
      </c>
      <c r="H166" t="s">
        <v>508</v>
      </c>
      <c r="O166" s="91" t="s">
        <v>507</v>
      </c>
      <c r="P166" s="91" t="s">
        <v>508</v>
      </c>
    </row>
    <row r="167" spans="1:16" x14ac:dyDescent="0.25">
      <c r="A167" t="s">
        <v>768</v>
      </c>
      <c r="B167" s="39" t="s">
        <v>1046</v>
      </c>
      <c r="D167" t="s">
        <v>5981</v>
      </c>
      <c r="E167" t="s">
        <v>101</v>
      </c>
      <c r="G167" t="s">
        <v>509</v>
      </c>
      <c r="H167" t="s">
        <v>510</v>
      </c>
      <c r="O167" s="91" t="s">
        <v>509</v>
      </c>
      <c r="P167" s="91" t="s">
        <v>510</v>
      </c>
    </row>
    <row r="168" spans="1:16" x14ac:dyDescent="0.25">
      <c r="A168" t="s">
        <v>865</v>
      </c>
      <c r="B168" s="39" t="s">
        <v>1047</v>
      </c>
      <c r="D168" t="s">
        <v>5980</v>
      </c>
      <c r="E168" t="s">
        <v>101</v>
      </c>
      <c r="G168" t="s">
        <v>511</v>
      </c>
      <c r="H168" t="s">
        <v>512</v>
      </c>
      <c r="O168" s="91" t="s">
        <v>511</v>
      </c>
      <c r="P168" s="91" t="s">
        <v>512</v>
      </c>
    </row>
    <row r="169" spans="1:16" x14ac:dyDescent="0.25">
      <c r="A169" t="s">
        <v>771</v>
      </c>
      <c r="B169" s="39" t="s">
        <v>1048</v>
      </c>
      <c r="D169" t="s">
        <v>884</v>
      </c>
      <c r="E169" t="s">
        <v>168</v>
      </c>
      <c r="G169" t="s">
        <v>513</v>
      </c>
      <c r="H169" t="s">
        <v>514</v>
      </c>
      <c r="O169" s="91" t="s">
        <v>513</v>
      </c>
      <c r="P169" s="91" t="s">
        <v>514</v>
      </c>
    </row>
    <row r="170" spans="1:16" x14ac:dyDescent="0.25">
      <c r="A170" t="s">
        <v>779</v>
      </c>
      <c r="B170" s="39" t="s">
        <v>1049</v>
      </c>
      <c r="D170" t="s">
        <v>966</v>
      </c>
      <c r="E170" t="s">
        <v>168</v>
      </c>
      <c r="G170" t="s">
        <v>515</v>
      </c>
      <c r="H170" t="s">
        <v>516</v>
      </c>
      <c r="O170" s="91" t="s">
        <v>515</v>
      </c>
      <c r="P170" s="91" t="s">
        <v>516</v>
      </c>
    </row>
    <row r="171" spans="1:16" x14ac:dyDescent="0.25">
      <c r="A171" t="s">
        <v>880</v>
      </c>
      <c r="B171" s="39" t="s">
        <v>6735</v>
      </c>
      <c r="D171" t="s">
        <v>967</v>
      </c>
      <c r="E171" t="s">
        <v>168</v>
      </c>
      <c r="G171" t="s">
        <v>517</v>
      </c>
      <c r="H171" t="s">
        <v>518</v>
      </c>
      <c r="O171" s="91" t="s">
        <v>517</v>
      </c>
      <c r="P171" s="91" t="s">
        <v>518</v>
      </c>
    </row>
    <row r="172" spans="1:16" x14ac:dyDescent="0.25">
      <c r="A172" t="s">
        <v>777</v>
      </c>
      <c r="B172" s="39" t="s">
        <v>1050</v>
      </c>
      <c r="D172" t="s">
        <v>968</v>
      </c>
      <c r="E172" t="s">
        <v>168</v>
      </c>
      <c r="G172" t="s">
        <v>519</v>
      </c>
      <c r="H172" t="s">
        <v>520</v>
      </c>
      <c r="O172" s="91" t="s">
        <v>519</v>
      </c>
      <c r="P172" s="91" t="s">
        <v>520</v>
      </c>
    </row>
    <row r="173" spans="1:16" x14ac:dyDescent="0.25">
      <c r="A173" t="s">
        <v>879</v>
      </c>
      <c r="B173" s="39" t="s">
        <v>1051</v>
      </c>
      <c r="G173" t="s">
        <v>521</v>
      </c>
      <c r="H173" t="s">
        <v>522</v>
      </c>
      <c r="O173" s="91" t="s">
        <v>521</v>
      </c>
      <c r="P173" s="91" t="s">
        <v>522</v>
      </c>
    </row>
    <row r="174" spans="1:16" x14ac:dyDescent="0.25">
      <c r="A174" t="s">
        <v>839</v>
      </c>
      <c r="B174" s="39" t="s">
        <v>1052</v>
      </c>
      <c r="G174" t="s">
        <v>523</v>
      </c>
      <c r="H174" t="s">
        <v>524</v>
      </c>
      <c r="O174" s="91" t="s">
        <v>523</v>
      </c>
      <c r="P174" s="91" t="s">
        <v>524</v>
      </c>
    </row>
    <row r="175" spans="1:16" x14ac:dyDescent="0.25">
      <c r="A175" t="s">
        <v>780</v>
      </c>
      <c r="B175" s="39" t="s">
        <v>1053</v>
      </c>
      <c r="G175" t="s">
        <v>525</v>
      </c>
      <c r="H175" t="s">
        <v>526</v>
      </c>
      <c r="O175" s="91" t="s">
        <v>525</v>
      </c>
      <c r="P175" s="91" t="s">
        <v>526</v>
      </c>
    </row>
    <row r="176" spans="1:16" x14ac:dyDescent="0.25">
      <c r="A176" t="s">
        <v>792</v>
      </c>
      <c r="B176" s="39" t="s">
        <v>1054</v>
      </c>
      <c r="G176" t="s">
        <v>527</v>
      </c>
      <c r="H176" t="s">
        <v>528</v>
      </c>
      <c r="O176" s="91" t="s">
        <v>527</v>
      </c>
      <c r="P176" s="91" t="s">
        <v>528</v>
      </c>
    </row>
    <row r="177" spans="1:16" x14ac:dyDescent="0.25">
      <c r="A177" t="s">
        <v>791</v>
      </c>
      <c r="B177" s="39" t="s">
        <v>1055</v>
      </c>
      <c r="G177" t="s">
        <v>529</v>
      </c>
      <c r="H177" t="s">
        <v>530</v>
      </c>
      <c r="O177" s="91" t="s">
        <v>529</v>
      </c>
      <c r="P177" s="91" t="s">
        <v>530</v>
      </c>
    </row>
    <row r="178" spans="1:16" x14ac:dyDescent="0.25">
      <c r="A178" t="s">
        <v>828</v>
      </c>
      <c r="B178" s="39" t="s">
        <v>1056</v>
      </c>
      <c r="G178" t="s">
        <v>531</v>
      </c>
      <c r="H178" t="s">
        <v>532</v>
      </c>
      <c r="O178" s="91" t="s">
        <v>531</v>
      </c>
      <c r="P178" s="91" t="s">
        <v>532</v>
      </c>
    </row>
    <row r="179" spans="1:16" x14ac:dyDescent="0.25">
      <c r="A179" t="s">
        <v>774</v>
      </c>
      <c r="B179" s="39" t="s">
        <v>1057</v>
      </c>
      <c r="G179" t="s">
        <v>533</v>
      </c>
      <c r="H179" t="s">
        <v>534</v>
      </c>
      <c r="O179" s="91" t="s">
        <v>533</v>
      </c>
      <c r="P179" s="91" t="s">
        <v>534</v>
      </c>
    </row>
    <row r="180" spans="1:16" x14ac:dyDescent="0.25">
      <c r="A180" t="s">
        <v>737</v>
      </c>
      <c r="B180" s="39" t="s">
        <v>1058</v>
      </c>
      <c r="G180" t="s">
        <v>535</v>
      </c>
      <c r="H180" t="s">
        <v>536</v>
      </c>
      <c r="O180" s="91" t="s">
        <v>535</v>
      </c>
      <c r="P180" s="91" t="s">
        <v>536</v>
      </c>
    </row>
    <row r="181" spans="1:16" x14ac:dyDescent="0.25">
      <c r="A181" t="s">
        <v>835</v>
      </c>
      <c r="B181" s="39" t="s">
        <v>1059</v>
      </c>
      <c r="G181" t="s">
        <v>537</v>
      </c>
      <c r="H181" t="s">
        <v>538</v>
      </c>
      <c r="O181" s="91" t="s">
        <v>537</v>
      </c>
      <c r="P181" s="91" t="s">
        <v>538</v>
      </c>
    </row>
    <row r="182" spans="1:16" x14ac:dyDescent="0.25">
      <c r="A182" t="s">
        <v>888</v>
      </c>
      <c r="B182" s="39" t="s">
        <v>1060</v>
      </c>
      <c r="G182" t="s">
        <v>539</v>
      </c>
      <c r="H182" t="s">
        <v>540</v>
      </c>
      <c r="O182" s="91" t="s">
        <v>539</v>
      </c>
      <c r="P182" s="91" t="s">
        <v>540</v>
      </c>
    </row>
    <row r="183" spans="1:16" x14ac:dyDescent="0.25">
      <c r="A183" t="s">
        <v>782</v>
      </c>
      <c r="B183" s="39" t="s">
        <v>1061</v>
      </c>
      <c r="G183" t="s">
        <v>541</v>
      </c>
      <c r="H183" t="s">
        <v>542</v>
      </c>
      <c r="O183" s="91" t="s">
        <v>541</v>
      </c>
      <c r="P183" s="91" t="s">
        <v>542</v>
      </c>
    </row>
    <row r="184" spans="1:16" x14ac:dyDescent="0.25">
      <c r="A184" t="s">
        <v>808</v>
      </c>
      <c r="B184" s="39" t="s">
        <v>1062</v>
      </c>
      <c r="C184" s="8" t="s">
        <v>136</v>
      </c>
      <c r="D184" t="s">
        <v>136</v>
      </c>
      <c r="G184" t="s">
        <v>543</v>
      </c>
      <c r="H184" t="s">
        <v>544</v>
      </c>
      <c r="O184" s="91" t="s">
        <v>543</v>
      </c>
      <c r="P184" s="91" t="s">
        <v>544</v>
      </c>
    </row>
    <row r="185" spans="1:16" x14ac:dyDescent="0.25">
      <c r="A185" t="s">
        <v>773</v>
      </c>
      <c r="B185" s="39" t="s">
        <v>1063</v>
      </c>
      <c r="C185" t="s">
        <v>965</v>
      </c>
      <c r="D185" t="s">
        <v>969</v>
      </c>
      <c r="E185">
        <v>3</v>
      </c>
      <c r="G185" t="s">
        <v>545</v>
      </c>
      <c r="H185" t="s">
        <v>546</v>
      </c>
      <c r="O185" s="91" t="s">
        <v>545</v>
      </c>
      <c r="P185" s="91" t="s">
        <v>546</v>
      </c>
    </row>
    <row r="186" spans="1:16" x14ac:dyDescent="0.25">
      <c r="A186" t="s">
        <v>840</v>
      </c>
      <c r="B186" s="39" t="s">
        <v>1064</v>
      </c>
      <c r="C186" t="s">
        <v>5981</v>
      </c>
      <c r="D186" t="s">
        <v>5979</v>
      </c>
      <c r="E186">
        <v>0.5</v>
      </c>
      <c r="G186" t="s">
        <v>547</v>
      </c>
      <c r="H186" t="s">
        <v>548</v>
      </c>
      <c r="O186" s="91" t="s">
        <v>547</v>
      </c>
      <c r="P186" s="91" t="s">
        <v>548</v>
      </c>
    </row>
    <row r="187" spans="1:16" x14ac:dyDescent="0.25">
      <c r="A187" t="s">
        <v>809</v>
      </c>
      <c r="B187" s="39" t="s">
        <v>1065</v>
      </c>
      <c r="C187" t="s">
        <v>5980</v>
      </c>
      <c r="D187" t="s">
        <v>2303</v>
      </c>
      <c r="E187">
        <v>1</v>
      </c>
      <c r="G187" t="s">
        <v>549</v>
      </c>
      <c r="H187" t="s">
        <v>550</v>
      </c>
      <c r="O187" s="91" t="s">
        <v>549</v>
      </c>
      <c r="P187" s="91" t="s">
        <v>550</v>
      </c>
    </row>
    <row r="188" spans="1:16" x14ac:dyDescent="0.25">
      <c r="A188" t="s">
        <v>841</v>
      </c>
      <c r="B188" s="39" t="s">
        <v>1066</v>
      </c>
      <c r="C188" t="s">
        <v>2287</v>
      </c>
      <c r="D188" t="s">
        <v>970</v>
      </c>
      <c r="E188" t="s">
        <v>970</v>
      </c>
      <c r="G188" t="s">
        <v>551</v>
      </c>
      <c r="H188" t="s">
        <v>552</v>
      </c>
      <c r="O188" s="91" t="s">
        <v>551</v>
      </c>
      <c r="P188" s="91" t="s">
        <v>552</v>
      </c>
    </row>
    <row r="189" spans="1:16" x14ac:dyDescent="0.25">
      <c r="A189" t="s">
        <v>743</v>
      </c>
      <c r="B189" s="39" t="s">
        <v>1067</v>
      </c>
      <c r="C189" t="s">
        <v>966</v>
      </c>
      <c r="D189" t="s">
        <v>970</v>
      </c>
      <c r="E189" t="s">
        <v>970</v>
      </c>
      <c r="G189" t="s">
        <v>553</v>
      </c>
      <c r="H189" t="s">
        <v>554</v>
      </c>
      <c r="O189" s="91" t="s">
        <v>553</v>
      </c>
      <c r="P189" s="91" t="s">
        <v>554</v>
      </c>
    </row>
    <row r="190" spans="1:16" x14ac:dyDescent="0.25">
      <c r="A190" t="s">
        <v>744</v>
      </c>
      <c r="B190" s="39" t="s">
        <v>1068</v>
      </c>
      <c r="C190" t="s">
        <v>967</v>
      </c>
      <c r="D190" t="s">
        <v>970</v>
      </c>
      <c r="E190" t="s">
        <v>970</v>
      </c>
      <c r="G190" t="s">
        <v>555</v>
      </c>
      <c r="H190" t="s">
        <v>556</v>
      </c>
      <c r="O190" s="91" t="s">
        <v>555</v>
      </c>
      <c r="P190" s="91" t="s">
        <v>556</v>
      </c>
    </row>
    <row r="191" spans="1:16" x14ac:dyDescent="0.25">
      <c r="A191" t="s">
        <v>842</v>
      </c>
      <c r="C191" t="s">
        <v>968</v>
      </c>
      <c r="D191" t="s">
        <v>970</v>
      </c>
      <c r="E191" t="s">
        <v>970</v>
      </c>
      <c r="G191" t="s">
        <v>557</v>
      </c>
      <c r="H191" t="s">
        <v>558</v>
      </c>
      <c r="O191" s="91" t="s">
        <v>557</v>
      </c>
      <c r="P191" s="91" t="s">
        <v>558</v>
      </c>
    </row>
    <row r="192" spans="1:16" x14ac:dyDescent="0.25">
      <c r="A192" t="s">
        <v>844</v>
      </c>
      <c r="G192" t="s">
        <v>559</v>
      </c>
      <c r="H192" t="s">
        <v>560</v>
      </c>
      <c r="O192" s="91" t="s">
        <v>559</v>
      </c>
      <c r="P192" s="91" t="s">
        <v>560</v>
      </c>
    </row>
    <row r="193" spans="1:16" x14ac:dyDescent="0.25">
      <c r="A193" t="s">
        <v>823</v>
      </c>
      <c r="C193" s="8" t="s">
        <v>136</v>
      </c>
      <c r="G193" t="s">
        <v>561</v>
      </c>
      <c r="H193" t="s">
        <v>562</v>
      </c>
      <c r="O193" s="91" t="s">
        <v>561</v>
      </c>
      <c r="P193" s="91" t="s">
        <v>562</v>
      </c>
    </row>
    <row r="194" spans="1:16" x14ac:dyDescent="0.25">
      <c r="A194" t="s">
        <v>843</v>
      </c>
      <c r="B194" t="s">
        <v>136</v>
      </c>
      <c r="C194" t="s">
        <v>965</v>
      </c>
      <c r="D194" t="s">
        <v>2304</v>
      </c>
      <c r="G194" t="s">
        <v>563</v>
      </c>
      <c r="H194" t="s">
        <v>564</v>
      </c>
      <c r="O194" s="91" t="s">
        <v>563</v>
      </c>
      <c r="P194" s="91" t="s">
        <v>564</v>
      </c>
    </row>
    <row r="195" spans="1:16" x14ac:dyDescent="0.25">
      <c r="A195" t="s">
        <v>845</v>
      </c>
      <c r="B195" t="s">
        <v>1077</v>
      </c>
      <c r="C195" t="s">
        <v>5981</v>
      </c>
      <c r="D195" t="s">
        <v>2305</v>
      </c>
      <c r="G195" t="s">
        <v>565</v>
      </c>
      <c r="H195" t="s">
        <v>566</v>
      </c>
      <c r="O195" s="91" t="s">
        <v>565</v>
      </c>
      <c r="P195" s="91" t="s">
        <v>566</v>
      </c>
    </row>
    <row r="196" spans="1:16" x14ac:dyDescent="0.25">
      <c r="A196" t="s">
        <v>753</v>
      </c>
      <c r="B196" t="s">
        <v>1078</v>
      </c>
      <c r="C196" t="s">
        <v>5980</v>
      </c>
      <c r="D196" t="s">
        <v>2305</v>
      </c>
      <c r="G196" t="s">
        <v>567</v>
      </c>
      <c r="H196" t="s">
        <v>568</v>
      </c>
      <c r="O196" s="91" t="s">
        <v>567</v>
      </c>
      <c r="P196" s="91" t="s">
        <v>568</v>
      </c>
    </row>
    <row r="197" spans="1:16" x14ac:dyDescent="0.25">
      <c r="A197" t="s">
        <v>846</v>
      </c>
      <c r="B197" t="s">
        <v>1079</v>
      </c>
      <c r="C197" t="s">
        <v>2287</v>
      </c>
      <c r="D197" t="s">
        <v>2305</v>
      </c>
      <c r="G197" t="s">
        <v>569</v>
      </c>
      <c r="H197" t="s">
        <v>570</v>
      </c>
      <c r="O197" s="91" t="s">
        <v>569</v>
      </c>
      <c r="P197" s="91" t="s">
        <v>570</v>
      </c>
    </row>
    <row r="198" spans="1:16" x14ac:dyDescent="0.25">
      <c r="A198" t="s">
        <v>752</v>
      </c>
      <c r="B198" t="s">
        <v>1080</v>
      </c>
      <c r="C198" t="s">
        <v>966</v>
      </c>
      <c r="D198" t="s">
        <v>2305</v>
      </c>
      <c r="G198" t="s">
        <v>571</v>
      </c>
      <c r="H198" t="s">
        <v>572</v>
      </c>
      <c r="O198" s="91" t="s">
        <v>571</v>
      </c>
      <c r="P198" s="91" t="s">
        <v>572</v>
      </c>
    </row>
    <row r="199" spans="1:16" x14ac:dyDescent="0.25">
      <c r="A199" t="s">
        <v>847</v>
      </c>
      <c r="B199" t="s">
        <v>1081</v>
      </c>
      <c r="C199" t="s">
        <v>967</v>
      </c>
      <c r="D199" t="s">
        <v>2305</v>
      </c>
      <c r="G199" t="s">
        <v>573</v>
      </c>
      <c r="H199" t="s">
        <v>574</v>
      </c>
      <c r="O199" s="91" t="s">
        <v>573</v>
      </c>
      <c r="P199" s="91" t="s">
        <v>574</v>
      </c>
    </row>
    <row r="200" spans="1:16" x14ac:dyDescent="0.25">
      <c r="A200" t="s">
        <v>848</v>
      </c>
      <c r="B200" t="s">
        <v>1082</v>
      </c>
      <c r="C200" t="s">
        <v>968</v>
      </c>
      <c r="D200" t="s">
        <v>2305</v>
      </c>
      <c r="G200" t="s">
        <v>575</v>
      </c>
      <c r="H200" t="s">
        <v>576</v>
      </c>
      <c r="O200" s="91" t="s">
        <v>575</v>
      </c>
      <c r="P200" s="91" t="s">
        <v>576</v>
      </c>
    </row>
    <row r="201" spans="1:16" x14ac:dyDescent="0.25">
      <c r="A201" t="s">
        <v>849</v>
      </c>
      <c r="G201" t="s">
        <v>577</v>
      </c>
      <c r="H201" t="s">
        <v>578</v>
      </c>
      <c r="O201" s="91" t="s">
        <v>577</v>
      </c>
      <c r="P201" s="91" t="s">
        <v>578</v>
      </c>
    </row>
    <row r="202" spans="1:16" x14ac:dyDescent="0.25">
      <c r="A202" t="s">
        <v>850</v>
      </c>
      <c r="G202" t="s">
        <v>579</v>
      </c>
      <c r="H202" t="s">
        <v>580</v>
      </c>
      <c r="O202" s="91" t="s">
        <v>579</v>
      </c>
      <c r="P202" s="91" t="s">
        <v>580</v>
      </c>
    </row>
    <row r="203" spans="1:16" x14ac:dyDescent="0.25">
      <c r="A203" t="s">
        <v>866</v>
      </c>
      <c r="D203" t="s">
        <v>136</v>
      </c>
      <c r="G203" t="s">
        <v>581</v>
      </c>
      <c r="H203" t="s">
        <v>582</v>
      </c>
      <c r="O203" s="91" t="s">
        <v>581</v>
      </c>
      <c r="P203" s="91" t="s">
        <v>582</v>
      </c>
    </row>
    <row r="204" spans="1:16" x14ac:dyDescent="0.25">
      <c r="A204" t="s">
        <v>708</v>
      </c>
      <c r="D204" t="s">
        <v>2768</v>
      </c>
      <c r="G204" t="s">
        <v>583</v>
      </c>
      <c r="H204" t="s">
        <v>584</v>
      </c>
      <c r="O204" s="91" t="s">
        <v>583</v>
      </c>
      <c r="P204" s="91" t="s">
        <v>584</v>
      </c>
    </row>
    <row r="205" spans="1:16" x14ac:dyDescent="0.25">
      <c r="A205" t="s">
        <v>739</v>
      </c>
      <c r="D205" t="s">
        <v>2769</v>
      </c>
      <c r="G205" t="s">
        <v>585</v>
      </c>
      <c r="H205" t="s">
        <v>586</v>
      </c>
      <c r="O205" s="91" t="s">
        <v>585</v>
      </c>
      <c r="P205" s="91" t="s">
        <v>586</v>
      </c>
    </row>
    <row r="206" spans="1:16" x14ac:dyDescent="0.25">
      <c r="A206" t="s">
        <v>783</v>
      </c>
      <c r="D206" t="s">
        <v>913</v>
      </c>
      <c r="G206" t="s">
        <v>587</v>
      </c>
      <c r="H206" t="s">
        <v>588</v>
      </c>
      <c r="O206" s="91" t="s">
        <v>587</v>
      </c>
      <c r="P206" s="91" t="s">
        <v>588</v>
      </c>
    </row>
    <row r="207" spans="1:16" x14ac:dyDescent="0.25">
      <c r="A207" t="s">
        <v>875</v>
      </c>
      <c r="D207" t="s">
        <v>914</v>
      </c>
      <c r="G207" t="s">
        <v>589</v>
      </c>
      <c r="H207" t="s">
        <v>590</v>
      </c>
      <c r="O207" s="91" t="s">
        <v>589</v>
      </c>
      <c r="P207" s="91" t="s">
        <v>590</v>
      </c>
    </row>
    <row r="208" spans="1:16" x14ac:dyDescent="0.25">
      <c r="A208" t="s">
        <v>831</v>
      </c>
      <c r="D208" t="s">
        <v>2773</v>
      </c>
      <c r="G208" t="s">
        <v>591</v>
      </c>
      <c r="H208" t="s">
        <v>592</v>
      </c>
      <c r="O208" s="91" t="s">
        <v>591</v>
      </c>
      <c r="P208" s="91" t="s">
        <v>592</v>
      </c>
    </row>
    <row r="209" spans="1:16" x14ac:dyDescent="0.25">
      <c r="A209" t="s">
        <v>810</v>
      </c>
      <c r="D209" t="s">
        <v>2775</v>
      </c>
      <c r="G209" t="s">
        <v>593</v>
      </c>
      <c r="H209" t="s">
        <v>594</v>
      </c>
      <c r="O209" s="91" t="s">
        <v>593</v>
      </c>
      <c r="P209" s="91" t="s">
        <v>594</v>
      </c>
    </row>
    <row r="210" spans="1:16" x14ac:dyDescent="0.25">
      <c r="A210" t="s">
        <v>811</v>
      </c>
      <c r="D210" t="s">
        <v>2777</v>
      </c>
      <c r="G210" t="s">
        <v>595</v>
      </c>
      <c r="H210" t="s">
        <v>596</v>
      </c>
      <c r="O210" s="91" t="s">
        <v>595</v>
      </c>
      <c r="P210" s="91" t="s">
        <v>596</v>
      </c>
    </row>
    <row r="211" spans="1:16" x14ac:dyDescent="0.25">
      <c r="A211" t="s">
        <v>855</v>
      </c>
      <c r="D211" t="s">
        <v>2779</v>
      </c>
      <c r="G211" t="s">
        <v>597</v>
      </c>
      <c r="H211" t="s">
        <v>598</v>
      </c>
      <c r="O211" s="91" t="s">
        <v>597</v>
      </c>
      <c r="P211" s="91" t="s">
        <v>598</v>
      </c>
    </row>
    <row r="212" spans="1:16" x14ac:dyDescent="0.25">
      <c r="A212" t="s">
        <v>820</v>
      </c>
      <c r="D212" t="s">
        <v>2781</v>
      </c>
      <c r="G212" t="s">
        <v>599</v>
      </c>
      <c r="H212" t="s">
        <v>600</v>
      </c>
      <c r="O212" s="91" t="s">
        <v>599</v>
      </c>
      <c r="P212" s="91" t="s">
        <v>600</v>
      </c>
    </row>
    <row r="213" spans="1:16" x14ac:dyDescent="0.25">
      <c r="A213" t="s">
        <v>864</v>
      </c>
      <c r="D213" t="s">
        <v>2783</v>
      </c>
      <c r="G213" t="s">
        <v>601</v>
      </c>
      <c r="H213" t="s">
        <v>602</v>
      </c>
      <c r="O213" s="91" t="s">
        <v>601</v>
      </c>
      <c r="P213" s="91" t="s">
        <v>602</v>
      </c>
    </row>
    <row r="214" spans="1:16" x14ac:dyDescent="0.25">
      <c r="A214" t="s">
        <v>814</v>
      </c>
      <c r="D214" t="s">
        <v>2785</v>
      </c>
      <c r="G214" t="s">
        <v>603</v>
      </c>
      <c r="H214" t="s">
        <v>604</v>
      </c>
      <c r="O214" s="91" t="s">
        <v>603</v>
      </c>
      <c r="P214" s="91" t="s">
        <v>604</v>
      </c>
    </row>
    <row r="215" spans="1:16" x14ac:dyDescent="0.25">
      <c r="A215" t="s">
        <v>834</v>
      </c>
      <c r="D215" t="s">
        <v>2787</v>
      </c>
      <c r="G215" t="s">
        <v>605</v>
      </c>
      <c r="H215" t="s">
        <v>606</v>
      </c>
      <c r="O215" s="91" t="s">
        <v>605</v>
      </c>
      <c r="P215" s="91" t="s">
        <v>606</v>
      </c>
    </row>
    <row r="216" spans="1:16" x14ac:dyDescent="0.25">
      <c r="A216" t="s">
        <v>815</v>
      </c>
      <c r="B216" t="s">
        <v>136</v>
      </c>
      <c r="D216" t="s">
        <v>921</v>
      </c>
      <c r="G216" t="s">
        <v>607</v>
      </c>
      <c r="H216" t="s">
        <v>608</v>
      </c>
      <c r="O216" s="91" t="s">
        <v>607</v>
      </c>
      <c r="P216" s="91" t="s">
        <v>608</v>
      </c>
    </row>
    <row r="217" spans="1:16" x14ac:dyDescent="0.25">
      <c r="A217" t="s">
        <v>755</v>
      </c>
      <c r="B217" s="7" t="s">
        <v>1083</v>
      </c>
      <c r="C217" t="s">
        <v>3006</v>
      </c>
      <c r="D217" t="s">
        <v>2789</v>
      </c>
      <c r="G217" t="s">
        <v>609</v>
      </c>
      <c r="H217" t="s">
        <v>610</v>
      </c>
      <c r="O217" s="91" t="s">
        <v>609</v>
      </c>
      <c r="P217" s="91" t="s">
        <v>610</v>
      </c>
    </row>
    <row r="218" spans="1:16" x14ac:dyDescent="0.25">
      <c r="A218" t="s">
        <v>785</v>
      </c>
      <c r="B218" s="7" t="s">
        <v>1084</v>
      </c>
      <c r="C218" t="s">
        <v>1074</v>
      </c>
      <c r="D218" t="s">
        <v>2791</v>
      </c>
      <c r="G218" t="s">
        <v>611</v>
      </c>
      <c r="H218" t="s">
        <v>612</v>
      </c>
      <c r="O218" s="91" t="s">
        <v>611</v>
      </c>
      <c r="P218" s="91" t="s">
        <v>612</v>
      </c>
    </row>
    <row r="219" spans="1:16" x14ac:dyDescent="0.25">
      <c r="A219" t="s">
        <v>851</v>
      </c>
      <c r="B219" s="7" t="s">
        <v>1085</v>
      </c>
      <c r="C219" t="s">
        <v>1076</v>
      </c>
      <c r="D219" t="s">
        <v>922</v>
      </c>
      <c r="G219" t="s">
        <v>613</v>
      </c>
      <c r="H219" t="s">
        <v>614</v>
      </c>
      <c r="O219" s="91" t="s">
        <v>613</v>
      </c>
      <c r="P219" s="91" t="s">
        <v>614</v>
      </c>
    </row>
    <row r="220" spans="1:16" x14ac:dyDescent="0.25">
      <c r="A220" t="s">
        <v>711</v>
      </c>
      <c r="D220" t="s">
        <v>2794</v>
      </c>
      <c r="G220" t="s">
        <v>615</v>
      </c>
      <c r="H220" t="s">
        <v>616</v>
      </c>
      <c r="O220" s="91" t="s">
        <v>615</v>
      </c>
      <c r="P220" s="91" t="s">
        <v>616</v>
      </c>
    </row>
    <row r="221" spans="1:16" x14ac:dyDescent="0.25">
      <c r="A221" t="s">
        <v>852</v>
      </c>
      <c r="D221" t="s">
        <v>2796</v>
      </c>
      <c r="G221" t="s">
        <v>617</v>
      </c>
      <c r="H221" t="s">
        <v>618</v>
      </c>
      <c r="O221" s="91" t="s">
        <v>617</v>
      </c>
      <c r="P221" s="91" t="s">
        <v>618</v>
      </c>
    </row>
    <row r="222" spans="1:16" x14ac:dyDescent="0.25">
      <c r="A222" t="s">
        <v>853</v>
      </c>
      <c r="C222" t="s">
        <v>136</v>
      </c>
      <c r="D222" t="s">
        <v>2798</v>
      </c>
      <c r="G222" t="s">
        <v>619</v>
      </c>
      <c r="H222" t="s">
        <v>620</v>
      </c>
      <c r="O222" s="91" t="s">
        <v>619</v>
      </c>
      <c r="P222" s="91" t="s">
        <v>620</v>
      </c>
    </row>
    <row r="223" spans="1:16" x14ac:dyDescent="0.25">
      <c r="A223" t="s">
        <v>818</v>
      </c>
      <c r="B223" s="39" t="s">
        <v>136</v>
      </c>
      <c r="C223" t="s">
        <v>3020</v>
      </c>
      <c r="D223" t="s">
        <v>931</v>
      </c>
      <c r="G223" t="s">
        <v>621</v>
      </c>
      <c r="H223" t="s">
        <v>622</v>
      </c>
      <c r="O223" s="91" t="s">
        <v>621</v>
      </c>
      <c r="P223" s="91" t="s">
        <v>622</v>
      </c>
    </row>
    <row r="224" spans="1:16" x14ac:dyDescent="0.25">
      <c r="A224" t="s">
        <v>819</v>
      </c>
      <c r="B224" s="39" t="s">
        <v>1087</v>
      </c>
      <c r="C224" t="s">
        <v>3021</v>
      </c>
      <c r="D224" t="s">
        <v>2801</v>
      </c>
      <c r="G224" t="s">
        <v>623</v>
      </c>
      <c r="H224" t="s">
        <v>624</v>
      </c>
      <c r="O224" s="91" t="s">
        <v>623</v>
      </c>
      <c r="P224" s="91" t="s">
        <v>624</v>
      </c>
    </row>
    <row r="225" spans="1:16" x14ac:dyDescent="0.25">
      <c r="A225" t="s">
        <v>816</v>
      </c>
      <c r="B225" s="39" t="s">
        <v>1088</v>
      </c>
      <c r="C225" t="s">
        <v>3022</v>
      </c>
      <c r="D225" t="s">
        <v>2803</v>
      </c>
      <c r="G225" t="s">
        <v>625</v>
      </c>
      <c r="H225" t="s">
        <v>626</v>
      </c>
      <c r="O225" s="91" t="s">
        <v>625</v>
      </c>
      <c r="P225" s="91" t="s">
        <v>626</v>
      </c>
    </row>
    <row r="226" spans="1:16" x14ac:dyDescent="0.25">
      <c r="A226" t="s">
        <v>786</v>
      </c>
      <c r="B226" s="39" t="s">
        <v>1089</v>
      </c>
      <c r="C226" t="s">
        <v>3023</v>
      </c>
      <c r="D226" t="s">
        <v>933</v>
      </c>
      <c r="G226" t="s">
        <v>627</v>
      </c>
      <c r="H226" t="s">
        <v>628</v>
      </c>
      <c r="O226" s="91" t="s">
        <v>627</v>
      </c>
      <c r="P226" s="91" t="s">
        <v>628</v>
      </c>
    </row>
    <row r="227" spans="1:16" x14ac:dyDescent="0.25">
      <c r="A227" t="s">
        <v>817</v>
      </c>
      <c r="B227" s="39" t="s">
        <v>1090</v>
      </c>
      <c r="C227" t="s">
        <v>3024</v>
      </c>
      <c r="D227" t="s">
        <v>2806</v>
      </c>
      <c r="G227" t="s">
        <v>629</v>
      </c>
      <c r="H227" t="s">
        <v>630</v>
      </c>
      <c r="O227" s="91" t="s">
        <v>629</v>
      </c>
      <c r="P227" s="91" t="s">
        <v>630</v>
      </c>
    </row>
    <row r="228" spans="1:16" x14ac:dyDescent="0.25">
      <c r="A228" t="s">
        <v>827</v>
      </c>
      <c r="B228" s="39" t="s">
        <v>1091</v>
      </c>
      <c r="C228" t="s">
        <v>3025</v>
      </c>
      <c r="D228" t="s">
        <v>949</v>
      </c>
      <c r="G228" t="s">
        <v>631</v>
      </c>
      <c r="H228" t="s">
        <v>632</v>
      </c>
      <c r="O228" s="91" t="s">
        <v>631</v>
      </c>
      <c r="P228" s="91" t="s">
        <v>632</v>
      </c>
    </row>
    <row r="229" spans="1:16" x14ac:dyDescent="0.25">
      <c r="A229" t="s">
        <v>709</v>
      </c>
      <c r="B229" s="39" t="s">
        <v>1092</v>
      </c>
      <c r="C229" t="s">
        <v>3026</v>
      </c>
      <c r="D229" t="s">
        <v>2809</v>
      </c>
      <c r="G229" t="s">
        <v>633</v>
      </c>
      <c r="H229" t="s">
        <v>634</v>
      </c>
      <c r="O229" s="91" t="s">
        <v>633</v>
      </c>
      <c r="P229" s="91" t="s">
        <v>634</v>
      </c>
    </row>
    <row r="230" spans="1:16" x14ac:dyDescent="0.25">
      <c r="A230" t="s">
        <v>882</v>
      </c>
      <c r="B230" s="39" t="s">
        <v>1093</v>
      </c>
      <c r="C230" t="s">
        <v>3027</v>
      </c>
      <c r="G230" t="s">
        <v>635</v>
      </c>
      <c r="H230" t="s">
        <v>636</v>
      </c>
      <c r="O230" s="91" t="s">
        <v>635</v>
      </c>
      <c r="P230" s="91" t="s">
        <v>636</v>
      </c>
    </row>
    <row r="231" spans="1:16" x14ac:dyDescent="0.25">
      <c r="A231" t="s">
        <v>821</v>
      </c>
      <c r="B231" s="39" t="s">
        <v>1094</v>
      </c>
      <c r="C231" t="s">
        <v>3028</v>
      </c>
      <c r="G231" t="s">
        <v>637</v>
      </c>
      <c r="H231" t="s">
        <v>638</v>
      </c>
      <c r="O231" s="91" t="s">
        <v>637</v>
      </c>
      <c r="P231" s="91" t="s">
        <v>638</v>
      </c>
    </row>
    <row r="232" spans="1:16" x14ac:dyDescent="0.25">
      <c r="A232" t="s">
        <v>883</v>
      </c>
      <c r="B232" s="39" t="s">
        <v>1095</v>
      </c>
      <c r="C232" t="s">
        <v>3029</v>
      </c>
      <c r="G232" t="s">
        <v>639</v>
      </c>
      <c r="H232" t="s">
        <v>640</v>
      </c>
      <c r="O232" s="91" t="s">
        <v>639</v>
      </c>
      <c r="P232" s="91" t="s">
        <v>640</v>
      </c>
    </row>
    <row r="233" spans="1:16" x14ac:dyDescent="0.25">
      <c r="A233" t="s">
        <v>822</v>
      </c>
      <c r="B233" s="39" t="s">
        <v>1096</v>
      </c>
      <c r="C233" t="s">
        <v>3030</v>
      </c>
      <c r="G233" t="s">
        <v>641</v>
      </c>
      <c r="H233" t="s">
        <v>642</v>
      </c>
      <c r="O233" s="91" t="s">
        <v>641</v>
      </c>
      <c r="P233" s="91" t="s">
        <v>642</v>
      </c>
    </row>
    <row r="234" spans="1:16" x14ac:dyDescent="0.25">
      <c r="A234" t="s">
        <v>813</v>
      </c>
      <c r="B234" s="39" t="s">
        <v>1097</v>
      </c>
      <c r="C234" t="s">
        <v>3031</v>
      </c>
      <c r="G234" t="s">
        <v>643</v>
      </c>
      <c r="H234" t="s">
        <v>644</v>
      </c>
      <c r="O234" s="91" t="s">
        <v>643</v>
      </c>
      <c r="P234" s="91" t="s">
        <v>644</v>
      </c>
    </row>
    <row r="235" spans="1:16" x14ac:dyDescent="0.25">
      <c r="A235" t="s">
        <v>884</v>
      </c>
      <c r="B235" s="39" t="s">
        <v>1098</v>
      </c>
      <c r="C235" t="s">
        <v>3032</v>
      </c>
      <c r="D235" t="s">
        <v>6050</v>
      </c>
      <c r="G235" t="s">
        <v>645</v>
      </c>
      <c r="H235" t="s">
        <v>646</v>
      </c>
      <c r="O235" s="91" t="s">
        <v>645</v>
      </c>
      <c r="P235" s="91" t="s">
        <v>646</v>
      </c>
    </row>
    <row r="236" spans="1:16" x14ac:dyDescent="0.25">
      <c r="A236" t="s">
        <v>887</v>
      </c>
      <c r="B236" s="39" t="s">
        <v>1099</v>
      </c>
      <c r="C236" t="s">
        <v>3033</v>
      </c>
      <c r="D236" t="s">
        <v>136</v>
      </c>
      <c r="G236" t="s">
        <v>647</v>
      </c>
      <c r="H236" t="s">
        <v>648</v>
      </c>
      <c r="O236" s="91" t="s">
        <v>647</v>
      </c>
      <c r="P236" s="91" t="s">
        <v>648</v>
      </c>
    </row>
    <row r="237" spans="1:16" x14ac:dyDescent="0.25">
      <c r="A237" t="s">
        <v>886</v>
      </c>
      <c r="B237" s="39" t="s">
        <v>1100</v>
      </c>
      <c r="C237" t="s">
        <v>3034</v>
      </c>
      <c r="D237" t="s">
        <v>3001</v>
      </c>
      <c r="G237" t="s">
        <v>649</v>
      </c>
      <c r="H237" t="s">
        <v>650</v>
      </c>
      <c r="O237" s="91" t="s">
        <v>649</v>
      </c>
      <c r="P237" s="91" t="s">
        <v>650</v>
      </c>
    </row>
    <row r="238" spans="1:16" x14ac:dyDescent="0.25">
      <c r="A238" t="s">
        <v>891</v>
      </c>
      <c r="B238" s="39" t="s">
        <v>1101</v>
      </c>
      <c r="C238" t="s">
        <v>3035</v>
      </c>
      <c r="D238" t="s">
        <v>6051</v>
      </c>
      <c r="G238" t="s">
        <v>651</v>
      </c>
      <c r="H238" t="s">
        <v>652</v>
      </c>
      <c r="O238" s="91" t="s">
        <v>651</v>
      </c>
      <c r="P238" s="91" t="s">
        <v>652</v>
      </c>
    </row>
    <row r="239" spans="1:16" x14ac:dyDescent="0.25">
      <c r="A239" t="s">
        <v>824</v>
      </c>
      <c r="B239" s="39" t="s">
        <v>1102</v>
      </c>
      <c r="C239" t="s">
        <v>3036</v>
      </c>
      <c r="D239" t="s">
        <v>6052</v>
      </c>
      <c r="G239" t="s">
        <v>653</v>
      </c>
      <c r="H239" t="s">
        <v>654</v>
      </c>
      <c r="O239" s="91" t="s">
        <v>653</v>
      </c>
      <c r="P239" s="91" t="s">
        <v>654</v>
      </c>
    </row>
    <row r="240" spans="1:16" x14ac:dyDescent="0.25">
      <c r="A240" t="s">
        <v>885</v>
      </c>
      <c r="B240" s="39" t="s">
        <v>1103</v>
      </c>
      <c r="C240" t="s">
        <v>3037</v>
      </c>
      <c r="D240" t="s">
        <v>6053</v>
      </c>
      <c r="G240" t="s">
        <v>655</v>
      </c>
      <c r="H240" t="s">
        <v>656</v>
      </c>
      <c r="O240" s="91" t="s">
        <v>655</v>
      </c>
      <c r="P240" s="91" t="s">
        <v>656</v>
      </c>
    </row>
    <row r="241" spans="1:16" x14ac:dyDescent="0.25">
      <c r="A241" t="s">
        <v>854</v>
      </c>
      <c r="B241" s="39" t="s">
        <v>1104</v>
      </c>
      <c r="C241" t="s">
        <v>3038</v>
      </c>
      <c r="G241" t="s">
        <v>657</v>
      </c>
      <c r="H241" t="s">
        <v>658</v>
      </c>
      <c r="O241" s="91" t="s">
        <v>657</v>
      </c>
      <c r="P241" s="91" t="s">
        <v>658</v>
      </c>
    </row>
    <row r="242" spans="1:16" x14ac:dyDescent="0.25">
      <c r="A242" t="s">
        <v>890</v>
      </c>
      <c r="B242" s="39" t="s">
        <v>1105</v>
      </c>
      <c r="C242" t="s">
        <v>3039</v>
      </c>
      <c r="D242" t="s">
        <v>6058</v>
      </c>
      <c r="G242" t="s">
        <v>659</v>
      </c>
      <c r="H242" t="s">
        <v>660</v>
      </c>
      <c r="O242" s="91" t="s">
        <v>659</v>
      </c>
      <c r="P242" s="91" t="s">
        <v>660</v>
      </c>
    </row>
    <row r="243" spans="1:16" x14ac:dyDescent="0.25">
      <c r="A243" t="s">
        <v>812</v>
      </c>
      <c r="B243" s="39" t="s">
        <v>1106</v>
      </c>
      <c r="C243" t="s">
        <v>3040</v>
      </c>
      <c r="D243" t="s">
        <v>136</v>
      </c>
      <c r="G243" t="s">
        <v>661</v>
      </c>
      <c r="H243" t="s">
        <v>662</v>
      </c>
      <c r="O243" s="91" t="s">
        <v>661</v>
      </c>
      <c r="P243" s="91" t="s">
        <v>662</v>
      </c>
    </row>
    <row r="244" spans="1:16" x14ac:dyDescent="0.25">
      <c r="B244" s="39" t="s">
        <v>1107</v>
      </c>
      <c r="C244" t="s">
        <v>3041</v>
      </c>
      <c r="D244" t="s">
        <v>6059</v>
      </c>
      <c r="G244" t="s">
        <v>663</v>
      </c>
      <c r="H244" t="s">
        <v>664</v>
      </c>
      <c r="O244" s="91" t="s">
        <v>663</v>
      </c>
      <c r="P244" s="91" t="s">
        <v>664</v>
      </c>
    </row>
    <row r="245" spans="1:16" x14ac:dyDescent="0.25">
      <c r="B245" s="39" t="s">
        <v>1108</v>
      </c>
      <c r="C245" t="s">
        <v>3042</v>
      </c>
      <c r="D245" t="s">
        <v>6060</v>
      </c>
      <c r="G245" t="s">
        <v>665</v>
      </c>
      <c r="H245" t="s">
        <v>666</v>
      </c>
      <c r="O245" s="91" t="s">
        <v>665</v>
      </c>
      <c r="P245" s="91" t="s">
        <v>666</v>
      </c>
    </row>
    <row r="246" spans="1:16" x14ac:dyDescent="0.25">
      <c r="B246" s="39" t="s">
        <v>1109</v>
      </c>
      <c r="C246" t="s">
        <v>3043</v>
      </c>
      <c r="G246" t="s">
        <v>667</v>
      </c>
      <c r="H246" t="s">
        <v>668</v>
      </c>
      <c r="O246" s="91" t="s">
        <v>667</v>
      </c>
      <c r="P246" s="91" t="s">
        <v>668</v>
      </c>
    </row>
    <row r="247" spans="1:16" x14ac:dyDescent="0.25">
      <c r="B247" s="39" t="s">
        <v>1110</v>
      </c>
      <c r="C247" t="s">
        <v>3044</v>
      </c>
      <c r="G247" t="s">
        <v>669</v>
      </c>
      <c r="H247" t="s">
        <v>670</v>
      </c>
      <c r="O247" s="91" t="s">
        <v>669</v>
      </c>
      <c r="P247" s="91" t="s">
        <v>670</v>
      </c>
    </row>
    <row r="248" spans="1:16" x14ac:dyDescent="0.25">
      <c r="B248" s="39" t="s">
        <v>1111</v>
      </c>
      <c r="C248" t="s">
        <v>3045</v>
      </c>
      <c r="G248" t="s">
        <v>671</v>
      </c>
      <c r="H248" t="s">
        <v>672</v>
      </c>
      <c r="O248" s="91" t="s">
        <v>671</v>
      </c>
      <c r="P248" s="91" t="s">
        <v>672</v>
      </c>
    </row>
    <row r="249" spans="1:16" x14ac:dyDescent="0.25">
      <c r="B249" s="39" t="s">
        <v>1112</v>
      </c>
      <c r="C249" t="s">
        <v>1108</v>
      </c>
      <c r="G249" t="s">
        <v>673</v>
      </c>
      <c r="H249" t="s">
        <v>674</v>
      </c>
      <c r="O249" s="91" t="s">
        <v>673</v>
      </c>
      <c r="P249" s="91" t="s">
        <v>674</v>
      </c>
    </row>
    <row r="250" spans="1:16" x14ac:dyDescent="0.25">
      <c r="B250" s="39" t="s">
        <v>1113</v>
      </c>
      <c r="C250" t="s">
        <v>3046</v>
      </c>
      <c r="G250" t="s">
        <v>675</v>
      </c>
      <c r="H250" t="s">
        <v>676</v>
      </c>
      <c r="O250" s="91" t="s">
        <v>675</v>
      </c>
      <c r="P250" s="91" t="s">
        <v>676</v>
      </c>
    </row>
    <row r="251" spans="1:16" x14ac:dyDescent="0.25">
      <c r="B251" s="39" t="s">
        <v>1114</v>
      </c>
      <c r="C251" t="s">
        <v>3047</v>
      </c>
      <c r="G251" t="s">
        <v>677</v>
      </c>
      <c r="H251" t="s">
        <v>678</v>
      </c>
      <c r="O251" s="91" t="s">
        <v>677</v>
      </c>
      <c r="P251" s="91" t="s">
        <v>678</v>
      </c>
    </row>
    <row r="252" spans="1:16" x14ac:dyDescent="0.25">
      <c r="B252" s="39" t="s">
        <v>1115</v>
      </c>
      <c r="C252" t="s">
        <v>1113</v>
      </c>
      <c r="G252" t="s">
        <v>679</v>
      </c>
      <c r="H252" t="s">
        <v>680</v>
      </c>
      <c r="O252" s="91" t="s">
        <v>679</v>
      </c>
      <c r="P252" s="91" t="s">
        <v>680</v>
      </c>
    </row>
    <row r="253" spans="1:16" x14ac:dyDescent="0.25">
      <c r="B253" s="39" t="s">
        <v>1116</v>
      </c>
      <c r="C253" t="s">
        <v>3048</v>
      </c>
      <c r="G253" t="s">
        <v>681</v>
      </c>
      <c r="H253" t="s">
        <v>682</v>
      </c>
      <c r="O253" s="91" t="s">
        <v>681</v>
      </c>
      <c r="P253" s="91" t="s">
        <v>682</v>
      </c>
    </row>
    <row r="254" spans="1:16" x14ac:dyDescent="0.25">
      <c r="B254" s="39" t="s">
        <v>1117</v>
      </c>
      <c r="C254" t="s">
        <v>3049</v>
      </c>
      <c r="G254" t="s">
        <v>683</v>
      </c>
      <c r="H254" t="s">
        <v>684</v>
      </c>
      <c r="O254" s="91" t="s">
        <v>683</v>
      </c>
      <c r="P254" s="91" t="s">
        <v>684</v>
      </c>
    </row>
    <row r="255" spans="1:16" x14ac:dyDescent="0.25">
      <c r="B255" s="39" t="s">
        <v>1118</v>
      </c>
      <c r="C255" t="s">
        <v>3050</v>
      </c>
      <c r="G255" t="s">
        <v>685</v>
      </c>
      <c r="H255" t="s">
        <v>686</v>
      </c>
      <c r="O255" s="91" t="s">
        <v>685</v>
      </c>
      <c r="P255" s="91" t="s">
        <v>686</v>
      </c>
    </row>
    <row r="256" spans="1:16" x14ac:dyDescent="0.25">
      <c r="C256" t="s">
        <v>3051</v>
      </c>
      <c r="G256" t="s">
        <v>687</v>
      </c>
      <c r="H256" t="s">
        <v>688</v>
      </c>
      <c r="O256" s="91" t="s">
        <v>687</v>
      </c>
      <c r="P256" s="91" t="s">
        <v>688</v>
      </c>
    </row>
    <row r="257" spans="1:16" x14ac:dyDescent="0.25">
      <c r="G257" t="s">
        <v>689</v>
      </c>
      <c r="H257" t="s">
        <v>690</v>
      </c>
      <c r="O257" s="91" t="s">
        <v>689</v>
      </c>
      <c r="P257" s="91" t="s">
        <v>690</v>
      </c>
    </row>
    <row r="264" spans="1:16" x14ac:dyDescent="0.25">
      <c r="B264" s="52" t="s">
        <v>2283</v>
      </c>
    </row>
    <row r="265" spans="1:16" x14ac:dyDescent="0.25">
      <c r="A265" s="52" t="s">
        <v>2284</v>
      </c>
      <c r="B265" s="51" t="s">
        <v>3201</v>
      </c>
      <c r="J265" s="52" t="s">
        <v>2284</v>
      </c>
      <c r="K265" s="52" t="s">
        <v>2283</v>
      </c>
    </row>
    <row r="266" spans="1:16" x14ac:dyDescent="0.25">
      <c r="A266" t="s">
        <v>1488</v>
      </c>
      <c r="B266" s="51" t="s">
        <v>3202</v>
      </c>
      <c r="D266" t="s">
        <v>136</v>
      </c>
      <c r="F266" t="s">
        <v>4289</v>
      </c>
      <c r="J266" s="55" t="s">
        <v>4565</v>
      </c>
      <c r="K266" s="56" t="s">
        <v>3201</v>
      </c>
    </row>
    <row r="267" spans="1:16" x14ac:dyDescent="0.25">
      <c r="A267" t="s">
        <v>1482</v>
      </c>
      <c r="B267" s="51" t="s">
        <v>3203</v>
      </c>
      <c r="D267" t="s">
        <v>797</v>
      </c>
      <c r="E267" t="s">
        <v>2401</v>
      </c>
      <c r="F267" t="s">
        <v>2946</v>
      </c>
      <c r="J267" s="55" t="s">
        <v>4566</v>
      </c>
      <c r="K267" s="56" t="s">
        <v>3202</v>
      </c>
    </row>
    <row r="268" spans="1:16" x14ac:dyDescent="0.25">
      <c r="A268" t="s">
        <v>1701</v>
      </c>
      <c r="B268" s="51" t="s">
        <v>3204</v>
      </c>
      <c r="D268" t="s">
        <v>798</v>
      </c>
      <c r="E268" t="s">
        <v>2402</v>
      </c>
      <c r="F268" t="s">
        <v>2947</v>
      </c>
      <c r="J268" s="55" t="s">
        <v>4567</v>
      </c>
      <c r="K268" s="56" t="s">
        <v>3203</v>
      </c>
    </row>
    <row r="269" spans="1:16" x14ac:dyDescent="0.25">
      <c r="A269" t="s">
        <v>2098</v>
      </c>
      <c r="B269" s="51" t="s">
        <v>3205</v>
      </c>
      <c r="D269" t="s">
        <v>4216</v>
      </c>
      <c r="E269" t="s">
        <v>4260</v>
      </c>
      <c r="F269" t="s">
        <v>4290</v>
      </c>
      <c r="J269" s="55" t="s">
        <v>4568</v>
      </c>
      <c r="K269" s="56" t="s">
        <v>3204</v>
      </c>
    </row>
    <row r="270" spans="1:16" x14ac:dyDescent="0.25">
      <c r="A270" t="s">
        <v>1390</v>
      </c>
      <c r="B270" s="51" t="s">
        <v>3206</v>
      </c>
      <c r="D270" s="134" t="s">
        <v>863</v>
      </c>
      <c r="E270" s="134" t="s">
        <v>2403</v>
      </c>
      <c r="F270" t="s">
        <v>2892</v>
      </c>
      <c r="J270" s="55" t="s">
        <v>4569</v>
      </c>
      <c r="K270" s="56" t="s">
        <v>3205</v>
      </c>
    </row>
    <row r="271" spans="1:16" ht="15.75" x14ac:dyDescent="0.25">
      <c r="A271" t="s">
        <v>1504</v>
      </c>
      <c r="B271" s="51" t="s">
        <v>3207</v>
      </c>
      <c r="D271" s="135" t="s">
        <v>3179</v>
      </c>
      <c r="E271" s="134" t="s">
        <v>4259</v>
      </c>
      <c r="F271" t="s">
        <v>4178</v>
      </c>
      <c r="J271" s="55" t="s">
        <v>4570</v>
      </c>
      <c r="K271" s="56" t="s">
        <v>3206</v>
      </c>
    </row>
    <row r="272" spans="1:16" x14ac:dyDescent="0.25">
      <c r="A272" t="s">
        <v>1947</v>
      </c>
      <c r="B272" s="51" t="s">
        <v>3208</v>
      </c>
      <c r="D272" t="s">
        <v>710</v>
      </c>
      <c r="E272" t="s">
        <v>2404</v>
      </c>
      <c r="F272" t="s">
        <v>2823</v>
      </c>
      <c r="J272" s="55" t="s">
        <v>4571</v>
      </c>
      <c r="K272" s="56" t="s">
        <v>3207</v>
      </c>
    </row>
    <row r="273" spans="1:11" x14ac:dyDescent="0.25">
      <c r="A273" t="s">
        <v>1588</v>
      </c>
      <c r="B273" s="51" t="s">
        <v>3209</v>
      </c>
      <c r="D273" t="s">
        <v>732</v>
      </c>
      <c r="E273" t="s">
        <v>2405</v>
      </c>
      <c r="F273" t="s">
        <v>2907</v>
      </c>
      <c r="J273" s="55" t="s">
        <v>4572</v>
      </c>
      <c r="K273" s="56" t="s">
        <v>3208</v>
      </c>
    </row>
    <row r="274" spans="1:11" x14ac:dyDescent="0.25">
      <c r="A274" t="s">
        <v>1643</v>
      </c>
      <c r="B274" s="51" t="s">
        <v>3210</v>
      </c>
      <c r="D274" t="s">
        <v>788</v>
      </c>
      <c r="E274" t="s">
        <v>2406</v>
      </c>
      <c r="F274" t="s">
        <v>2937</v>
      </c>
      <c r="J274" s="55" t="s">
        <v>4573</v>
      </c>
      <c r="K274" s="56" t="s">
        <v>3211</v>
      </c>
    </row>
    <row r="275" spans="1:11" x14ac:dyDescent="0.25">
      <c r="A275" t="s">
        <v>1683</v>
      </c>
      <c r="B275" s="51" t="s">
        <v>3211</v>
      </c>
      <c r="D275" t="s">
        <v>789</v>
      </c>
      <c r="E275" t="s">
        <v>2407</v>
      </c>
      <c r="F275" t="s">
        <v>2938</v>
      </c>
      <c r="J275" s="55" t="s">
        <v>4574</v>
      </c>
      <c r="K275" s="56" t="s">
        <v>3212</v>
      </c>
    </row>
    <row r="276" spans="1:11" x14ac:dyDescent="0.25">
      <c r="A276" t="s">
        <v>1948</v>
      </c>
      <c r="B276" s="51" t="s">
        <v>3212</v>
      </c>
      <c r="D276" t="s">
        <v>857</v>
      </c>
      <c r="E276" t="s">
        <v>2408</v>
      </c>
      <c r="F276" t="s">
        <v>2977</v>
      </c>
      <c r="J276" s="55" t="s">
        <v>4575</v>
      </c>
      <c r="K276" s="56" t="s">
        <v>3213</v>
      </c>
    </row>
    <row r="277" spans="1:11" x14ac:dyDescent="0.25">
      <c r="A277" t="s">
        <v>1898</v>
      </c>
      <c r="B277" s="51" t="s">
        <v>3213</v>
      </c>
      <c r="D277" t="s">
        <v>790</v>
      </c>
      <c r="E277" t="s">
        <v>2409</v>
      </c>
      <c r="F277" t="s">
        <v>2939</v>
      </c>
      <c r="J277" s="55" t="s">
        <v>4576</v>
      </c>
      <c r="K277" s="56" t="s">
        <v>3214</v>
      </c>
    </row>
    <row r="278" spans="1:11" x14ac:dyDescent="0.25">
      <c r="A278" t="s">
        <v>1733</v>
      </c>
      <c r="B278" s="51" t="s">
        <v>3214</v>
      </c>
      <c r="D278" t="s">
        <v>889</v>
      </c>
      <c r="E278" t="s">
        <v>2410</v>
      </c>
      <c r="F278" t="s">
        <v>2989</v>
      </c>
      <c r="J278" s="55" t="s">
        <v>4577</v>
      </c>
      <c r="K278" s="56" t="s">
        <v>3215</v>
      </c>
    </row>
    <row r="279" spans="1:11" x14ac:dyDescent="0.25">
      <c r="A279" t="s">
        <v>1773</v>
      </c>
      <c r="B279" s="51" t="s">
        <v>3215</v>
      </c>
      <c r="D279" s="134" t="s">
        <v>3178</v>
      </c>
      <c r="E279" s="134" t="s">
        <v>3199</v>
      </c>
      <c r="F279" t="s">
        <v>4177</v>
      </c>
      <c r="J279" s="55" t="s">
        <v>4578</v>
      </c>
      <c r="K279" s="56" t="s">
        <v>3216</v>
      </c>
    </row>
    <row r="280" spans="1:11" x14ac:dyDescent="0.25">
      <c r="A280" t="s">
        <v>2190</v>
      </c>
      <c r="B280" s="51" t="s">
        <v>3216</v>
      </c>
      <c r="D280" t="s">
        <v>715</v>
      </c>
      <c r="E280" t="s">
        <v>2411</v>
      </c>
      <c r="F280" t="s">
        <v>2828</v>
      </c>
      <c r="J280" s="55" t="s">
        <v>4579</v>
      </c>
      <c r="K280" s="56" t="s">
        <v>3217</v>
      </c>
    </row>
    <row r="281" spans="1:11" x14ac:dyDescent="0.25">
      <c r="A281" t="s">
        <v>1708</v>
      </c>
      <c r="B281" s="51" t="s">
        <v>3217</v>
      </c>
      <c r="D281" t="s">
        <v>738</v>
      </c>
      <c r="E281" t="s">
        <v>2412</v>
      </c>
      <c r="F281" t="s">
        <v>2913</v>
      </c>
      <c r="J281" s="55" t="s">
        <v>4580</v>
      </c>
      <c r="K281" s="56" t="s">
        <v>3318</v>
      </c>
    </row>
    <row r="282" spans="1:11" x14ac:dyDescent="0.25">
      <c r="A282" t="s">
        <v>2010</v>
      </c>
      <c r="B282" s="51" t="s">
        <v>3218</v>
      </c>
      <c r="D282" t="s">
        <v>713</v>
      </c>
      <c r="E282" t="s">
        <v>2413</v>
      </c>
      <c r="F282" t="s">
        <v>2826</v>
      </c>
      <c r="J282" s="55" t="s">
        <v>4581</v>
      </c>
      <c r="K282" s="56" t="s">
        <v>3219</v>
      </c>
    </row>
    <row r="283" spans="1:11" x14ac:dyDescent="0.25">
      <c r="A283" t="s">
        <v>1994</v>
      </c>
      <c r="B283" s="51" t="s">
        <v>3219</v>
      </c>
      <c r="D283" t="s">
        <v>716</v>
      </c>
      <c r="E283" t="s">
        <v>2414</v>
      </c>
      <c r="F283" t="s">
        <v>2829</v>
      </c>
      <c r="J283" s="55" t="s">
        <v>4582</v>
      </c>
      <c r="K283" s="56" t="s">
        <v>3220</v>
      </c>
    </row>
    <row r="284" spans="1:11" x14ac:dyDescent="0.25">
      <c r="A284" t="s">
        <v>1531</v>
      </c>
      <c r="B284" s="51" t="s">
        <v>3220</v>
      </c>
      <c r="D284" t="s">
        <v>858</v>
      </c>
      <c r="E284" t="s">
        <v>2415</v>
      </c>
      <c r="F284" t="s">
        <v>2978</v>
      </c>
      <c r="J284" s="55" t="s">
        <v>4583</v>
      </c>
      <c r="K284" s="56" t="s">
        <v>3221</v>
      </c>
    </row>
    <row r="285" spans="1:11" x14ac:dyDescent="0.25">
      <c r="A285" t="s">
        <v>1868</v>
      </c>
      <c r="B285" s="51" t="s">
        <v>3221</v>
      </c>
      <c r="D285" t="s">
        <v>892</v>
      </c>
      <c r="E285" t="s">
        <v>2416</v>
      </c>
      <c r="F285" t="s">
        <v>2991</v>
      </c>
      <c r="J285" s="55" t="s">
        <v>4584</v>
      </c>
      <c r="K285" s="56" t="s">
        <v>4368</v>
      </c>
    </row>
    <row r="286" spans="1:11" x14ac:dyDescent="0.25">
      <c r="A286" t="s">
        <v>1411</v>
      </c>
      <c r="B286" s="51" t="s">
        <v>3222</v>
      </c>
      <c r="D286" t="s">
        <v>724</v>
      </c>
      <c r="E286" t="s">
        <v>2417</v>
      </c>
      <c r="F286" t="s">
        <v>2837</v>
      </c>
      <c r="J286" s="55" t="s">
        <v>4585</v>
      </c>
      <c r="K286" s="56" t="s">
        <v>4369</v>
      </c>
    </row>
    <row r="287" spans="1:11" x14ac:dyDescent="0.25">
      <c r="A287" t="s">
        <v>2183</v>
      </c>
      <c r="B287" s="51" t="s">
        <v>3223</v>
      </c>
      <c r="D287" t="s">
        <v>859</v>
      </c>
      <c r="E287" t="s">
        <v>2418</v>
      </c>
      <c r="F287" t="s">
        <v>2979</v>
      </c>
      <c r="J287" s="55" t="s">
        <v>4586</v>
      </c>
      <c r="K287" s="56" t="s">
        <v>4370</v>
      </c>
    </row>
    <row r="288" spans="1:11" x14ac:dyDescent="0.25">
      <c r="A288" t="s">
        <v>1914</v>
      </c>
      <c r="B288" s="51" t="s">
        <v>3224</v>
      </c>
      <c r="D288" t="s">
        <v>893</v>
      </c>
      <c r="E288" t="s">
        <v>2419</v>
      </c>
      <c r="F288" t="s">
        <v>2992</v>
      </c>
      <c r="J288" s="55" t="s">
        <v>4587</v>
      </c>
      <c r="K288" s="56" t="s">
        <v>4371</v>
      </c>
    </row>
    <row r="289" spans="1:11" x14ac:dyDescent="0.25">
      <c r="A289" t="s">
        <v>1915</v>
      </c>
      <c r="B289" s="51" t="s">
        <v>3225</v>
      </c>
      <c r="D289" t="s">
        <v>714</v>
      </c>
      <c r="E289" t="s">
        <v>2420</v>
      </c>
      <c r="F289" t="s">
        <v>2827</v>
      </c>
      <c r="J289" s="55" t="s">
        <v>4588</v>
      </c>
      <c r="K289" s="56" t="s">
        <v>4372</v>
      </c>
    </row>
    <row r="290" spans="1:11" x14ac:dyDescent="0.25">
      <c r="A290" t="s">
        <v>1788</v>
      </c>
      <c r="B290" s="51" t="s">
        <v>3226</v>
      </c>
      <c r="D290" t="s">
        <v>717</v>
      </c>
      <c r="E290" t="s">
        <v>2421</v>
      </c>
      <c r="F290" t="s">
        <v>2830</v>
      </c>
      <c r="J290" s="55" t="s">
        <v>4589</v>
      </c>
      <c r="K290" s="56" t="s">
        <v>3222</v>
      </c>
    </row>
    <row r="291" spans="1:11" x14ac:dyDescent="0.25">
      <c r="A291" t="s">
        <v>2194</v>
      </c>
      <c r="B291" s="51" t="s">
        <v>3227</v>
      </c>
      <c r="D291" t="s">
        <v>718</v>
      </c>
      <c r="E291" t="s">
        <v>2422</v>
      </c>
      <c r="F291" t="s">
        <v>2831</v>
      </c>
      <c r="J291" s="55" t="s">
        <v>4590</v>
      </c>
      <c r="K291" s="56" t="s">
        <v>3223</v>
      </c>
    </row>
    <row r="292" spans="1:11" x14ac:dyDescent="0.25">
      <c r="A292" t="s">
        <v>2251</v>
      </c>
      <c r="B292" s="51" t="s">
        <v>3228</v>
      </c>
      <c r="D292" t="s">
        <v>719</v>
      </c>
      <c r="E292" t="s">
        <v>2423</v>
      </c>
      <c r="F292" t="s">
        <v>2832</v>
      </c>
      <c r="J292" s="55" t="s">
        <v>4591</v>
      </c>
      <c r="K292" s="56" t="s">
        <v>3224</v>
      </c>
    </row>
    <row r="293" spans="1:11" x14ac:dyDescent="0.25">
      <c r="A293" t="s">
        <v>1649</v>
      </c>
      <c r="B293" s="51" t="s">
        <v>3229</v>
      </c>
      <c r="D293" t="s">
        <v>799</v>
      </c>
      <c r="E293" t="s">
        <v>2424</v>
      </c>
      <c r="F293" t="s">
        <v>2948</v>
      </c>
      <c r="J293" s="55" t="s">
        <v>4592</v>
      </c>
      <c r="K293" s="56" t="s">
        <v>3225</v>
      </c>
    </row>
    <row r="294" spans="1:11" x14ac:dyDescent="0.25">
      <c r="A294" t="s">
        <v>2108</v>
      </c>
      <c r="B294" s="51" t="s">
        <v>3230</v>
      </c>
      <c r="D294" t="s">
        <v>754</v>
      </c>
      <c r="E294" t="s">
        <v>2425</v>
      </c>
      <c r="F294" t="s">
        <v>2929</v>
      </c>
      <c r="J294" s="55" t="s">
        <v>4593</v>
      </c>
      <c r="K294" s="56" t="s">
        <v>3226</v>
      </c>
    </row>
    <row r="295" spans="1:11" x14ac:dyDescent="0.25">
      <c r="A295" t="s">
        <v>1532</v>
      </c>
      <c r="B295" s="51" t="s">
        <v>3231</v>
      </c>
      <c r="D295" t="s">
        <v>4218</v>
      </c>
      <c r="E295" t="s">
        <v>4261</v>
      </c>
      <c r="F295" t="s">
        <v>4291</v>
      </c>
      <c r="J295" s="55" t="s">
        <v>4594</v>
      </c>
      <c r="K295" s="56" t="s">
        <v>3228</v>
      </c>
    </row>
    <row r="296" spans="1:11" x14ac:dyDescent="0.25">
      <c r="A296" t="s">
        <v>1837</v>
      </c>
      <c r="B296" s="51" t="s">
        <v>3232</v>
      </c>
      <c r="D296" t="s">
        <v>4210</v>
      </c>
      <c r="E296" t="s">
        <v>4262</v>
      </c>
      <c r="F296" t="s">
        <v>4292</v>
      </c>
      <c r="J296" s="55" t="s">
        <v>4595</v>
      </c>
      <c r="K296" s="56" t="s">
        <v>3229</v>
      </c>
    </row>
    <row r="297" spans="1:11" x14ac:dyDescent="0.25">
      <c r="A297" t="s">
        <v>2186</v>
      </c>
      <c r="B297" s="51" t="s">
        <v>3233</v>
      </c>
      <c r="D297" t="s">
        <v>4221</v>
      </c>
      <c r="E297" t="s">
        <v>4263</v>
      </c>
      <c r="F297" t="s">
        <v>4293</v>
      </c>
      <c r="J297" s="55" t="s">
        <v>4596</v>
      </c>
      <c r="K297" s="56" t="s">
        <v>3239</v>
      </c>
    </row>
    <row r="298" spans="1:11" x14ac:dyDescent="0.25">
      <c r="A298" t="s">
        <v>1966</v>
      </c>
      <c r="B298" s="51" t="s">
        <v>3234</v>
      </c>
      <c r="D298" s="134" t="s">
        <v>4227</v>
      </c>
      <c r="E298" s="134" t="s">
        <v>4264</v>
      </c>
      <c r="F298" t="s">
        <v>4294</v>
      </c>
      <c r="J298" s="55" t="s">
        <v>4597</v>
      </c>
      <c r="K298" s="56" t="s">
        <v>3232</v>
      </c>
    </row>
    <row r="299" spans="1:11" x14ac:dyDescent="0.25">
      <c r="A299" t="s">
        <v>1418</v>
      </c>
      <c r="B299" s="51" t="s">
        <v>3235</v>
      </c>
      <c r="D299" t="s">
        <v>721</v>
      </c>
      <c r="E299" t="s">
        <v>2426</v>
      </c>
      <c r="F299" t="s">
        <v>2834</v>
      </c>
      <c r="J299" s="55" t="s">
        <v>4598</v>
      </c>
      <c r="K299" s="56" t="s">
        <v>3233</v>
      </c>
    </row>
    <row r="300" spans="1:11" x14ac:dyDescent="0.25">
      <c r="A300" t="s">
        <v>1986</v>
      </c>
      <c r="B300" s="51" t="s">
        <v>3236</v>
      </c>
      <c r="D300" t="s">
        <v>741</v>
      </c>
      <c r="E300" t="s">
        <v>2427</v>
      </c>
      <c r="F300" t="s">
        <v>2916</v>
      </c>
      <c r="J300" s="55" t="s">
        <v>4599</v>
      </c>
      <c r="K300" s="56" t="s">
        <v>4373</v>
      </c>
    </row>
    <row r="301" spans="1:11" ht="15.75" x14ac:dyDescent="0.25">
      <c r="A301" t="s">
        <v>1459</v>
      </c>
      <c r="B301" s="51" t="s">
        <v>3237</v>
      </c>
      <c r="D301" s="135" t="s">
        <v>742</v>
      </c>
      <c r="E301" s="134" t="s">
        <v>2428</v>
      </c>
      <c r="F301" t="s">
        <v>2917</v>
      </c>
      <c r="J301" s="55" t="s">
        <v>4600</v>
      </c>
      <c r="K301" s="56" t="s">
        <v>4374</v>
      </c>
    </row>
    <row r="302" spans="1:11" x14ac:dyDescent="0.25">
      <c r="A302" t="s">
        <v>2234</v>
      </c>
      <c r="B302" s="51" t="s">
        <v>3238</v>
      </c>
      <c r="D302" t="s">
        <v>3183</v>
      </c>
      <c r="E302" t="s">
        <v>3193</v>
      </c>
      <c r="F302" t="s">
        <v>4183</v>
      </c>
      <c r="J302" s="55" t="s">
        <v>4601</v>
      </c>
      <c r="K302" s="56" t="s">
        <v>4375</v>
      </c>
    </row>
    <row r="303" spans="1:11" x14ac:dyDescent="0.25">
      <c r="A303" t="s">
        <v>1653</v>
      </c>
      <c r="B303" s="51" t="s">
        <v>3239</v>
      </c>
      <c r="D303" s="134" t="s">
        <v>725</v>
      </c>
      <c r="E303" s="134" t="s">
        <v>2429</v>
      </c>
      <c r="F303" t="s">
        <v>2838</v>
      </c>
      <c r="J303" s="55" t="s">
        <v>4602</v>
      </c>
      <c r="K303" s="56" t="s">
        <v>4376</v>
      </c>
    </row>
    <row r="304" spans="1:11" x14ac:dyDescent="0.25">
      <c r="A304" t="s">
        <v>1519</v>
      </c>
      <c r="B304" s="51" t="s">
        <v>3240</v>
      </c>
      <c r="D304" t="s">
        <v>862</v>
      </c>
      <c r="E304" t="s">
        <v>2430</v>
      </c>
      <c r="F304" t="s">
        <v>2982</v>
      </c>
      <c r="J304" s="55" t="s">
        <v>4603</v>
      </c>
      <c r="K304" s="56" t="s">
        <v>3231</v>
      </c>
    </row>
    <row r="305" spans="1:11" x14ac:dyDescent="0.25">
      <c r="A305" t="s">
        <v>1541</v>
      </c>
      <c r="B305" s="51" t="s">
        <v>3241</v>
      </c>
      <c r="D305" t="s">
        <v>3171</v>
      </c>
      <c r="E305" t="s">
        <v>3186</v>
      </c>
      <c r="F305" t="s">
        <v>4168</v>
      </c>
      <c r="J305" s="55" t="s">
        <v>4604</v>
      </c>
      <c r="K305" s="56" t="s">
        <v>3234</v>
      </c>
    </row>
    <row r="306" spans="1:11" x14ac:dyDescent="0.25">
      <c r="A306" t="s">
        <v>2096</v>
      </c>
      <c r="B306" s="51" t="s">
        <v>3242</v>
      </c>
      <c r="D306" t="s">
        <v>720</v>
      </c>
      <c r="E306" t="s">
        <v>2431</v>
      </c>
      <c r="F306" t="s">
        <v>2833</v>
      </c>
      <c r="J306" s="55" t="s">
        <v>4605</v>
      </c>
      <c r="K306" s="56" t="s">
        <v>3235</v>
      </c>
    </row>
    <row r="307" spans="1:11" x14ac:dyDescent="0.25">
      <c r="A307" t="s">
        <v>1448</v>
      </c>
      <c r="B307" s="51" t="s">
        <v>3243</v>
      </c>
      <c r="D307" t="s">
        <v>881</v>
      </c>
      <c r="E307" t="s">
        <v>2432</v>
      </c>
      <c r="F307" t="s">
        <v>2985</v>
      </c>
      <c r="J307" s="55" t="s">
        <v>4606</v>
      </c>
      <c r="K307" s="56" t="s">
        <v>3237</v>
      </c>
    </row>
    <row r="308" spans="1:11" x14ac:dyDescent="0.25">
      <c r="A308" t="s">
        <v>1629</v>
      </c>
      <c r="B308" s="51" t="s">
        <v>3244</v>
      </c>
      <c r="D308" t="s">
        <v>4220</v>
      </c>
      <c r="E308" t="s">
        <v>4265</v>
      </c>
      <c r="F308" t="s">
        <v>4295</v>
      </c>
      <c r="J308" s="55" t="s">
        <v>4607</v>
      </c>
      <c r="K308" s="56" t="s">
        <v>3238</v>
      </c>
    </row>
    <row r="309" spans="1:11" x14ac:dyDescent="0.25">
      <c r="A309" t="s">
        <v>1522</v>
      </c>
      <c r="B309" s="51" t="s">
        <v>3245</v>
      </c>
      <c r="D309" t="s">
        <v>4226</v>
      </c>
      <c r="E309" t="s">
        <v>4266</v>
      </c>
      <c r="F309" t="s">
        <v>4296</v>
      </c>
      <c r="J309" s="55" t="s">
        <v>4608</v>
      </c>
      <c r="K309" s="56" t="s">
        <v>3240</v>
      </c>
    </row>
    <row r="310" spans="1:11" x14ac:dyDescent="0.25">
      <c r="A310" t="s">
        <v>1754</v>
      </c>
      <c r="B310" s="51" t="s">
        <v>3246</v>
      </c>
      <c r="D310" t="s">
        <v>794</v>
      </c>
      <c r="E310" t="s">
        <v>2433</v>
      </c>
      <c r="F310" t="s">
        <v>2943</v>
      </c>
      <c r="J310" s="55" t="s">
        <v>4609</v>
      </c>
      <c r="K310" s="56" t="s">
        <v>3241</v>
      </c>
    </row>
    <row r="311" spans="1:11" x14ac:dyDescent="0.25">
      <c r="A311" t="s">
        <v>2210</v>
      </c>
      <c r="B311" s="51" t="s">
        <v>3247</v>
      </c>
      <c r="D311" t="s">
        <v>800</v>
      </c>
      <c r="E311" t="s">
        <v>2434</v>
      </c>
      <c r="F311" t="s">
        <v>2949</v>
      </c>
      <c r="J311" s="55" t="s">
        <v>4610</v>
      </c>
      <c r="K311" s="56" t="s">
        <v>3242</v>
      </c>
    </row>
    <row r="312" spans="1:11" x14ac:dyDescent="0.25">
      <c r="A312" t="s">
        <v>1912</v>
      </c>
      <c r="B312" s="51" t="s">
        <v>3248</v>
      </c>
      <c r="D312" t="s">
        <v>776</v>
      </c>
      <c r="E312" t="s">
        <v>2435</v>
      </c>
      <c r="F312" t="s">
        <v>2864</v>
      </c>
      <c r="J312" s="55" t="s">
        <v>4611</v>
      </c>
      <c r="K312" s="56" t="s">
        <v>3243</v>
      </c>
    </row>
    <row r="313" spans="1:11" x14ac:dyDescent="0.25">
      <c r="A313" t="s">
        <v>1999</v>
      </c>
      <c r="B313" s="51" t="s">
        <v>3249</v>
      </c>
      <c r="D313" t="s">
        <v>805</v>
      </c>
      <c r="E313" t="s">
        <v>2436</v>
      </c>
      <c r="F313" t="s">
        <v>2954</v>
      </c>
      <c r="J313" s="55" t="s">
        <v>4612</v>
      </c>
      <c r="K313" s="56" t="s">
        <v>3244</v>
      </c>
    </row>
    <row r="314" spans="1:11" x14ac:dyDescent="0.25">
      <c r="A314" t="s">
        <v>1885</v>
      </c>
      <c r="B314" s="51" t="s">
        <v>3250</v>
      </c>
      <c r="D314" t="s">
        <v>751</v>
      </c>
      <c r="E314" t="s">
        <v>2437</v>
      </c>
      <c r="F314" t="s">
        <v>2926</v>
      </c>
      <c r="J314" s="55" t="s">
        <v>4613</v>
      </c>
      <c r="K314" s="56" t="s">
        <v>3247</v>
      </c>
    </row>
    <row r="315" spans="1:11" x14ac:dyDescent="0.25">
      <c r="A315" t="s">
        <v>1642</v>
      </c>
      <c r="B315" s="51" t="s">
        <v>3251</v>
      </c>
      <c r="D315" t="s">
        <v>775</v>
      </c>
      <c r="E315" t="s">
        <v>2438</v>
      </c>
      <c r="F315" t="s">
        <v>2863</v>
      </c>
      <c r="J315" s="55" t="s">
        <v>4614</v>
      </c>
      <c r="K315" s="56" t="s">
        <v>3248</v>
      </c>
    </row>
    <row r="316" spans="1:11" x14ac:dyDescent="0.25">
      <c r="A316" t="s">
        <v>2125</v>
      </c>
      <c r="B316" s="51" t="s">
        <v>3252</v>
      </c>
      <c r="D316" t="s">
        <v>825</v>
      </c>
      <c r="E316" t="s">
        <v>2439</v>
      </c>
      <c r="F316" t="s">
        <v>2881</v>
      </c>
      <c r="J316" s="55" t="s">
        <v>4615</v>
      </c>
      <c r="K316" s="56" t="s">
        <v>3249</v>
      </c>
    </row>
    <row r="317" spans="1:11" x14ac:dyDescent="0.25">
      <c r="A317" t="s">
        <v>2042</v>
      </c>
      <c r="B317" s="51" t="s">
        <v>3253</v>
      </c>
      <c r="D317" t="s">
        <v>795</v>
      </c>
      <c r="E317" t="s">
        <v>2440</v>
      </c>
      <c r="F317" t="s">
        <v>2944</v>
      </c>
      <c r="J317" s="55" t="s">
        <v>4616</v>
      </c>
      <c r="K317" s="56" t="s">
        <v>3230</v>
      </c>
    </row>
    <row r="318" spans="1:11" x14ac:dyDescent="0.25">
      <c r="A318" t="s">
        <v>1485</v>
      </c>
      <c r="B318" s="51" t="s">
        <v>3254</v>
      </c>
      <c r="D318" t="s">
        <v>793</v>
      </c>
      <c r="E318" t="s">
        <v>2441</v>
      </c>
      <c r="F318" t="s">
        <v>2942</v>
      </c>
      <c r="J318" s="55" t="s">
        <v>4617</v>
      </c>
      <c r="K318" s="56" t="s">
        <v>3250</v>
      </c>
    </row>
    <row r="319" spans="1:11" x14ac:dyDescent="0.25">
      <c r="A319" t="s">
        <v>1555</v>
      </c>
      <c r="B319" s="51" t="s">
        <v>3255</v>
      </c>
      <c r="D319" t="s">
        <v>856</v>
      </c>
      <c r="E319" t="s">
        <v>2442</v>
      </c>
      <c r="F319" t="s">
        <v>2976</v>
      </c>
      <c r="J319" s="55" t="s">
        <v>4618</v>
      </c>
      <c r="K319" s="56" t="s">
        <v>3251</v>
      </c>
    </row>
    <row r="320" spans="1:11" x14ac:dyDescent="0.25">
      <c r="A320" t="s">
        <v>1464</v>
      </c>
      <c r="B320" s="51" t="s">
        <v>3256</v>
      </c>
      <c r="D320" t="s">
        <v>826</v>
      </c>
      <c r="E320" t="s">
        <v>2443</v>
      </c>
      <c r="F320" t="s">
        <v>2882</v>
      </c>
      <c r="J320" s="55" t="s">
        <v>4619</v>
      </c>
      <c r="K320" s="56" t="s">
        <v>3252</v>
      </c>
    </row>
    <row r="321" spans="1:11" x14ac:dyDescent="0.25">
      <c r="A321" t="s">
        <v>1801</v>
      </c>
      <c r="B321" s="51" t="s">
        <v>3257</v>
      </c>
      <c r="D321" t="s">
        <v>796</v>
      </c>
      <c r="E321" t="s">
        <v>4267</v>
      </c>
      <c r="F321" t="s">
        <v>2945</v>
      </c>
      <c r="J321" s="55" t="s">
        <v>4620</v>
      </c>
      <c r="K321" s="56" t="s">
        <v>3253</v>
      </c>
    </row>
    <row r="322" spans="1:11" x14ac:dyDescent="0.25">
      <c r="A322" t="s">
        <v>4128</v>
      </c>
      <c r="B322" s="51" t="s">
        <v>3258</v>
      </c>
      <c r="D322" t="s">
        <v>804</v>
      </c>
      <c r="E322" t="s">
        <v>2444</v>
      </c>
      <c r="F322" t="s">
        <v>2953</v>
      </c>
      <c r="J322" s="55" t="s">
        <v>4621</v>
      </c>
      <c r="K322" s="56" t="s">
        <v>3255</v>
      </c>
    </row>
    <row r="323" spans="1:11" x14ac:dyDescent="0.25">
      <c r="A323" t="s">
        <v>1651</v>
      </c>
      <c r="B323" s="51" t="s">
        <v>3259</v>
      </c>
      <c r="D323" t="s">
        <v>803</v>
      </c>
      <c r="E323" t="s">
        <v>803</v>
      </c>
      <c r="F323" t="s">
        <v>2952</v>
      </c>
      <c r="J323" s="55" t="s">
        <v>4622</v>
      </c>
      <c r="K323" s="56" t="s">
        <v>3236</v>
      </c>
    </row>
    <row r="324" spans="1:11" x14ac:dyDescent="0.25">
      <c r="A324" t="s">
        <v>2080</v>
      </c>
      <c r="B324" s="51" t="s">
        <v>3260</v>
      </c>
      <c r="D324" t="s">
        <v>801</v>
      </c>
      <c r="E324" t="s">
        <v>801</v>
      </c>
      <c r="F324" t="s">
        <v>2950</v>
      </c>
      <c r="J324" s="55" t="s">
        <v>4623</v>
      </c>
      <c r="K324" s="56" t="s">
        <v>4377</v>
      </c>
    </row>
    <row r="325" spans="1:11" x14ac:dyDescent="0.25">
      <c r="A325" t="s">
        <v>4129</v>
      </c>
      <c r="B325" s="51" t="s">
        <v>3261</v>
      </c>
      <c r="D325" t="s">
        <v>802</v>
      </c>
      <c r="E325" t="s">
        <v>2445</v>
      </c>
      <c r="F325" t="s">
        <v>2951</v>
      </c>
      <c r="J325" s="55" t="s">
        <v>4624</v>
      </c>
      <c r="K325" s="56" t="s">
        <v>4378</v>
      </c>
    </row>
    <row r="326" spans="1:11" x14ac:dyDescent="0.25">
      <c r="A326" t="s">
        <v>1728</v>
      </c>
      <c r="B326" s="51" t="s">
        <v>3262</v>
      </c>
      <c r="D326" t="s">
        <v>722</v>
      </c>
      <c r="E326" t="s">
        <v>2446</v>
      </c>
      <c r="F326" t="s">
        <v>2835</v>
      </c>
      <c r="J326" s="55" t="s">
        <v>4625</v>
      </c>
      <c r="K326" s="56" t="s">
        <v>3542</v>
      </c>
    </row>
    <row r="327" spans="1:11" x14ac:dyDescent="0.25">
      <c r="A327" t="s">
        <v>2144</v>
      </c>
      <c r="B327" s="51" t="s">
        <v>3263</v>
      </c>
      <c r="D327" t="s">
        <v>735</v>
      </c>
      <c r="E327" t="s">
        <v>2447</v>
      </c>
      <c r="F327" t="s">
        <v>2910</v>
      </c>
      <c r="J327" s="55" t="s">
        <v>4626</v>
      </c>
      <c r="K327" s="56" t="s">
        <v>3259</v>
      </c>
    </row>
    <row r="328" spans="1:11" x14ac:dyDescent="0.25">
      <c r="A328" t="s">
        <v>2208</v>
      </c>
      <c r="B328" s="51" t="s">
        <v>3264</v>
      </c>
      <c r="D328" t="s">
        <v>734</v>
      </c>
      <c r="E328" t="s">
        <v>2448</v>
      </c>
      <c r="F328" t="s">
        <v>2909</v>
      </c>
      <c r="J328" s="55" t="s">
        <v>4627</v>
      </c>
      <c r="K328" s="56" t="s">
        <v>3260</v>
      </c>
    </row>
    <row r="329" spans="1:11" x14ac:dyDescent="0.25">
      <c r="A329" t="s">
        <v>2054</v>
      </c>
      <c r="B329" s="51" t="s">
        <v>3265</v>
      </c>
      <c r="D329" t="s">
        <v>860</v>
      </c>
      <c r="E329" t="s">
        <v>2449</v>
      </c>
      <c r="F329" t="s">
        <v>2980</v>
      </c>
      <c r="J329" s="55" t="s">
        <v>4628</v>
      </c>
      <c r="K329" s="56" t="s">
        <v>3262</v>
      </c>
    </row>
    <row r="330" spans="1:11" x14ac:dyDescent="0.25">
      <c r="A330" t="s">
        <v>1617</v>
      </c>
      <c r="B330" s="51" t="s">
        <v>3266</v>
      </c>
      <c r="D330" t="s">
        <v>723</v>
      </c>
      <c r="E330" t="s">
        <v>2450</v>
      </c>
      <c r="F330" t="s">
        <v>2836</v>
      </c>
      <c r="J330" s="55" t="s">
        <v>4629</v>
      </c>
      <c r="K330" s="56" t="s">
        <v>3263</v>
      </c>
    </row>
    <row r="331" spans="1:11" x14ac:dyDescent="0.25">
      <c r="A331" t="s">
        <v>1439</v>
      </c>
      <c r="B331" s="51" t="s">
        <v>3267</v>
      </c>
      <c r="D331" t="s">
        <v>861</v>
      </c>
      <c r="E331" t="s">
        <v>2451</v>
      </c>
      <c r="F331" t="s">
        <v>2981</v>
      </c>
      <c r="J331" s="55" t="s">
        <v>4630</v>
      </c>
      <c r="K331" s="56" t="s">
        <v>3264</v>
      </c>
    </row>
    <row r="332" spans="1:11" x14ac:dyDescent="0.25">
      <c r="A332" t="s">
        <v>1764</v>
      </c>
      <c r="B332" s="51" t="s">
        <v>3268</v>
      </c>
      <c r="D332" t="s">
        <v>778</v>
      </c>
      <c r="E332" t="s">
        <v>2452</v>
      </c>
      <c r="F332" t="s">
        <v>2866</v>
      </c>
      <c r="J332" s="55" t="s">
        <v>4631</v>
      </c>
      <c r="K332" s="56" t="s">
        <v>3265</v>
      </c>
    </row>
    <row r="333" spans="1:11" x14ac:dyDescent="0.25">
      <c r="A333" t="s">
        <v>4130</v>
      </c>
      <c r="B333" s="51" t="s">
        <v>3269</v>
      </c>
      <c r="D333" t="s">
        <v>733</v>
      </c>
      <c r="E333" t="s">
        <v>2453</v>
      </c>
      <c r="F333" t="s">
        <v>2908</v>
      </c>
      <c r="J333" s="55" t="s">
        <v>4632</v>
      </c>
      <c r="K333" s="56" t="s">
        <v>3269</v>
      </c>
    </row>
    <row r="334" spans="1:11" x14ac:dyDescent="0.25">
      <c r="A334" t="s">
        <v>4131</v>
      </c>
      <c r="B334" s="51" t="s">
        <v>3270</v>
      </c>
      <c r="D334" t="s">
        <v>726</v>
      </c>
      <c r="E334" t="s">
        <v>2454</v>
      </c>
      <c r="F334" t="s">
        <v>2839</v>
      </c>
      <c r="J334" s="55" t="s">
        <v>4633</v>
      </c>
      <c r="K334" s="56" t="s">
        <v>4379</v>
      </c>
    </row>
    <row r="335" spans="1:11" x14ac:dyDescent="0.25">
      <c r="A335" t="s">
        <v>1393</v>
      </c>
      <c r="B335" s="51" t="s">
        <v>3271</v>
      </c>
      <c r="D335" t="s">
        <v>830</v>
      </c>
      <c r="E335" t="s">
        <v>2455</v>
      </c>
      <c r="F335" t="s">
        <v>2886</v>
      </c>
      <c r="J335" s="55" t="s">
        <v>4634</v>
      </c>
      <c r="K335" s="56" t="s">
        <v>4380</v>
      </c>
    </row>
    <row r="336" spans="1:11" x14ac:dyDescent="0.25">
      <c r="A336" t="s">
        <v>1839</v>
      </c>
      <c r="B336" s="51" t="s">
        <v>3272</v>
      </c>
      <c r="D336" t="s">
        <v>727</v>
      </c>
      <c r="E336" t="s">
        <v>2456</v>
      </c>
      <c r="F336" t="s">
        <v>2840</v>
      </c>
      <c r="J336" s="55" t="s">
        <v>4635</v>
      </c>
      <c r="K336" s="56" t="s">
        <v>4381</v>
      </c>
    </row>
    <row r="337" spans="1:11" x14ac:dyDescent="0.25">
      <c r="A337" t="s">
        <v>1608</v>
      </c>
      <c r="B337" s="51" t="s">
        <v>3273</v>
      </c>
      <c r="D337" t="s">
        <v>707</v>
      </c>
      <c r="E337" t="s">
        <v>2457</v>
      </c>
      <c r="F337" t="s">
        <v>2820</v>
      </c>
      <c r="J337" s="55" t="s">
        <v>4636</v>
      </c>
      <c r="K337" s="56" t="s">
        <v>4382</v>
      </c>
    </row>
    <row r="338" spans="1:11" x14ac:dyDescent="0.25">
      <c r="A338" t="s">
        <v>2184</v>
      </c>
      <c r="B338" s="51" t="s">
        <v>3274</v>
      </c>
      <c r="D338" t="s">
        <v>4213</v>
      </c>
      <c r="E338" t="s">
        <v>4268</v>
      </c>
      <c r="F338" t="s">
        <v>4297</v>
      </c>
      <c r="J338" s="55" t="s">
        <v>4637</v>
      </c>
      <c r="K338" s="56" t="s">
        <v>3270</v>
      </c>
    </row>
    <row r="339" spans="1:11" x14ac:dyDescent="0.25">
      <c r="A339" t="s">
        <v>1988</v>
      </c>
      <c r="B339" s="51" t="s">
        <v>3275</v>
      </c>
      <c r="D339" t="s">
        <v>728</v>
      </c>
      <c r="E339" t="s">
        <v>2458</v>
      </c>
      <c r="F339" t="s">
        <v>2841</v>
      </c>
      <c r="J339" s="55" t="s">
        <v>4638</v>
      </c>
      <c r="K339" s="56" t="s">
        <v>3271</v>
      </c>
    </row>
    <row r="340" spans="1:11" x14ac:dyDescent="0.25">
      <c r="A340" t="s">
        <v>2191</v>
      </c>
      <c r="B340" s="51" t="s">
        <v>3276</v>
      </c>
      <c r="D340" t="s">
        <v>877</v>
      </c>
      <c r="E340" t="s">
        <v>2459</v>
      </c>
      <c r="F340" t="s">
        <v>2906</v>
      </c>
      <c r="J340" s="55" t="s">
        <v>4639</v>
      </c>
      <c r="K340" s="56" t="s">
        <v>3272</v>
      </c>
    </row>
    <row r="341" spans="1:11" ht="15.75" x14ac:dyDescent="0.25">
      <c r="A341" t="s">
        <v>2087</v>
      </c>
      <c r="B341" s="51" t="s">
        <v>3277</v>
      </c>
      <c r="D341" s="135" t="s">
        <v>876</v>
      </c>
      <c r="E341" s="134" t="s">
        <v>2460</v>
      </c>
      <c r="F341" t="s">
        <v>2905</v>
      </c>
      <c r="J341" s="55" t="s">
        <v>4640</v>
      </c>
      <c r="K341" s="56" t="s">
        <v>3273</v>
      </c>
    </row>
    <row r="342" spans="1:11" x14ac:dyDescent="0.25">
      <c r="A342" t="s">
        <v>1407</v>
      </c>
      <c r="B342" s="51" t="s">
        <v>3278</v>
      </c>
      <c r="D342" t="s">
        <v>878</v>
      </c>
      <c r="E342" t="s">
        <v>2461</v>
      </c>
      <c r="F342" t="s">
        <v>2993</v>
      </c>
      <c r="J342" s="55" t="s">
        <v>4641</v>
      </c>
      <c r="K342" s="56" t="s">
        <v>3274</v>
      </c>
    </row>
    <row r="343" spans="1:11" x14ac:dyDescent="0.25">
      <c r="A343" t="s">
        <v>1502</v>
      </c>
      <c r="B343" s="51" t="s">
        <v>3279</v>
      </c>
      <c r="D343" t="s">
        <v>787</v>
      </c>
      <c r="E343" t="s">
        <v>2462</v>
      </c>
      <c r="F343" t="s">
        <v>2936</v>
      </c>
      <c r="J343" s="55" t="s">
        <v>4642</v>
      </c>
      <c r="K343" s="56" t="s">
        <v>3275</v>
      </c>
    </row>
    <row r="344" spans="1:11" x14ac:dyDescent="0.25">
      <c r="A344" t="s">
        <v>2166</v>
      </c>
      <c r="B344" s="51" t="s">
        <v>3280</v>
      </c>
      <c r="D344" t="s">
        <v>832</v>
      </c>
      <c r="E344" t="s">
        <v>2463</v>
      </c>
      <c r="F344" t="s">
        <v>2888</v>
      </c>
      <c r="J344" s="55" t="s">
        <v>4643</v>
      </c>
      <c r="K344" s="56" t="s">
        <v>3276</v>
      </c>
    </row>
    <row r="345" spans="1:11" x14ac:dyDescent="0.25">
      <c r="A345" t="s">
        <v>1846</v>
      </c>
      <c r="B345" s="51" t="s">
        <v>3281</v>
      </c>
      <c r="D345" t="s">
        <v>806</v>
      </c>
      <c r="E345" t="s">
        <v>2464</v>
      </c>
      <c r="F345" t="s">
        <v>2955</v>
      </c>
      <c r="J345" s="55" t="s">
        <v>4644</v>
      </c>
      <c r="K345" s="56" t="s">
        <v>3277</v>
      </c>
    </row>
    <row r="346" spans="1:11" x14ac:dyDescent="0.25">
      <c r="A346" t="s">
        <v>2178</v>
      </c>
      <c r="B346" s="51" t="s">
        <v>3282</v>
      </c>
      <c r="D346" t="s">
        <v>4212</v>
      </c>
      <c r="E346" t="s">
        <v>4269</v>
      </c>
      <c r="F346" t="s">
        <v>4298</v>
      </c>
      <c r="J346" s="55" t="s">
        <v>4645</v>
      </c>
      <c r="K346" s="56" t="s">
        <v>3279</v>
      </c>
    </row>
    <row r="347" spans="1:11" x14ac:dyDescent="0.25">
      <c r="A347" t="s">
        <v>1709</v>
      </c>
      <c r="B347" s="51" t="s">
        <v>3283</v>
      </c>
      <c r="D347" t="s">
        <v>749</v>
      </c>
      <c r="E347" t="s">
        <v>2465</v>
      </c>
      <c r="F347" t="s">
        <v>2924</v>
      </c>
      <c r="J347" s="55" t="s">
        <v>4646</v>
      </c>
      <c r="K347" s="56" t="s">
        <v>3282</v>
      </c>
    </row>
    <row r="348" spans="1:11" x14ac:dyDescent="0.25">
      <c r="A348" t="s">
        <v>2214</v>
      </c>
      <c r="B348" s="51" t="s">
        <v>3284</v>
      </c>
      <c r="D348" t="s">
        <v>4217</v>
      </c>
      <c r="E348" t="s">
        <v>4270</v>
      </c>
      <c r="F348" t="s">
        <v>4299</v>
      </c>
      <c r="J348" s="55" t="s">
        <v>4647</v>
      </c>
      <c r="K348" s="56" t="s">
        <v>3283</v>
      </c>
    </row>
    <row r="349" spans="1:11" x14ac:dyDescent="0.25">
      <c r="A349" t="s">
        <v>1950</v>
      </c>
      <c r="B349" s="51" t="s">
        <v>3285</v>
      </c>
      <c r="D349" t="s">
        <v>3169</v>
      </c>
      <c r="E349" t="s">
        <v>3185</v>
      </c>
      <c r="F349" t="s">
        <v>4166</v>
      </c>
      <c r="J349" s="55" t="s">
        <v>4648</v>
      </c>
      <c r="K349" s="56" t="s">
        <v>3285</v>
      </c>
    </row>
    <row r="350" spans="1:11" x14ac:dyDescent="0.25">
      <c r="A350" t="s">
        <v>2120</v>
      </c>
      <c r="B350" s="51" t="s">
        <v>3286</v>
      </c>
      <c r="D350" t="s">
        <v>765</v>
      </c>
      <c r="E350" t="s">
        <v>2466</v>
      </c>
      <c r="F350" t="s">
        <v>2853</v>
      </c>
      <c r="J350" s="55" t="s">
        <v>4649</v>
      </c>
      <c r="K350" s="56" t="s">
        <v>3286</v>
      </c>
    </row>
    <row r="351" spans="1:11" x14ac:dyDescent="0.25">
      <c r="A351" t="s">
        <v>1900</v>
      </c>
      <c r="B351" s="51" t="s">
        <v>3287</v>
      </c>
      <c r="D351" t="s">
        <v>730</v>
      </c>
      <c r="E351" t="s">
        <v>2467</v>
      </c>
      <c r="F351" t="s">
        <v>2843</v>
      </c>
      <c r="J351" s="55" t="s">
        <v>4650</v>
      </c>
      <c r="K351" s="56" t="s">
        <v>3287</v>
      </c>
    </row>
    <row r="352" spans="1:11" x14ac:dyDescent="0.25">
      <c r="A352" t="s">
        <v>1656</v>
      </c>
      <c r="B352" s="51" t="s">
        <v>3288</v>
      </c>
      <c r="D352" t="s">
        <v>731</v>
      </c>
      <c r="E352" t="s">
        <v>2468</v>
      </c>
      <c r="F352" t="s">
        <v>2844</v>
      </c>
      <c r="J352" s="55" t="s">
        <v>4651</v>
      </c>
      <c r="K352" s="56" t="s">
        <v>3288</v>
      </c>
    </row>
    <row r="353" spans="1:11" x14ac:dyDescent="0.25">
      <c r="A353" t="s">
        <v>1932</v>
      </c>
      <c r="B353" s="51" t="s">
        <v>3289</v>
      </c>
      <c r="D353" t="s">
        <v>745</v>
      </c>
      <c r="E353" t="s">
        <v>2469</v>
      </c>
      <c r="F353" t="s">
        <v>2920</v>
      </c>
      <c r="J353" s="55" t="s">
        <v>4652</v>
      </c>
      <c r="K353" s="56" t="s">
        <v>3284</v>
      </c>
    </row>
    <row r="354" spans="1:11" x14ac:dyDescent="0.25">
      <c r="A354" t="s">
        <v>1770</v>
      </c>
      <c r="B354" s="51" t="s">
        <v>3290</v>
      </c>
      <c r="D354" t="s">
        <v>867</v>
      </c>
      <c r="E354" t="s">
        <v>2470</v>
      </c>
      <c r="F354" t="s">
        <v>2896</v>
      </c>
      <c r="J354" s="55" t="s">
        <v>4653</v>
      </c>
      <c r="K354" s="56" t="s">
        <v>3289</v>
      </c>
    </row>
    <row r="355" spans="1:11" x14ac:dyDescent="0.25">
      <c r="A355" t="s">
        <v>2011</v>
      </c>
      <c r="B355" s="51" t="s">
        <v>3291</v>
      </c>
      <c r="D355" t="s">
        <v>873</v>
      </c>
      <c r="E355" t="s">
        <v>2471</v>
      </c>
      <c r="F355" t="s">
        <v>2902</v>
      </c>
      <c r="J355" s="55" t="s">
        <v>4654</v>
      </c>
      <c r="K355" s="56" t="s">
        <v>3290</v>
      </c>
    </row>
    <row r="356" spans="1:11" x14ac:dyDescent="0.25">
      <c r="A356" t="s">
        <v>2143</v>
      </c>
      <c r="B356" s="51" t="s">
        <v>3292</v>
      </c>
      <c r="D356" t="s">
        <v>747</v>
      </c>
      <c r="E356" t="s">
        <v>2472</v>
      </c>
      <c r="F356" t="s">
        <v>2922</v>
      </c>
      <c r="J356" s="55" t="s">
        <v>4655</v>
      </c>
      <c r="K356" s="56" t="s">
        <v>3291</v>
      </c>
    </row>
    <row r="357" spans="1:11" x14ac:dyDescent="0.25">
      <c r="A357" t="s">
        <v>1916</v>
      </c>
      <c r="B357" s="51" t="s">
        <v>3293</v>
      </c>
      <c r="D357" t="s">
        <v>758</v>
      </c>
      <c r="E357" t="s">
        <v>2473</v>
      </c>
      <c r="F357" t="s">
        <v>2846</v>
      </c>
      <c r="J357" s="55" t="s">
        <v>4656</v>
      </c>
      <c r="K357" s="56" t="s">
        <v>3292</v>
      </c>
    </row>
    <row r="358" spans="1:11" x14ac:dyDescent="0.25">
      <c r="A358" t="s">
        <v>1509</v>
      </c>
      <c r="B358" s="51" t="s">
        <v>3294</v>
      </c>
      <c r="D358" t="s">
        <v>746</v>
      </c>
      <c r="E358" t="s">
        <v>2474</v>
      </c>
      <c r="F358" t="s">
        <v>2921</v>
      </c>
      <c r="J358" s="55" t="s">
        <v>4657</v>
      </c>
      <c r="K358" s="56" t="s">
        <v>3293</v>
      </c>
    </row>
    <row r="359" spans="1:11" x14ac:dyDescent="0.25">
      <c r="A359" t="s">
        <v>1980</v>
      </c>
      <c r="B359" s="51" t="s">
        <v>3295</v>
      </c>
      <c r="D359" t="s">
        <v>838</v>
      </c>
      <c r="E359" t="s">
        <v>2475</v>
      </c>
      <c r="F359" t="s">
        <v>2960</v>
      </c>
      <c r="J359" s="55" t="s">
        <v>4658</v>
      </c>
      <c r="K359" s="56" t="s">
        <v>3296</v>
      </c>
    </row>
    <row r="360" spans="1:11" x14ac:dyDescent="0.25">
      <c r="A360" t="s">
        <v>1417</v>
      </c>
      <c r="B360" s="51" t="s">
        <v>3296</v>
      </c>
      <c r="D360" t="s">
        <v>769</v>
      </c>
      <c r="E360" t="s">
        <v>2476</v>
      </c>
      <c r="F360" t="s">
        <v>2857</v>
      </c>
      <c r="J360" s="55" t="s">
        <v>4659</v>
      </c>
      <c r="K360" s="56" t="s">
        <v>3298</v>
      </c>
    </row>
    <row r="361" spans="1:11" x14ac:dyDescent="0.25">
      <c r="A361" t="s">
        <v>1750</v>
      </c>
      <c r="B361" s="51" t="s">
        <v>3297</v>
      </c>
      <c r="D361" t="s">
        <v>760</v>
      </c>
      <c r="E361" t="s">
        <v>2477</v>
      </c>
      <c r="F361" t="s">
        <v>2848</v>
      </c>
      <c r="J361" s="55" t="s">
        <v>4660</v>
      </c>
      <c r="K361" s="56" t="s">
        <v>3299</v>
      </c>
    </row>
    <row r="362" spans="1:11" x14ac:dyDescent="0.25">
      <c r="A362" t="s">
        <v>1540</v>
      </c>
      <c r="B362" s="51" t="s">
        <v>3298</v>
      </c>
      <c r="D362" t="s">
        <v>807</v>
      </c>
      <c r="E362" t="s">
        <v>2478</v>
      </c>
      <c r="F362" t="s">
        <v>2956</v>
      </c>
      <c r="J362" s="55" t="s">
        <v>4661</v>
      </c>
      <c r="K362" s="56" t="s">
        <v>3300</v>
      </c>
    </row>
    <row r="363" spans="1:11" x14ac:dyDescent="0.25">
      <c r="A363" t="s">
        <v>1751</v>
      </c>
      <c r="B363" s="51" t="s">
        <v>3299</v>
      </c>
      <c r="D363" t="s">
        <v>871</v>
      </c>
      <c r="E363" t="s">
        <v>2479</v>
      </c>
      <c r="F363" t="s">
        <v>2900</v>
      </c>
      <c r="J363" s="55" t="s">
        <v>4662</v>
      </c>
      <c r="K363" s="56" t="s">
        <v>3303</v>
      </c>
    </row>
    <row r="364" spans="1:11" x14ac:dyDescent="0.25">
      <c r="A364" t="s">
        <v>2090</v>
      </c>
      <c r="B364" s="51" t="s">
        <v>3300</v>
      </c>
      <c r="D364" t="s">
        <v>759</v>
      </c>
      <c r="E364" t="s">
        <v>2480</v>
      </c>
      <c r="F364" t="s">
        <v>2847</v>
      </c>
      <c r="J364" s="55" t="s">
        <v>4663</v>
      </c>
      <c r="K364" s="56" t="s">
        <v>3304</v>
      </c>
    </row>
    <row r="365" spans="1:11" x14ac:dyDescent="0.25">
      <c r="A365" t="s">
        <v>1761</v>
      </c>
      <c r="B365" s="51" t="s">
        <v>3301</v>
      </c>
      <c r="D365" t="s">
        <v>761</v>
      </c>
      <c r="E365" t="s">
        <v>2481</v>
      </c>
      <c r="F365" t="s">
        <v>2849</v>
      </c>
      <c r="J365" s="55" t="s">
        <v>4664</v>
      </c>
      <c r="K365" s="56" t="s">
        <v>4383</v>
      </c>
    </row>
    <row r="366" spans="1:11" x14ac:dyDescent="0.25">
      <c r="A366" t="s">
        <v>1528</v>
      </c>
      <c r="B366" s="51" t="s">
        <v>3302</v>
      </c>
      <c r="D366" t="s">
        <v>870</v>
      </c>
      <c r="E366" t="s">
        <v>2482</v>
      </c>
      <c r="F366" t="s">
        <v>2899</v>
      </c>
      <c r="J366" s="55" t="s">
        <v>4665</v>
      </c>
      <c r="K366" s="56" t="s">
        <v>4384</v>
      </c>
    </row>
    <row r="367" spans="1:11" x14ac:dyDescent="0.25">
      <c r="A367" t="s">
        <v>2180</v>
      </c>
      <c r="B367" s="51" t="s">
        <v>3303</v>
      </c>
      <c r="D367" t="s">
        <v>762</v>
      </c>
      <c r="E367" t="s">
        <v>2483</v>
      </c>
      <c r="F367" t="s">
        <v>2850</v>
      </c>
      <c r="J367" s="55" t="s">
        <v>4666</v>
      </c>
      <c r="K367" s="56" t="s">
        <v>4385</v>
      </c>
    </row>
    <row r="368" spans="1:11" x14ac:dyDescent="0.25">
      <c r="A368" t="s">
        <v>2041</v>
      </c>
      <c r="B368" s="51" t="s">
        <v>3304</v>
      </c>
      <c r="D368" t="s">
        <v>736</v>
      </c>
      <c r="E368" t="s">
        <v>2484</v>
      </c>
      <c r="F368" t="s">
        <v>2911</v>
      </c>
      <c r="J368" s="55" t="s">
        <v>4667</v>
      </c>
      <c r="K368" s="56" t="s">
        <v>3297</v>
      </c>
    </row>
    <row r="369" spans="1:11" x14ac:dyDescent="0.25">
      <c r="A369" t="s">
        <v>2029</v>
      </c>
      <c r="B369" s="51" t="s">
        <v>3305</v>
      </c>
      <c r="D369" t="s">
        <v>869</v>
      </c>
      <c r="E369" t="s">
        <v>2485</v>
      </c>
      <c r="F369" t="s">
        <v>2898</v>
      </c>
      <c r="J369" s="55" t="s">
        <v>4668</v>
      </c>
      <c r="K369" s="56" t="s">
        <v>4386</v>
      </c>
    </row>
    <row r="370" spans="1:11" x14ac:dyDescent="0.25">
      <c r="A370" t="s">
        <v>1860</v>
      </c>
      <c r="B370" s="51" t="s">
        <v>3306</v>
      </c>
      <c r="D370" t="s">
        <v>829</v>
      </c>
      <c r="E370" t="s">
        <v>2486</v>
      </c>
      <c r="F370" t="s">
        <v>2885</v>
      </c>
      <c r="J370" s="55" t="s">
        <v>4669</v>
      </c>
      <c r="K370" s="56" t="s">
        <v>4387</v>
      </c>
    </row>
    <row r="371" spans="1:11" x14ac:dyDescent="0.25">
      <c r="A371" t="s">
        <v>1647</v>
      </c>
      <c r="B371" s="51" t="s">
        <v>3307</v>
      </c>
      <c r="D371" t="s">
        <v>766</v>
      </c>
      <c r="E371" t="s">
        <v>2487</v>
      </c>
      <c r="F371" t="s">
        <v>2854</v>
      </c>
      <c r="J371" s="55" t="s">
        <v>4670</v>
      </c>
      <c r="K371" s="56" t="s">
        <v>3301</v>
      </c>
    </row>
    <row r="372" spans="1:11" x14ac:dyDescent="0.25">
      <c r="A372" t="s">
        <v>2187</v>
      </c>
      <c r="B372" s="51" t="s">
        <v>3308</v>
      </c>
      <c r="D372" t="s">
        <v>784</v>
      </c>
      <c r="E372" t="s">
        <v>2488</v>
      </c>
      <c r="F372" t="s">
        <v>2933</v>
      </c>
      <c r="J372" s="55" t="s">
        <v>4671</v>
      </c>
      <c r="K372" s="56" t="s">
        <v>3302</v>
      </c>
    </row>
    <row r="373" spans="1:11" x14ac:dyDescent="0.25">
      <c r="A373" t="s">
        <v>2060</v>
      </c>
      <c r="B373" s="51" t="s">
        <v>3309</v>
      </c>
      <c r="D373" t="s">
        <v>833</v>
      </c>
      <c r="E373" t="s">
        <v>2489</v>
      </c>
      <c r="F373" t="s">
        <v>2889</v>
      </c>
      <c r="J373" s="55" t="s">
        <v>4672</v>
      </c>
      <c r="K373" s="56" t="s">
        <v>3294</v>
      </c>
    </row>
    <row r="374" spans="1:11" x14ac:dyDescent="0.25">
      <c r="A374" t="s">
        <v>1960</v>
      </c>
      <c r="B374" s="51" t="s">
        <v>3310</v>
      </c>
      <c r="D374" t="s">
        <v>757</v>
      </c>
      <c r="E374" t="s">
        <v>2490</v>
      </c>
      <c r="F374" t="s">
        <v>2845</v>
      </c>
      <c r="J374" s="55" t="s">
        <v>4673</v>
      </c>
      <c r="K374" s="56" t="s">
        <v>3306</v>
      </c>
    </row>
    <row r="375" spans="1:11" x14ac:dyDescent="0.25">
      <c r="A375" t="s">
        <v>1774</v>
      </c>
      <c r="B375" s="51" t="s">
        <v>3311</v>
      </c>
      <c r="D375" t="s">
        <v>756</v>
      </c>
      <c r="E375" t="s">
        <v>2491</v>
      </c>
      <c r="F375" t="s">
        <v>2931</v>
      </c>
      <c r="J375" s="55" t="s">
        <v>4674</v>
      </c>
      <c r="K375" s="56" t="s">
        <v>3307</v>
      </c>
    </row>
    <row r="376" spans="1:11" x14ac:dyDescent="0.25">
      <c r="A376" t="s">
        <v>2117</v>
      </c>
      <c r="B376" s="51" t="s">
        <v>3312</v>
      </c>
      <c r="D376" t="s">
        <v>729</v>
      </c>
      <c r="E376" t="s">
        <v>729</v>
      </c>
      <c r="F376" t="s">
        <v>2842</v>
      </c>
      <c r="J376" s="55" t="s">
        <v>4675</v>
      </c>
      <c r="K376" s="56" t="s">
        <v>3309</v>
      </c>
    </row>
    <row r="377" spans="1:11" x14ac:dyDescent="0.25">
      <c r="A377" t="s">
        <v>2244</v>
      </c>
      <c r="B377" s="51" t="s">
        <v>3313</v>
      </c>
      <c r="D377" t="s">
        <v>712</v>
      </c>
      <c r="E377" t="s">
        <v>2492</v>
      </c>
      <c r="F377" t="s">
        <v>2825</v>
      </c>
      <c r="J377" s="55" t="s">
        <v>4676</v>
      </c>
      <c r="K377" s="56" t="s">
        <v>3310</v>
      </c>
    </row>
    <row r="378" spans="1:11" x14ac:dyDescent="0.25">
      <c r="A378" t="s">
        <v>2131</v>
      </c>
      <c r="B378" s="51" t="s">
        <v>3314</v>
      </c>
      <c r="D378" t="s">
        <v>750</v>
      </c>
      <c r="E378" t="s">
        <v>2493</v>
      </c>
      <c r="F378" t="s">
        <v>2925</v>
      </c>
      <c r="J378" s="55" t="s">
        <v>4677</v>
      </c>
      <c r="K378" s="56" t="s">
        <v>3311</v>
      </c>
    </row>
    <row r="379" spans="1:11" x14ac:dyDescent="0.25">
      <c r="A379" t="s">
        <v>2130</v>
      </c>
      <c r="B379" s="51" t="s">
        <v>3315</v>
      </c>
      <c r="D379" t="s">
        <v>764</v>
      </c>
      <c r="E379" t="s">
        <v>2494</v>
      </c>
      <c r="F379" t="s">
        <v>2852</v>
      </c>
      <c r="J379" s="55" t="s">
        <v>4678</v>
      </c>
      <c r="K379" s="56" t="s">
        <v>3312</v>
      </c>
    </row>
    <row r="380" spans="1:11" x14ac:dyDescent="0.25">
      <c r="A380" t="s">
        <v>1671</v>
      </c>
      <c r="B380" s="51" t="s">
        <v>3316</v>
      </c>
      <c r="D380" t="s">
        <v>781</v>
      </c>
      <c r="E380" t="s">
        <v>2495</v>
      </c>
      <c r="F380" t="s">
        <v>2869</v>
      </c>
      <c r="J380" s="55" t="s">
        <v>4679</v>
      </c>
      <c r="K380" s="56" t="s">
        <v>3313</v>
      </c>
    </row>
    <row r="381" spans="1:11" x14ac:dyDescent="0.25">
      <c r="A381" t="s">
        <v>1911</v>
      </c>
      <c r="B381" s="51" t="s">
        <v>3317</v>
      </c>
      <c r="D381" t="s">
        <v>868</v>
      </c>
      <c r="E381" t="s">
        <v>2496</v>
      </c>
      <c r="F381" t="s">
        <v>2897</v>
      </c>
      <c r="J381" s="55" t="s">
        <v>4680</v>
      </c>
      <c r="K381" s="56" t="s">
        <v>3314</v>
      </c>
    </row>
    <row r="382" spans="1:11" x14ac:dyDescent="0.25">
      <c r="A382" t="s">
        <v>1486</v>
      </c>
      <c r="B382" s="51" t="s">
        <v>3318</v>
      </c>
      <c r="D382" t="s">
        <v>767</v>
      </c>
      <c r="E382" t="s">
        <v>2497</v>
      </c>
      <c r="F382" t="s">
        <v>2855</v>
      </c>
      <c r="J382" s="55" t="s">
        <v>4681</v>
      </c>
      <c r="K382" s="56" t="s">
        <v>3315</v>
      </c>
    </row>
    <row r="383" spans="1:11" x14ac:dyDescent="0.25">
      <c r="A383" t="s">
        <v>1793</v>
      </c>
      <c r="B383" s="51" t="s">
        <v>3319</v>
      </c>
      <c r="D383" t="s">
        <v>836</v>
      </c>
      <c r="E383" t="s">
        <v>2498</v>
      </c>
      <c r="F383" t="s">
        <v>2958</v>
      </c>
      <c r="J383" s="55" t="s">
        <v>4682</v>
      </c>
      <c r="K383" s="56" t="s">
        <v>3316</v>
      </c>
    </row>
    <row r="384" spans="1:11" ht="15.75" x14ac:dyDescent="0.25">
      <c r="A384" t="s">
        <v>2227</v>
      </c>
      <c r="B384" s="51" t="s">
        <v>3320</v>
      </c>
      <c r="D384" s="135" t="s">
        <v>770</v>
      </c>
      <c r="E384" s="134" t="s">
        <v>2499</v>
      </c>
      <c r="F384" t="s">
        <v>2858</v>
      </c>
      <c r="J384" s="55" t="s">
        <v>4683</v>
      </c>
      <c r="K384" s="56" t="s">
        <v>4388</v>
      </c>
    </row>
    <row r="385" spans="1:11" x14ac:dyDescent="0.25">
      <c r="A385" t="s">
        <v>1743</v>
      </c>
      <c r="B385" s="51" t="s">
        <v>3321</v>
      </c>
      <c r="D385" t="s">
        <v>763</v>
      </c>
      <c r="E385" t="s">
        <v>2500</v>
      </c>
      <c r="F385" t="s">
        <v>2851</v>
      </c>
      <c r="J385" s="55" t="s">
        <v>4684</v>
      </c>
      <c r="K385" s="56" t="s">
        <v>4389</v>
      </c>
    </row>
    <row r="386" spans="1:11" x14ac:dyDescent="0.25">
      <c r="A386" t="s">
        <v>1978</v>
      </c>
      <c r="B386" s="51" t="s">
        <v>3322</v>
      </c>
      <c r="D386" t="s">
        <v>837</v>
      </c>
      <c r="E386" t="s">
        <v>2501</v>
      </c>
      <c r="F386" t="s">
        <v>2959</v>
      </c>
      <c r="J386" s="55" t="s">
        <v>4685</v>
      </c>
      <c r="K386" s="56" t="s">
        <v>4390</v>
      </c>
    </row>
    <row r="387" spans="1:11" x14ac:dyDescent="0.25">
      <c r="A387" t="s">
        <v>1896</v>
      </c>
      <c r="B387" s="51" t="s">
        <v>3323</v>
      </c>
      <c r="D387" t="s">
        <v>874</v>
      </c>
      <c r="E387" t="s">
        <v>2502</v>
      </c>
      <c r="F387" t="s">
        <v>2903</v>
      </c>
      <c r="J387" s="55" t="s">
        <v>4686</v>
      </c>
      <c r="K387" s="56" t="s">
        <v>4391</v>
      </c>
    </row>
    <row r="388" spans="1:11" x14ac:dyDescent="0.25">
      <c r="A388" t="s">
        <v>1526</v>
      </c>
      <c r="B388" s="51" t="s">
        <v>3324</v>
      </c>
      <c r="D388" t="s">
        <v>872</v>
      </c>
      <c r="E388" t="s">
        <v>2503</v>
      </c>
      <c r="F388" t="s">
        <v>2901</v>
      </c>
      <c r="J388" s="55" t="s">
        <v>4687</v>
      </c>
      <c r="K388" s="56" t="s">
        <v>4392</v>
      </c>
    </row>
    <row r="389" spans="1:11" x14ac:dyDescent="0.25">
      <c r="A389" t="s">
        <v>1894</v>
      </c>
      <c r="B389" s="51" t="s">
        <v>3325</v>
      </c>
      <c r="D389" t="s">
        <v>748</v>
      </c>
      <c r="E389" t="s">
        <v>2504</v>
      </c>
      <c r="F389" t="s">
        <v>2923</v>
      </c>
      <c r="J389" s="55" t="s">
        <v>4688</v>
      </c>
      <c r="K389" s="56" t="s">
        <v>3323</v>
      </c>
    </row>
    <row r="390" spans="1:11" x14ac:dyDescent="0.25">
      <c r="A390" t="s">
        <v>1423</v>
      </c>
      <c r="B390" s="51" t="s">
        <v>3326</v>
      </c>
      <c r="D390" t="s">
        <v>740</v>
      </c>
      <c r="E390" t="s">
        <v>2505</v>
      </c>
      <c r="F390" t="s">
        <v>2915</v>
      </c>
      <c r="J390" s="55" t="s">
        <v>4689</v>
      </c>
      <c r="K390" s="56" t="s">
        <v>3324</v>
      </c>
    </row>
    <row r="391" spans="1:11" x14ac:dyDescent="0.25">
      <c r="A391" t="s">
        <v>1427</v>
      </c>
      <c r="B391" s="51" t="s">
        <v>3327</v>
      </c>
      <c r="D391" t="s">
        <v>4211</v>
      </c>
      <c r="E391" t="s">
        <v>4271</v>
      </c>
      <c r="F391" t="s">
        <v>4300</v>
      </c>
      <c r="J391" s="55" t="s">
        <v>4690</v>
      </c>
      <c r="K391" s="56" t="s">
        <v>3325</v>
      </c>
    </row>
    <row r="392" spans="1:11" x14ac:dyDescent="0.25">
      <c r="A392" t="s">
        <v>2207</v>
      </c>
      <c r="B392" s="51" t="s">
        <v>3328</v>
      </c>
      <c r="D392" t="s">
        <v>4224</v>
      </c>
      <c r="E392" t="s">
        <v>4272</v>
      </c>
      <c r="F392" t="s">
        <v>4301</v>
      </c>
      <c r="J392" s="55" t="s">
        <v>4691</v>
      </c>
      <c r="K392" s="56" t="s">
        <v>3317</v>
      </c>
    </row>
    <row r="393" spans="1:11" x14ac:dyDescent="0.25">
      <c r="A393" t="s">
        <v>1514</v>
      </c>
      <c r="B393" s="51" t="s">
        <v>3329</v>
      </c>
      <c r="D393" s="134" t="s">
        <v>772</v>
      </c>
      <c r="E393" s="134" t="s">
        <v>2506</v>
      </c>
      <c r="F393" t="s">
        <v>2860</v>
      </c>
      <c r="J393" s="55" t="s">
        <v>4692</v>
      </c>
      <c r="K393" s="56" t="s">
        <v>3327</v>
      </c>
    </row>
    <row r="394" spans="1:11" x14ac:dyDescent="0.25">
      <c r="A394" t="s">
        <v>1997</v>
      </c>
      <c r="B394" s="51" t="s">
        <v>3330</v>
      </c>
      <c r="D394" t="s">
        <v>4215</v>
      </c>
      <c r="E394" t="s">
        <v>4273</v>
      </c>
      <c r="F394" t="s">
        <v>4302</v>
      </c>
      <c r="J394" s="55" t="s">
        <v>4693</v>
      </c>
      <c r="K394" s="56" t="s">
        <v>3328</v>
      </c>
    </row>
    <row r="395" spans="1:11" x14ac:dyDescent="0.25">
      <c r="A395" t="s">
        <v>1886</v>
      </c>
      <c r="B395" s="51" t="s">
        <v>3331</v>
      </c>
      <c r="D395" t="s">
        <v>768</v>
      </c>
      <c r="E395" t="s">
        <v>2507</v>
      </c>
      <c r="F395" t="s">
        <v>2856</v>
      </c>
      <c r="J395" s="55" t="s">
        <v>4694</v>
      </c>
      <c r="K395" s="56" t="s">
        <v>3330</v>
      </c>
    </row>
    <row r="396" spans="1:11" ht="15.75" x14ac:dyDescent="0.25">
      <c r="A396" t="s">
        <v>1596</v>
      </c>
      <c r="B396" s="51" t="s">
        <v>3332</v>
      </c>
      <c r="D396" s="135" t="s">
        <v>865</v>
      </c>
      <c r="E396" s="134" t="s">
        <v>2508</v>
      </c>
      <c r="F396" t="s">
        <v>2894</v>
      </c>
      <c r="J396" s="55" t="s">
        <v>4695</v>
      </c>
      <c r="K396" s="56" t="s">
        <v>3331</v>
      </c>
    </row>
    <row r="397" spans="1:11" x14ac:dyDescent="0.25">
      <c r="A397" t="s">
        <v>1456</v>
      </c>
      <c r="B397" s="51" t="s">
        <v>3333</v>
      </c>
      <c r="D397" s="134" t="s">
        <v>771</v>
      </c>
      <c r="E397" s="134" t="s">
        <v>2509</v>
      </c>
      <c r="F397" t="s">
        <v>2859</v>
      </c>
      <c r="J397" s="55" t="s">
        <v>4696</v>
      </c>
      <c r="K397" s="56" t="s">
        <v>3334</v>
      </c>
    </row>
    <row r="398" spans="1:11" x14ac:dyDescent="0.25">
      <c r="A398" t="s">
        <v>1910</v>
      </c>
      <c r="B398" s="51" t="s">
        <v>3334</v>
      </c>
      <c r="D398" t="s">
        <v>779</v>
      </c>
      <c r="E398" t="s">
        <v>2510</v>
      </c>
      <c r="F398" t="s">
        <v>2867</v>
      </c>
      <c r="J398" s="55" t="s">
        <v>4697</v>
      </c>
      <c r="K398" s="56" t="s">
        <v>3335</v>
      </c>
    </row>
    <row r="399" spans="1:11" x14ac:dyDescent="0.25">
      <c r="A399" t="s">
        <v>2028</v>
      </c>
      <c r="B399" s="51" t="s">
        <v>3335</v>
      </c>
      <c r="D399" t="s">
        <v>880</v>
      </c>
      <c r="E399" t="s">
        <v>2511</v>
      </c>
      <c r="F399" t="s">
        <v>2984</v>
      </c>
      <c r="J399" s="55" t="s">
        <v>4698</v>
      </c>
      <c r="K399" s="56" t="s">
        <v>3340</v>
      </c>
    </row>
    <row r="400" spans="1:11" x14ac:dyDescent="0.25">
      <c r="A400" t="s">
        <v>1890</v>
      </c>
      <c r="B400" s="51" t="s">
        <v>3336</v>
      </c>
      <c r="D400" t="s">
        <v>777</v>
      </c>
      <c r="E400" t="s">
        <v>2512</v>
      </c>
      <c r="F400" t="s">
        <v>2865</v>
      </c>
      <c r="J400" s="55" t="s">
        <v>4699</v>
      </c>
      <c r="K400" s="56" t="s">
        <v>3341</v>
      </c>
    </row>
    <row r="401" spans="1:11" x14ac:dyDescent="0.25">
      <c r="A401" t="s">
        <v>1665</v>
      </c>
      <c r="B401" s="51" t="s">
        <v>3337</v>
      </c>
      <c r="D401" t="s">
        <v>879</v>
      </c>
      <c r="E401" t="s">
        <v>2513</v>
      </c>
      <c r="F401" t="s">
        <v>2983</v>
      </c>
      <c r="J401" s="55" t="s">
        <v>4700</v>
      </c>
      <c r="K401" s="56" t="s">
        <v>3342</v>
      </c>
    </row>
    <row r="402" spans="1:11" x14ac:dyDescent="0.25">
      <c r="A402" t="s">
        <v>2020</v>
      </c>
      <c r="B402" s="51" t="s">
        <v>3338</v>
      </c>
      <c r="D402" t="s">
        <v>839</v>
      </c>
      <c r="E402" t="s">
        <v>2514</v>
      </c>
      <c r="F402" t="s">
        <v>2961</v>
      </c>
      <c r="J402" s="55" t="s">
        <v>4701</v>
      </c>
      <c r="K402" s="56" t="s">
        <v>3343</v>
      </c>
    </row>
    <row r="403" spans="1:11" x14ac:dyDescent="0.25">
      <c r="A403" t="s">
        <v>2019</v>
      </c>
      <c r="B403" s="51" t="s">
        <v>3339</v>
      </c>
      <c r="D403" t="s">
        <v>4225</v>
      </c>
      <c r="E403" t="s">
        <v>4274</v>
      </c>
      <c r="F403" t="s">
        <v>4303</v>
      </c>
      <c r="J403" s="55" t="s">
        <v>4702</v>
      </c>
      <c r="K403" s="56" t="s">
        <v>3344</v>
      </c>
    </row>
    <row r="404" spans="1:11" x14ac:dyDescent="0.25">
      <c r="A404" t="s">
        <v>1661</v>
      </c>
      <c r="B404" s="51" t="s">
        <v>3340</v>
      </c>
      <c r="D404" t="s">
        <v>3174</v>
      </c>
      <c r="E404" t="s">
        <v>4275</v>
      </c>
      <c r="F404" t="s">
        <v>4173</v>
      </c>
      <c r="J404" s="55" t="s">
        <v>4703</v>
      </c>
      <c r="K404" s="56" t="s">
        <v>3345</v>
      </c>
    </row>
    <row r="405" spans="1:11" x14ac:dyDescent="0.25">
      <c r="A405" t="s">
        <v>2240</v>
      </c>
      <c r="B405" s="51" t="s">
        <v>3341</v>
      </c>
      <c r="D405" t="s">
        <v>780</v>
      </c>
      <c r="E405" t="s">
        <v>2515</v>
      </c>
      <c r="F405" t="s">
        <v>2868</v>
      </c>
      <c r="J405" s="55" t="s">
        <v>4704</v>
      </c>
      <c r="K405" s="56" t="s">
        <v>3346</v>
      </c>
    </row>
    <row r="406" spans="1:11" x14ac:dyDescent="0.25">
      <c r="A406" t="s">
        <v>1567</v>
      </c>
      <c r="B406" s="51" t="s">
        <v>3342</v>
      </c>
      <c r="D406" t="s">
        <v>792</v>
      </c>
      <c r="E406" t="s">
        <v>2516</v>
      </c>
      <c r="F406" t="s">
        <v>2941</v>
      </c>
      <c r="J406" s="55" t="s">
        <v>4705</v>
      </c>
      <c r="K406" s="56" t="s">
        <v>3347</v>
      </c>
    </row>
    <row r="407" spans="1:11" x14ac:dyDescent="0.25">
      <c r="A407" t="s">
        <v>1784</v>
      </c>
      <c r="B407" s="51" t="s">
        <v>3343</v>
      </c>
      <c r="D407" t="s">
        <v>3170</v>
      </c>
      <c r="E407" t="s">
        <v>4276</v>
      </c>
      <c r="F407" t="s">
        <v>4167</v>
      </c>
      <c r="J407" s="55" t="s">
        <v>4706</v>
      </c>
      <c r="K407" s="56" t="s">
        <v>3348</v>
      </c>
    </row>
    <row r="408" spans="1:11" x14ac:dyDescent="0.25">
      <c r="A408" t="s">
        <v>1474</v>
      </c>
      <c r="B408" s="51" t="s">
        <v>3344</v>
      </c>
      <c r="D408" t="s">
        <v>3175</v>
      </c>
      <c r="E408" t="s">
        <v>4277</v>
      </c>
      <c r="F408" t="s">
        <v>4174</v>
      </c>
      <c r="J408" s="55" t="s">
        <v>4707</v>
      </c>
      <c r="K408" s="56" t="s">
        <v>3349</v>
      </c>
    </row>
    <row r="409" spans="1:11" x14ac:dyDescent="0.25">
      <c r="A409" t="s">
        <v>2281</v>
      </c>
      <c r="B409" s="51" t="s">
        <v>3345</v>
      </c>
      <c r="D409" t="s">
        <v>791</v>
      </c>
      <c r="E409" t="s">
        <v>2517</v>
      </c>
      <c r="F409" t="s">
        <v>2940</v>
      </c>
      <c r="J409" s="55" t="s">
        <v>4708</v>
      </c>
      <c r="K409" s="56" t="s">
        <v>3350</v>
      </c>
    </row>
    <row r="410" spans="1:11" x14ac:dyDescent="0.25">
      <c r="A410" t="s">
        <v>1785</v>
      </c>
      <c r="B410" s="51" t="s">
        <v>3346</v>
      </c>
      <c r="D410" t="s">
        <v>828</v>
      </c>
      <c r="E410" t="s">
        <v>2518</v>
      </c>
      <c r="F410" t="s">
        <v>2884</v>
      </c>
      <c r="J410" s="55" t="s">
        <v>4709</v>
      </c>
      <c r="K410" s="56" t="s">
        <v>3351</v>
      </c>
    </row>
    <row r="411" spans="1:11" x14ac:dyDescent="0.25">
      <c r="A411" t="s">
        <v>1925</v>
      </c>
      <c r="B411" s="51" t="s">
        <v>3347</v>
      </c>
      <c r="D411" t="s">
        <v>774</v>
      </c>
      <c r="E411" t="s">
        <v>2519</v>
      </c>
      <c r="F411" t="s">
        <v>2862</v>
      </c>
      <c r="J411" s="55" t="s">
        <v>4710</v>
      </c>
      <c r="K411" s="56" t="s">
        <v>3319</v>
      </c>
    </row>
    <row r="412" spans="1:11" x14ac:dyDescent="0.25">
      <c r="A412" t="s">
        <v>1462</v>
      </c>
      <c r="B412" s="51" t="s">
        <v>3348</v>
      </c>
      <c r="D412" t="s">
        <v>737</v>
      </c>
      <c r="E412" t="s">
        <v>2520</v>
      </c>
      <c r="F412" t="s">
        <v>2912</v>
      </c>
      <c r="J412" s="55" t="s">
        <v>4711</v>
      </c>
      <c r="K412" s="56" t="s">
        <v>3320</v>
      </c>
    </row>
    <row r="413" spans="1:11" x14ac:dyDescent="0.25">
      <c r="A413" t="s">
        <v>1463</v>
      </c>
      <c r="B413" s="51" t="s">
        <v>3349</v>
      </c>
      <c r="D413" t="s">
        <v>835</v>
      </c>
      <c r="E413" t="s">
        <v>2521</v>
      </c>
      <c r="F413" t="s">
        <v>2891</v>
      </c>
      <c r="J413" s="55" t="s">
        <v>4712</v>
      </c>
      <c r="K413" s="56" t="s">
        <v>4393</v>
      </c>
    </row>
    <row r="414" spans="1:11" x14ac:dyDescent="0.25">
      <c r="A414" t="s">
        <v>2039</v>
      </c>
      <c r="B414" s="51" t="s">
        <v>3350</v>
      </c>
      <c r="D414" t="s">
        <v>888</v>
      </c>
      <c r="E414" t="s">
        <v>2522</v>
      </c>
      <c r="F414" t="s">
        <v>2988</v>
      </c>
      <c r="J414" s="55" t="s">
        <v>4713</v>
      </c>
      <c r="K414" s="56" t="s">
        <v>4394</v>
      </c>
    </row>
    <row r="415" spans="1:11" x14ac:dyDescent="0.25">
      <c r="A415" t="s">
        <v>1568</v>
      </c>
      <c r="B415" s="51" t="s">
        <v>3351</v>
      </c>
      <c r="D415" t="s">
        <v>782</v>
      </c>
      <c r="E415" t="s">
        <v>2523</v>
      </c>
      <c r="F415" t="s">
        <v>2870</v>
      </c>
      <c r="J415" s="55" t="s">
        <v>4714</v>
      </c>
      <c r="K415" s="56" t="s">
        <v>4395</v>
      </c>
    </row>
    <row r="416" spans="1:11" x14ac:dyDescent="0.25">
      <c r="A416" t="s">
        <v>2276</v>
      </c>
      <c r="B416" s="51" t="s">
        <v>3352</v>
      </c>
      <c r="D416" s="134" t="s">
        <v>808</v>
      </c>
      <c r="E416" s="134" t="s">
        <v>2524</v>
      </c>
      <c r="F416" t="s">
        <v>2957</v>
      </c>
      <c r="J416" s="55" t="s">
        <v>4715</v>
      </c>
      <c r="K416" s="56" t="s">
        <v>4396</v>
      </c>
    </row>
    <row r="417" spans="1:11" x14ac:dyDescent="0.25">
      <c r="A417" t="s">
        <v>2045</v>
      </c>
      <c r="B417" s="51" t="s">
        <v>3353</v>
      </c>
      <c r="D417" t="s">
        <v>773</v>
      </c>
      <c r="E417" t="s">
        <v>2525</v>
      </c>
      <c r="F417" t="s">
        <v>2861</v>
      </c>
      <c r="J417" s="55" t="s">
        <v>4716</v>
      </c>
      <c r="K417" s="56" t="s">
        <v>4397</v>
      </c>
    </row>
    <row r="418" spans="1:11" x14ac:dyDescent="0.25">
      <c r="A418" t="s">
        <v>1929</v>
      </c>
      <c r="B418" s="51" t="s">
        <v>3354</v>
      </c>
      <c r="D418" t="s">
        <v>840</v>
      </c>
      <c r="E418" t="s">
        <v>2526</v>
      </c>
      <c r="F418" t="s">
        <v>2962</v>
      </c>
      <c r="J418" s="55" t="s">
        <v>4717</v>
      </c>
      <c r="K418" s="56" t="s">
        <v>4398</v>
      </c>
    </row>
    <row r="419" spans="1:11" x14ac:dyDescent="0.25">
      <c r="A419" t="s">
        <v>2052</v>
      </c>
      <c r="B419" s="51" t="s">
        <v>3355</v>
      </c>
      <c r="D419" t="s">
        <v>809</v>
      </c>
      <c r="E419" t="s">
        <v>2527</v>
      </c>
      <c r="F419" t="s">
        <v>2871</v>
      </c>
      <c r="J419" s="55" t="s">
        <v>4718</v>
      </c>
      <c r="K419" s="56" t="s">
        <v>3355</v>
      </c>
    </row>
    <row r="420" spans="1:11" x14ac:dyDescent="0.25">
      <c r="A420" t="s">
        <v>1473</v>
      </c>
      <c r="B420" s="51" t="s">
        <v>3356</v>
      </c>
      <c r="D420" t="s">
        <v>841</v>
      </c>
      <c r="E420" t="s">
        <v>2528</v>
      </c>
      <c r="F420" t="s">
        <v>2963</v>
      </c>
      <c r="J420" s="55" t="s">
        <v>4719</v>
      </c>
      <c r="K420" s="56" t="s">
        <v>3356</v>
      </c>
    </row>
    <row r="421" spans="1:11" x14ac:dyDescent="0.25">
      <c r="A421" t="s">
        <v>1409</v>
      </c>
      <c r="B421" s="51" t="s">
        <v>3357</v>
      </c>
      <c r="D421" t="s">
        <v>4222</v>
      </c>
      <c r="E421" t="s">
        <v>4278</v>
      </c>
      <c r="F421" t="s">
        <v>4304</v>
      </c>
      <c r="J421" s="55" t="s">
        <v>4720</v>
      </c>
      <c r="K421" s="56" t="s">
        <v>3357</v>
      </c>
    </row>
    <row r="422" spans="1:11" x14ac:dyDescent="0.25">
      <c r="A422" t="s">
        <v>1745</v>
      </c>
      <c r="B422" s="51" t="s">
        <v>3358</v>
      </c>
      <c r="D422" s="134" t="s">
        <v>743</v>
      </c>
      <c r="E422" s="134" t="s">
        <v>2529</v>
      </c>
      <c r="F422" t="s">
        <v>2918</v>
      </c>
      <c r="J422" s="55" t="s">
        <v>4721</v>
      </c>
      <c r="K422" s="56" t="s">
        <v>3358</v>
      </c>
    </row>
    <row r="423" spans="1:11" x14ac:dyDescent="0.25">
      <c r="A423" t="s">
        <v>2185</v>
      </c>
      <c r="B423" s="51" t="s">
        <v>3359</v>
      </c>
      <c r="D423" t="s">
        <v>744</v>
      </c>
      <c r="E423" t="s">
        <v>2530</v>
      </c>
      <c r="F423" t="s">
        <v>2919</v>
      </c>
      <c r="J423" s="55" t="s">
        <v>4722</v>
      </c>
      <c r="K423" s="56" t="s">
        <v>3359</v>
      </c>
    </row>
    <row r="424" spans="1:11" x14ac:dyDescent="0.25">
      <c r="A424" t="s">
        <v>2115</v>
      </c>
      <c r="B424" s="51" t="s">
        <v>3360</v>
      </c>
      <c r="D424" t="s">
        <v>4230</v>
      </c>
      <c r="E424" t="s">
        <v>4279</v>
      </c>
      <c r="F424" t="s">
        <v>4305</v>
      </c>
      <c r="J424" s="55" t="s">
        <v>4723</v>
      </c>
      <c r="K424" s="56" t="s">
        <v>3360</v>
      </c>
    </row>
    <row r="425" spans="1:11" x14ac:dyDescent="0.25">
      <c r="A425" t="s">
        <v>2248</v>
      </c>
      <c r="B425" s="51" t="s">
        <v>3361</v>
      </c>
      <c r="D425" t="s">
        <v>842</v>
      </c>
      <c r="E425" t="s">
        <v>2531</v>
      </c>
      <c r="F425" t="s">
        <v>2964</v>
      </c>
      <c r="J425" s="55" t="s">
        <v>4724</v>
      </c>
      <c r="K425" s="56" t="s">
        <v>3362</v>
      </c>
    </row>
    <row r="426" spans="1:11" x14ac:dyDescent="0.25">
      <c r="A426" t="s">
        <v>1536</v>
      </c>
      <c r="B426" s="51" t="s">
        <v>3362</v>
      </c>
      <c r="D426" t="s">
        <v>844</v>
      </c>
      <c r="E426" t="s">
        <v>2532</v>
      </c>
      <c r="F426" t="s">
        <v>2966</v>
      </c>
      <c r="J426" s="55" t="s">
        <v>4725</v>
      </c>
      <c r="K426" s="56" t="s">
        <v>3363</v>
      </c>
    </row>
    <row r="427" spans="1:11" x14ac:dyDescent="0.25">
      <c r="A427" t="s">
        <v>2016</v>
      </c>
      <c r="B427" s="51" t="s">
        <v>3363</v>
      </c>
      <c r="D427" t="s">
        <v>823</v>
      </c>
      <c r="E427" t="s">
        <v>2533</v>
      </c>
      <c r="F427" t="s">
        <v>2880</v>
      </c>
      <c r="J427" s="55" t="s">
        <v>4726</v>
      </c>
      <c r="K427" s="56" t="s">
        <v>3364</v>
      </c>
    </row>
    <row r="428" spans="1:11" x14ac:dyDescent="0.25">
      <c r="A428" t="s">
        <v>1628</v>
      </c>
      <c r="B428" s="51" t="s">
        <v>3364</v>
      </c>
      <c r="D428" t="s">
        <v>843</v>
      </c>
      <c r="E428" t="s">
        <v>2534</v>
      </c>
      <c r="F428" t="s">
        <v>2965</v>
      </c>
      <c r="J428" s="55" t="s">
        <v>4727</v>
      </c>
      <c r="K428" s="56" t="s">
        <v>3367</v>
      </c>
    </row>
    <row r="429" spans="1:11" x14ac:dyDescent="0.25">
      <c r="A429" t="s">
        <v>1899</v>
      </c>
      <c r="B429" s="51" t="s">
        <v>3365</v>
      </c>
      <c r="D429" t="s">
        <v>3182</v>
      </c>
      <c r="E429" t="s">
        <v>3192</v>
      </c>
      <c r="F429" t="s">
        <v>4182</v>
      </c>
      <c r="J429" s="55" t="s">
        <v>4728</v>
      </c>
      <c r="K429" s="56" t="s">
        <v>3368</v>
      </c>
    </row>
    <row r="430" spans="1:11" x14ac:dyDescent="0.25">
      <c r="A430" t="s">
        <v>1523</v>
      </c>
      <c r="B430" s="51" t="s">
        <v>3366</v>
      </c>
      <c r="D430" t="s">
        <v>845</v>
      </c>
      <c r="E430" t="s">
        <v>2535</v>
      </c>
      <c r="F430" t="s">
        <v>2967</v>
      </c>
      <c r="J430" s="55" t="s">
        <v>4729</v>
      </c>
      <c r="K430" s="56" t="s">
        <v>3369</v>
      </c>
    </row>
    <row r="431" spans="1:11" x14ac:dyDescent="0.25">
      <c r="A431" t="s">
        <v>2067</v>
      </c>
      <c r="B431" s="51" t="s">
        <v>3367</v>
      </c>
      <c r="D431" t="s">
        <v>753</v>
      </c>
      <c r="E431" t="s">
        <v>2536</v>
      </c>
      <c r="F431" t="s">
        <v>2928</v>
      </c>
      <c r="J431" s="55" t="s">
        <v>4730</v>
      </c>
      <c r="K431" s="56" t="s">
        <v>3370</v>
      </c>
    </row>
    <row r="432" spans="1:11" x14ac:dyDescent="0.25">
      <c r="A432" t="s">
        <v>1845</v>
      </c>
      <c r="B432" s="51" t="s">
        <v>3368</v>
      </c>
      <c r="D432" t="s">
        <v>846</v>
      </c>
      <c r="E432" t="s">
        <v>2537</v>
      </c>
      <c r="F432" t="s">
        <v>2968</v>
      </c>
      <c r="J432" s="55" t="s">
        <v>4731</v>
      </c>
      <c r="K432" s="56" t="s">
        <v>3371</v>
      </c>
    </row>
    <row r="433" spans="1:11" x14ac:dyDescent="0.25">
      <c r="A433" t="s">
        <v>1619</v>
      </c>
      <c r="B433" s="51" t="s">
        <v>3369</v>
      </c>
      <c r="D433" t="s">
        <v>752</v>
      </c>
      <c r="E433" t="s">
        <v>2538</v>
      </c>
      <c r="F433" t="s">
        <v>2927</v>
      </c>
      <c r="J433" s="55" t="s">
        <v>4732</v>
      </c>
      <c r="K433" s="56" t="s">
        <v>3372</v>
      </c>
    </row>
    <row r="434" spans="1:11" x14ac:dyDescent="0.25">
      <c r="A434" t="s">
        <v>1496</v>
      </c>
      <c r="B434" s="51" t="s">
        <v>3370</v>
      </c>
      <c r="D434" t="s">
        <v>847</v>
      </c>
      <c r="E434" t="s">
        <v>2539</v>
      </c>
      <c r="F434" t="s">
        <v>2969</v>
      </c>
      <c r="J434" s="55" t="s">
        <v>4733</v>
      </c>
      <c r="K434" s="56" t="s">
        <v>3373</v>
      </c>
    </row>
    <row r="435" spans="1:11" x14ac:dyDescent="0.25">
      <c r="A435" t="s">
        <v>1566</v>
      </c>
      <c r="B435" s="51" t="s">
        <v>3371</v>
      </c>
      <c r="D435" t="s">
        <v>4214</v>
      </c>
      <c r="E435" t="s">
        <v>4280</v>
      </c>
      <c r="F435" t="s">
        <v>4306</v>
      </c>
      <c r="J435" s="55" t="s">
        <v>4734</v>
      </c>
      <c r="K435" s="56" t="s">
        <v>3374</v>
      </c>
    </row>
    <row r="436" spans="1:11" x14ac:dyDescent="0.25">
      <c r="A436" t="s">
        <v>2265</v>
      </c>
      <c r="B436" s="51" t="s">
        <v>3372</v>
      </c>
      <c r="D436" t="s">
        <v>3173</v>
      </c>
      <c r="E436" t="s">
        <v>3188</v>
      </c>
      <c r="F436" t="s">
        <v>4170</v>
      </c>
      <c r="J436" s="55" t="s">
        <v>4735</v>
      </c>
      <c r="K436" s="56" t="s">
        <v>3376</v>
      </c>
    </row>
    <row r="437" spans="1:11" ht="15.75" x14ac:dyDescent="0.25">
      <c r="A437" t="s">
        <v>1783</v>
      </c>
      <c r="B437" s="51" t="s">
        <v>3373</v>
      </c>
      <c r="D437" s="135" t="s">
        <v>848</v>
      </c>
      <c r="E437" s="134" t="s">
        <v>2540</v>
      </c>
      <c r="F437" t="s">
        <v>2970</v>
      </c>
      <c r="J437" s="55" t="s">
        <v>4736</v>
      </c>
      <c r="K437" s="56" t="s">
        <v>3377</v>
      </c>
    </row>
    <row r="438" spans="1:11" x14ac:dyDescent="0.25">
      <c r="A438" t="s">
        <v>2040</v>
      </c>
      <c r="B438" s="51" t="s">
        <v>3374</v>
      </c>
      <c r="D438" t="s">
        <v>849</v>
      </c>
      <c r="E438" t="s">
        <v>2541</v>
      </c>
      <c r="F438" t="s">
        <v>2971</v>
      </c>
      <c r="J438" s="55" t="s">
        <v>4737</v>
      </c>
      <c r="K438" s="56" t="s">
        <v>3378</v>
      </c>
    </row>
    <row r="439" spans="1:11" x14ac:dyDescent="0.25">
      <c r="A439" t="s">
        <v>2242</v>
      </c>
      <c r="B439" s="51" t="s">
        <v>3375</v>
      </c>
      <c r="D439" t="s">
        <v>850</v>
      </c>
      <c r="E439" t="s">
        <v>2542</v>
      </c>
      <c r="F439" t="s">
        <v>2972</v>
      </c>
      <c r="J439" s="55" t="s">
        <v>4738</v>
      </c>
      <c r="K439" s="56" t="s">
        <v>3379</v>
      </c>
    </row>
    <row r="440" spans="1:11" x14ac:dyDescent="0.25">
      <c r="A440" t="s">
        <v>2129</v>
      </c>
      <c r="B440" s="51" t="s">
        <v>3376</v>
      </c>
      <c r="D440" t="s">
        <v>4223</v>
      </c>
      <c r="E440" t="s">
        <v>4281</v>
      </c>
      <c r="F440" t="s">
        <v>4172</v>
      </c>
      <c r="J440" s="55" t="s">
        <v>4739</v>
      </c>
      <c r="K440" s="56" t="s">
        <v>3380</v>
      </c>
    </row>
    <row r="441" spans="1:11" x14ac:dyDescent="0.25">
      <c r="A441" t="s">
        <v>1548</v>
      </c>
      <c r="B441" s="51" t="s">
        <v>3377</v>
      </c>
      <c r="D441" t="s">
        <v>866</v>
      </c>
      <c r="E441" t="s">
        <v>2543</v>
      </c>
      <c r="F441" t="s">
        <v>2895</v>
      </c>
      <c r="J441" s="55" t="s">
        <v>4740</v>
      </c>
      <c r="K441" s="56" t="s">
        <v>3381</v>
      </c>
    </row>
    <row r="442" spans="1:11" x14ac:dyDescent="0.25">
      <c r="A442" t="s">
        <v>1550</v>
      </c>
      <c r="B442" s="51" t="s">
        <v>3378</v>
      </c>
      <c r="D442" t="s">
        <v>708</v>
      </c>
      <c r="E442" t="s">
        <v>2544</v>
      </c>
      <c r="F442" t="s">
        <v>2821</v>
      </c>
      <c r="J442" s="55" t="s">
        <v>4741</v>
      </c>
      <c r="K442" s="56" t="s">
        <v>3354</v>
      </c>
    </row>
    <row r="443" spans="1:11" x14ac:dyDescent="0.25">
      <c r="A443" t="s">
        <v>1458</v>
      </c>
      <c r="B443" s="51" t="s">
        <v>3379</v>
      </c>
      <c r="D443" t="s">
        <v>739</v>
      </c>
      <c r="E443" t="s">
        <v>2545</v>
      </c>
      <c r="F443" t="s">
        <v>2914</v>
      </c>
      <c r="J443" s="55" t="s">
        <v>4742</v>
      </c>
      <c r="K443" s="56" t="s">
        <v>4399</v>
      </c>
    </row>
    <row r="444" spans="1:11" x14ac:dyDescent="0.25">
      <c r="A444" t="s">
        <v>2138</v>
      </c>
      <c r="B444" s="51" t="s">
        <v>3380</v>
      </c>
      <c r="D444" t="s">
        <v>783</v>
      </c>
      <c r="E444" t="s">
        <v>2546</v>
      </c>
      <c r="F444" t="s">
        <v>2932</v>
      </c>
      <c r="J444" s="55" t="s">
        <v>4743</v>
      </c>
      <c r="K444" s="56" t="s">
        <v>4400</v>
      </c>
    </row>
    <row r="445" spans="1:11" ht="15.75" x14ac:dyDescent="0.25">
      <c r="A445" t="s">
        <v>2145</v>
      </c>
      <c r="B445" s="51" t="s">
        <v>3381</v>
      </c>
      <c r="D445" s="135" t="s">
        <v>875</v>
      </c>
      <c r="E445" s="134" t="s">
        <v>2547</v>
      </c>
      <c r="F445" t="s">
        <v>2904</v>
      </c>
      <c r="J445" s="55" t="s">
        <v>4744</v>
      </c>
      <c r="K445" s="56" t="s">
        <v>4401</v>
      </c>
    </row>
    <row r="446" spans="1:11" x14ac:dyDescent="0.25">
      <c r="A446" t="s">
        <v>1804</v>
      </c>
      <c r="B446" s="51" t="s">
        <v>3382</v>
      </c>
      <c r="D446" t="s">
        <v>831</v>
      </c>
      <c r="E446" t="s">
        <v>2548</v>
      </c>
      <c r="F446" t="s">
        <v>2887</v>
      </c>
      <c r="J446" s="55" t="s">
        <v>4745</v>
      </c>
      <c r="K446" s="56" t="s">
        <v>4402</v>
      </c>
    </row>
    <row r="447" spans="1:11" x14ac:dyDescent="0.25">
      <c r="A447" t="s">
        <v>1707</v>
      </c>
      <c r="B447" s="51" t="s">
        <v>3383</v>
      </c>
      <c r="D447" t="s">
        <v>810</v>
      </c>
      <c r="E447" t="s">
        <v>2549</v>
      </c>
      <c r="F447" t="s">
        <v>4307</v>
      </c>
      <c r="J447" s="55" t="s">
        <v>4746</v>
      </c>
      <c r="K447" s="56" t="s">
        <v>3383</v>
      </c>
    </row>
    <row r="448" spans="1:11" x14ac:dyDescent="0.25">
      <c r="A448" t="s">
        <v>1735</v>
      </c>
      <c r="B448" s="51" t="s">
        <v>3384</v>
      </c>
      <c r="D448" t="s">
        <v>811</v>
      </c>
      <c r="E448" t="s">
        <v>2550</v>
      </c>
      <c r="F448" t="s">
        <v>4308</v>
      </c>
      <c r="J448" s="55" t="s">
        <v>4747</v>
      </c>
      <c r="K448" s="56" t="s">
        <v>3384</v>
      </c>
    </row>
    <row r="449" spans="1:11" x14ac:dyDescent="0.25">
      <c r="A449" t="s">
        <v>2072</v>
      </c>
      <c r="B449" s="51" t="s">
        <v>3385</v>
      </c>
      <c r="D449" s="134" t="s">
        <v>855</v>
      </c>
      <c r="E449" s="134" t="s">
        <v>2551</v>
      </c>
      <c r="F449" t="s">
        <v>4309</v>
      </c>
      <c r="J449" s="55" t="s">
        <v>4748</v>
      </c>
      <c r="K449" s="56" t="s">
        <v>3385</v>
      </c>
    </row>
    <row r="450" spans="1:11" x14ac:dyDescent="0.25">
      <c r="A450" t="s">
        <v>2100</v>
      </c>
      <c r="B450" s="51" t="s">
        <v>3386</v>
      </c>
      <c r="D450" t="s">
        <v>820</v>
      </c>
      <c r="E450" t="s">
        <v>2552</v>
      </c>
      <c r="F450" t="s">
        <v>4310</v>
      </c>
      <c r="J450" s="55" t="s">
        <v>4749</v>
      </c>
      <c r="K450" s="56" t="s">
        <v>3386</v>
      </c>
    </row>
    <row r="451" spans="1:11" x14ac:dyDescent="0.25">
      <c r="A451" t="s">
        <v>1422</v>
      </c>
      <c r="B451" s="51" t="s">
        <v>3387</v>
      </c>
      <c r="D451" t="s">
        <v>864</v>
      </c>
      <c r="E451" t="s">
        <v>2553</v>
      </c>
      <c r="F451" t="s">
        <v>2893</v>
      </c>
      <c r="J451" s="55" t="s">
        <v>4750</v>
      </c>
      <c r="K451" s="56" t="s">
        <v>3387</v>
      </c>
    </row>
    <row r="452" spans="1:11" x14ac:dyDescent="0.25">
      <c r="A452" t="s">
        <v>1445</v>
      </c>
      <c r="B452" s="51" t="s">
        <v>3388</v>
      </c>
      <c r="D452" t="s">
        <v>3168</v>
      </c>
      <c r="E452" t="s">
        <v>3184</v>
      </c>
      <c r="F452" t="s">
        <v>4165</v>
      </c>
      <c r="J452" s="55" t="s">
        <v>4751</v>
      </c>
      <c r="K452" s="56" t="s">
        <v>3388</v>
      </c>
    </row>
    <row r="453" spans="1:11" x14ac:dyDescent="0.25">
      <c r="A453" t="s">
        <v>2106</v>
      </c>
      <c r="B453" s="51" t="s">
        <v>3389</v>
      </c>
      <c r="D453" s="134" t="s">
        <v>814</v>
      </c>
      <c r="E453" s="134" t="s">
        <v>2554</v>
      </c>
      <c r="F453" t="s">
        <v>2873</v>
      </c>
      <c r="J453" s="55" t="s">
        <v>4752</v>
      </c>
      <c r="K453" s="56" t="s">
        <v>3389</v>
      </c>
    </row>
    <row r="454" spans="1:11" x14ac:dyDescent="0.25">
      <c r="A454" t="s">
        <v>1586</v>
      </c>
      <c r="B454" s="51" t="s">
        <v>3390</v>
      </c>
      <c r="D454" s="91" t="s">
        <v>834</v>
      </c>
      <c r="E454" t="s">
        <v>2555</v>
      </c>
      <c r="F454" t="s">
        <v>2890</v>
      </c>
      <c r="J454" s="55" t="s">
        <v>4753</v>
      </c>
      <c r="K454" s="56" t="s">
        <v>3610</v>
      </c>
    </row>
    <row r="455" spans="1:11" x14ac:dyDescent="0.25">
      <c r="A455" t="s">
        <v>1952</v>
      </c>
      <c r="B455" s="51" t="s">
        <v>3391</v>
      </c>
      <c r="D455" s="91" t="s">
        <v>815</v>
      </c>
      <c r="E455" t="s">
        <v>2556</v>
      </c>
      <c r="F455" t="s">
        <v>2874</v>
      </c>
      <c r="J455" s="55" t="s">
        <v>4754</v>
      </c>
      <c r="K455" s="56" t="s">
        <v>3391</v>
      </c>
    </row>
    <row r="456" spans="1:11" x14ac:dyDescent="0.25">
      <c r="A456" t="s">
        <v>1633</v>
      </c>
      <c r="B456" s="51" t="s">
        <v>3392</v>
      </c>
      <c r="D456" s="136" t="s">
        <v>755</v>
      </c>
      <c r="E456" s="134" t="s">
        <v>2557</v>
      </c>
      <c r="F456" t="s">
        <v>2930</v>
      </c>
      <c r="J456" s="55" t="s">
        <v>4755</v>
      </c>
      <c r="K456" s="56" t="s">
        <v>3393</v>
      </c>
    </row>
    <row r="457" spans="1:11" x14ac:dyDescent="0.25">
      <c r="A457" t="s">
        <v>1760</v>
      </c>
      <c r="B457" s="51" t="s">
        <v>3393</v>
      </c>
      <c r="D457" s="91" t="s">
        <v>785</v>
      </c>
      <c r="E457" t="s">
        <v>2558</v>
      </c>
      <c r="F457" t="s">
        <v>2934</v>
      </c>
      <c r="J457" s="55" t="s">
        <v>4756</v>
      </c>
      <c r="K457" s="56" t="s">
        <v>3352</v>
      </c>
    </row>
    <row r="458" spans="1:11" x14ac:dyDescent="0.25">
      <c r="A458" t="s">
        <v>1640</v>
      </c>
      <c r="B458" s="51" t="s">
        <v>3394</v>
      </c>
      <c r="C458" t="s">
        <v>136</v>
      </c>
      <c r="D458" s="91" t="s">
        <v>851</v>
      </c>
      <c r="E458" t="s">
        <v>2559</v>
      </c>
      <c r="F458" t="s">
        <v>2973</v>
      </c>
      <c r="J458" s="55" t="s">
        <v>4757</v>
      </c>
      <c r="K458" s="56" t="s">
        <v>3394</v>
      </c>
    </row>
    <row r="459" spans="1:11" x14ac:dyDescent="0.25">
      <c r="A459" t="s">
        <v>1727</v>
      </c>
      <c r="B459" s="51" t="s">
        <v>3395</v>
      </c>
      <c r="C459" t="s">
        <v>1155</v>
      </c>
      <c r="D459" s="91" t="s">
        <v>711</v>
      </c>
      <c r="E459" t="s">
        <v>2560</v>
      </c>
      <c r="F459" t="s">
        <v>2824</v>
      </c>
      <c r="J459" s="55" t="s">
        <v>4758</v>
      </c>
      <c r="K459" s="56" t="s">
        <v>3395</v>
      </c>
    </row>
    <row r="460" spans="1:11" x14ac:dyDescent="0.25">
      <c r="A460" t="s">
        <v>1604</v>
      </c>
      <c r="B460" s="51" t="s">
        <v>3396</v>
      </c>
      <c r="C460" t="s">
        <v>1156</v>
      </c>
      <c r="D460" t="s">
        <v>3172</v>
      </c>
      <c r="E460" t="s">
        <v>3187</v>
      </c>
      <c r="F460" t="s">
        <v>4169</v>
      </c>
      <c r="J460" s="55" t="s">
        <v>4759</v>
      </c>
      <c r="K460" s="56" t="s">
        <v>3396</v>
      </c>
    </row>
    <row r="461" spans="1:11" x14ac:dyDescent="0.25">
      <c r="A461" t="s">
        <v>1654</v>
      </c>
      <c r="B461" s="51" t="s">
        <v>3397</v>
      </c>
      <c r="C461" t="s">
        <v>1157</v>
      </c>
      <c r="D461" t="s">
        <v>852</v>
      </c>
      <c r="E461" t="s">
        <v>2561</v>
      </c>
      <c r="F461" t="s">
        <v>2974</v>
      </c>
      <c r="J461" s="55" t="s">
        <v>4760</v>
      </c>
      <c r="K461" s="56" t="s">
        <v>3397</v>
      </c>
    </row>
    <row r="462" spans="1:11" x14ac:dyDescent="0.25">
      <c r="A462" t="s">
        <v>1780</v>
      </c>
      <c r="B462" s="51" t="s">
        <v>3398</v>
      </c>
      <c r="C462" t="s">
        <v>1158</v>
      </c>
      <c r="D462" t="s">
        <v>853</v>
      </c>
      <c r="E462" t="s">
        <v>2562</v>
      </c>
      <c r="F462" t="s">
        <v>2975</v>
      </c>
      <c r="J462" s="55" t="s">
        <v>4761</v>
      </c>
      <c r="K462" s="56" t="s">
        <v>3398</v>
      </c>
    </row>
    <row r="463" spans="1:11" ht="15.75" x14ac:dyDescent="0.25">
      <c r="A463" t="s">
        <v>2127</v>
      </c>
      <c r="B463" s="51" t="s">
        <v>3399</v>
      </c>
      <c r="C463" t="s">
        <v>1159</v>
      </c>
      <c r="D463" s="135" t="s">
        <v>818</v>
      </c>
      <c r="E463" s="134" t="s">
        <v>2563</v>
      </c>
      <c r="F463" t="s">
        <v>2876</v>
      </c>
      <c r="J463" s="55" t="s">
        <v>4762</v>
      </c>
      <c r="K463" s="56" t="s">
        <v>3400</v>
      </c>
    </row>
    <row r="464" spans="1:11" x14ac:dyDescent="0.25">
      <c r="A464" t="s">
        <v>1795</v>
      </c>
      <c r="B464" s="51" t="s">
        <v>3400</v>
      </c>
      <c r="C464" t="s">
        <v>1160</v>
      </c>
      <c r="D464" t="s">
        <v>3176</v>
      </c>
      <c r="E464" t="s">
        <v>3189</v>
      </c>
      <c r="F464" t="s">
        <v>4175</v>
      </c>
      <c r="J464" s="55" t="s">
        <v>4763</v>
      </c>
      <c r="K464" s="56" t="s">
        <v>3401</v>
      </c>
    </row>
    <row r="465" spans="1:11" x14ac:dyDescent="0.25">
      <c r="A465" t="s">
        <v>2137</v>
      </c>
      <c r="B465" s="51" t="s">
        <v>3401</v>
      </c>
      <c r="C465" t="s">
        <v>1161</v>
      </c>
      <c r="D465" s="134" t="s">
        <v>819</v>
      </c>
      <c r="E465" s="134" t="s">
        <v>2564</v>
      </c>
      <c r="F465" t="s">
        <v>2877</v>
      </c>
      <c r="J465" s="55" t="s">
        <v>4764</v>
      </c>
      <c r="K465" s="56" t="s">
        <v>3353</v>
      </c>
    </row>
    <row r="466" spans="1:11" x14ac:dyDescent="0.25">
      <c r="A466" t="s">
        <v>2252</v>
      </c>
      <c r="B466" s="51" t="s">
        <v>3402</v>
      </c>
      <c r="C466" t="s">
        <v>1162</v>
      </c>
      <c r="D466" s="134" t="s">
        <v>816</v>
      </c>
      <c r="E466" s="134" t="s">
        <v>816</v>
      </c>
      <c r="F466" t="s">
        <v>4311</v>
      </c>
      <c r="J466" s="55" t="s">
        <v>4765</v>
      </c>
      <c r="K466" s="56" t="s">
        <v>3407</v>
      </c>
    </row>
    <row r="467" spans="1:11" x14ac:dyDescent="0.25">
      <c r="A467" t="s">
        <v>2226</v>
      </c>
      <c r="B467" s="51" t="s">
        <v>3403</v>
      </c>
      <c r="C467" t="s">
        <v>1163</v>
      </c>
      <c r="D467" t="s">
        <v>786</v>
      </c>
      <c r="E467" t="s">
        <v>2565</v>
      </c>
      <c r="F467" t="s">
        <v>2935</v>
      </c>
      <c r="J467" s="55" t="s">
        <v>4766</v>
      </c>
      <c r="K467" s="56" t="s">
        <v>3421</v>
      </c>
    </row>
    <row r="468" spans="1:11" x14ac:dyDescent="0.25">
      <c r="A468" t="s">
        <v>1968</v>
      </c>
      <c r="B468" s="51" t="s">
        <v>3404</v>
      </c>
      <c r="C468" t="s">
        <v>1164</v>
      </c>
      <c r="D468" s="91" t="s">
        <v>4219</v>
      </c>
      <c r="E468" t="s">
        <v>4282</v>
      </c>
      <c r="F468" t="s">
        <v>4171</v>
      </c>
      <c r="J468" s="55" t="s">
        <v>4767</v>
      </c>
      <c r="K468" s="56" t="s">
        <v>3423</v>
      </c>
    </row>
    <row r="469" spans="1:11" x14ac:dyDescent="0.25">
      <c r="A469" t="s">
        <v>1415</v>
      </c>
      <c r="B469" s="51" t="s">
        <v>3405</v>
      </c>
      <c r="C469" t="s">
        <v>1165</v>
      </c>
      <c r="D469" s="91" t="s">
        <v>817</v>
      </c>
      <c r="E469" t="s">
        <v>2566</v>
      </c>
      <c r="F469" t="s">
        <v>2875</v>
      </c>
      <c r="J469" s="55" t="s">
        <v>4768</v>
      </c>
      <c r="K469" s="56" t="s">
        <v>3425</v>
      </c>
    </row>
    <row r="470" spans="1:11" x14ac:dyDescent="0.25">
      <c r="A470" t="s">
        <v>2114</v>
      </c>
      <c r="B470" s="51" t="s">
        <v>3406</v>
      </c>
      <c r="C470" t="s">
        <v>1166</v>
      </c>
      <c r="D470" t="s">
        <v>827</v>
      </c>
      <c r="E470" t="s">
        <v>2567</v>
      </c>
      <c r="F470" t="s">
        <v>2883</v>
      </c>
      <c r="J470" s="55" t="s">
        <v>4769</v>
      </c>
      <c r="K470" s="56" t="s">
        <v>3402</v>
      </c>
    </row>
    <row r="471" spans="1:11" x14ac:dyDescent="0.25">
      <c r="A471" t="s">
        <v>1506</v>
      </c>
      <c r="B471" s="51" t="s">
        <v>3407</v>
      </c>
      <c r="C471" t="s">
        <v>1167</v>
      </c>
      <c r="D471" t="s">
        <v>709</v>
      </c>
      <c r="E471" t="s">
        <v>2568</v>
      </c>
      <c r="F471" t="s">
        <v>2822</v>
      </c>
      <c r="J471" s="55" t="s">
        <v>4770</v>
      </c>
      <c r="K471" s="56" t="s">
        <v>3403</v>
      </c>
    </row>
    <row r="472" spans="1:11" x14ac:dyDescent="0.25">
      <c r="A472" t="s">
        <v>1973</v>
      </c>
      <c r="B472" s="51" t="s">
        <v>3408</v>
      </c>
      <c r="C472" t="s">
        <v>1168</v>
      </c>
      <c r="D472" t="s">
        <v>882</v>
      </c>
      <c r="E472" t="s">
        <v>2569</v>
      </c>
      <c r="F472" t="s">
        <v>2986</v>
      </c>
      <c r="J472" s="55" t="s">
        <v>4771</v>
      </c>
      <c r="K472" s="56" t="s">
        <v>3404</v>
      </c>
    </row>
    <row r="473" spans="1:11" x14ac:dyDescent="0.25">
      <c r="A473" t="s">
        <v>1412</v>
      </c>
      <c r="B473" s="51" t="s">
        <v>3409</v>
      </c>
      <c r="C473" t="s">
        <v>1169</v>
      </c>
      <c r="D473" t="s">
        <v>821</v>
      </c>
      <c r="E473" t="s">
        <v>2570</v>
      </c>
      <c r="F473" t="s">
        <v>2878</v>
      </c>
      <c r="J473" s="55" t="s">
        <v>4772</v>
      </c>
      <c r="K473" s="56" t="s">
        <v>3409</v>
      </c>
    </row>
    <row r="474" spans="1:11" x14ac:dyDescent="0.25">
      <c r="A474" t="s">
        <v>1397</v>
      </c>
      <c r="B474" s="51" t="s">
        <v>3410</v>
      </c>
      <c r="C474" t="s">
        <v>1170</v>
      </c>
      <c r="D474" t="s">
        <v>883</v>
      </c>
      <c r="E474" t="s">
        <v>2571</v>
      </c>
      <c r="F474" t="s">
        <v>2987</v>
      </c>
      <c r="J474" s="55" t="s">
        <v>4773</v>
      </c>
      <c r="K474" s="56" t="s">
        <v>3410</v>
      </c>
    </row>
    <row r="475" spans="1:11" x14ac:dyDescent="0.25">
      <c r="A475" t="s">
        <v>1714</v>
      </c>
      <c r="B475" s="51" t="s">
        <v>3411</v>
      </c>
      <c r="C475" t="s">
        <v>1171</v>
      </c>
      <c r="D475" t="s">
        <v>822</v>
      </c>
      <c r="E475" t="s">
        <v>2572</v>
      </c>
      <c r="F475" t="s">
        <v>2879</v>
      </c>
      <c r="J475" s="55" t="s">
        <v>4774</v>
      </c>
      <c r="K475" s="56" t="s">
        <v>3412</v>
      </c>
    </row>
    <row r="476" spans="1:11" x14ac:dyDescent="0.25">
      <c r="A476" t="s">
        <v>2199</v>
      </c>
      <c r="B476" s="51" t="s">
        <v>3412</v>
      </c>
      <c r="C476" t="s">
        <v>1172</v>
      </c>
      <c r="D476" t="s">
        <v>813</v>
      </c>
      <c r="E476" t="s">
        <v>2573</v>
      </c>
      <c r="F476" t="s">
        <v>4312</v>
      </c>
      <c r="J476" s="55" t="s">
        <v>4775</v>
      </c>
      <c r="K476" s="56" t="s">
        <v>3413</v>
      </c>
    </row>
    <row r="477" spans="1:11" x14ac:dyDescent="0.25">
      <c r="A477" t="s">
        <v>1499</v>
      </c>
      <c r="B477" s="51" t="s">
        <v>3413</v>
      </c>
      <c r="C477" t="s">
        <v>1173</v>
      </c>
      <c r="D477" t="s">
        <v>3180</v>
      </c>
      <c r="E477" t="s">
        <v>3191</v>
      </c>
      <c r="F477" t="s">
        <v>4179</v>
      </c>
      <c r="J477" s="55" t="s">
        <v>4776</v>
      </c>
      <c r="K477" s="56" t="s">
        <v>3414</v>
      </c>
    </row>
    <row r="478" spans="1:11" x14ac:dyDescent="0.25">
      <c r="A478" t="s">
        <v>1652</v>
      </c>
      <c r="B478" s="51" t="s">
        <v>3414</v>
      </c>
      <c r="C478" t="s">
        <v>1174</v>
      </c>
      <c r="D478" t="s">
        <v>4228</v>
      </c>
      <c r="E478" t="s">
        <v>4283</v>
      </c>
      <c r="F478" t="s">
        <v>4313</v>
      </c>
      <c r="J478" s="55" t="s">
        <v>4777</v>
      </c>
      <c r="K478" s="56" t="s">
        <v>3416</v>
      </c>
    </row>
    <row r="479" spans="1:11" x14ac:dyDescent="0.25">
      <c r="A479" t="s">
        <v>2235</v>
      </c>
      <c r="B479" s="51" t="s">
        <v>3415</v>
      </c>
      <c r="C479" t="s">
        <v>1175</v>
      </c>
      <c r="D479" t="s">
        <v>884</v>
      </c>
      <c r="E479" t="s">
        <v>2574</v>
      </c>
      <c r="F479" t="s">
        <v>4314</v>
      </c>
      <c r="J479" s="55" t="s">
        <v>4778</v>
      </c>
      <c r="K479" s="56" t="s">
        <v>3417</v>
      </c>
    </row>
    <row r="480" spans="1:11" x14ac:dyDescent="0.25">
      <c r="A480" t="s">
        <v>1627</v>
      </c>
      <c r="B480" s="51" t="s">
        <v>3416</v>
      </c>
      <c r="C480" t="s">
        <v>1176</v>
      </c>
      <c r="D480" t="s">
        <v>4284</v>
      </c>
      <c r="E480" t="s">
        <v>4285</v>
      </c>
      <c r="F480" t="s">
        <v>4180</v>
      </c>
      <c r="J480" s="55" t="s">
        <v>4779</v>
      </c>
      <c r="K480" s="56" t="s">
        <v>3418</v>
      </c>
    </row>
    <row r="481" spans="1:11" x14ac:dyDescent="0.25">
      <c r="A481" t="s">
        <v>1995</v>
      </c>
      <c r="B481" s="51" t="s">
        <v>3417</v>
      </c>
      <c r="C481" t="s">
        <v>1177</v>
      </c>
      <c r="D481" t="s">
        <v>3177</v>
      </c>
      <c r="E481" t="s">
        <v>3190</v>
      </c>
      <c r="F481" t="s">
        <v>4176</v>
      </c>
      <c r="J481" s="55" t="s">
        <v>4780</v>
      </c>
      <c r="K481" s="56" t="s">
        <v>3419</v>
      </c>
    </row>
    <row r="482" spans="1:11" x14ac:dyDescent="0.25">
      <c r="A482" t="s">
        <v>2172</v>
      </c>
      <c r="B482" s="51" t="s">
        <v>3418</v>
      </c>
      <c r="C482" t="s">
        <v>1178</v>
      </c>
      <c r="D482" t="s">
        <v>887</v>
      </c>
      <c r="E482" t="s">
        <v>2575</v>
      </c>
      <c r="F482" t="s">
        <v>4315</v>
      </c>
      <c r="J482" s="55" t="s">
        <v>4781</v>
      </c>
      <c r="K482" s="56" t="s">
        <v>3420</v>
      </c>
    </row>
    <row r="483" spans="1:11" x14ac:dyDescent="0.25">
      <c r="A483" t="s">
        <v>1855</v>
      </c>
      <c r="B483" s="51" t="s">
        <v>3419</v>
      </c>
      <c r="C483" t="s">
        <v>1179</v>
      </c>
      <c r="D483" t="s">
        <v>886</v>
      </c>
      <c r="E483" t="s">
        <v>2576</v>
      </c>
      <c r="F483" t="s">
        <v>4316</v>
      </c>
      <c r="J483" s="55" t="s">
        <v>4782</v>
      </c>
      <c r="K483" s="56" t="s">
        <v>3422</v>
      </c>
    </row>
    <row r="484" spans="1:11" x14ac:dyDescent="0.25">
      <c r="A484" t="s">
        <v>1500</v>
      </c>
      <c r="B484" s="51" t="s">
        <v>3420</v>
      </c>
      <c r="C484" t="s">
        <v>1180</v>
      </c>
      <c r="D484" t="s">
        <v>4229</v>
      </c>
      <c r="E484" t="s">
        <v>4286</v>
      </c>
      <c r="F484" t="s">
        <v>4317</v>
      </c>
      <c r="J484" s="55" t="s">
        <v>4783</v>
      </c>
      <c r="K484" s="56" t="s">
        <v>3424</v>
      </c>
    </row>
    <row r="485" spans="1:11" x14ac:dyDescent="0.25">
      <c r="A485" t="s">
        <v>2171</v>
      </c>
      <c r="B485" s="51" t="s">
        <v>3421</v>
      </c>
      <c r="C485" t="s">
        <v>1181</v>
      </c>
      <c r="D485" t="s">
        <v>891</v>
      </c>
      <c r="E485" t="s">
        <v>2577</v>
      </c>
      <c r="F485" t="s">
        <v>4318</v>
      </c>
      <c r="J485" s="55" t="s">
        <v>4784</v>
      </c>
      <c r="K485" s="56" t="s">
        <v>3426</v>
      </c>
    </row>
    <row r="486" spans="1:11" x14ac:dyDescent="0.25">
      <c r="A486" t="s">
        <v>1549</v>
      </c>
      <c r="B486" s="51" t="s">
        <v>3422</v>
      </c>
      <c r="C486" t="s">
        <v>1182</v>
      </c>
      <c r="D486" t="s">
        <v>824</v>
      </c>
      <c r="E486" t="s">
        <v>2578</v>
      </c>
      <c r="F486" t="s">
        <v>4319</v>
      </c>
      <c r="J486" s="55" t="s">
        <v>4785</v>
      </c>
      <c r="K486" s="56" t="s">
        <v>3427</v>
      </c>
    </row>
    <row r="487" spans="1:11" x14ac:dyDescent="0.25">
      <c r="A487" t="s">
        <v>1525</v>
      </c>
      <c r="B487" s="51" t="s">
        <v>3423</v>
      </c>
      <c r="C487" t="s">
        <v>1183</v>
      </c>
      <c r="D487" t="s">
        <v>885</v>
      </c>
      <c r="E487" t="s">
        <v>2579</v>
      </c>
      <c r="F487" t="s">
        <v>4320</v>
      </c>
      <c r="J487" s="55" t="s">
        <v>4786</v>
      </c>
      <c r="K487" s="56" t="s">
        <v>3428</v>
      </c>
    </row>
    <row r="488" spans="1:11" x14ac:dyDescent="0.25">
      <c r="A488" t="s">
        <v>1794</v>
      </c>
      <c r="B488" s="51" t="s">
        <v>3424</v>
      </c>
      <c r="C488" t="s">
        <v>1184</v>
      </c>
      <c r="D488" t="s">
        <v>854</v>
      </c>
      <c r="E488" t="s">
        <v>2580</v>
      </c>
      <c r="F488" t="s">
        <v>4321</v>
      </c>
      <c r="J488" s="55" t="s">
        <v>4787</v>
      </c>
      <c r="K488" s="56" t="s">
        <v>3405</v>
      </c>
    </row>
    <row r="489" spans="1:11" x14ac:dyDescent="0.25">
      <c r="A489" t="s">
        <v>2064</v>
      </c>
      <c r="B489" s="51" t="s">
        <v>3425</v>
      </c>
      <c r="C489" t="s">
        <v>1185</v>
      </c>
      <c r="D489" t="s">
        <v>890</v>
      </c>
      <c r="E489" t="s">
        <v>2581</v>
      </c>
      <c r="F489" t="s">
        <v>2990</v>
      </c>
      <c r="J489" s="55" t="s">
        <v>4788</v>
      </c>
      <c r="K489" s="56" t="s">
        <v>3415</v>
      </c>
    </row>
    <row r="490" spans="1:11" x14ac:dyDescent="0.25">
      <c r="A490" t="s">
        <v>1433</v>
      </c>
      <c r="B490" s="51" t="s">
        <v>3426</v>
      </c>
      <c r="C490" t="s">
        <v>1186</v>
      </c>
      <c r="D490" t="s">
        <v>812</v>
      </c>
      <c r="E490" t="s">
        <v>2582</v>
      </c>
      <c r="F490" t="s">
        <v>2872</v>
      </c>
      <c r="J490" s="55" t="s">
        <v>4789</v>
      </c>
      <c r="K490" s="56" t="s">
        <v>3429</v>
      </c>
    </row>
    <row r="491" spans="1:11" x14ac:dyDescent="0.25">
      <c r="A491" t="s">
        <v>2101</v>
      </c>
      <c r="B491" s="51" t="s">
        <v>3427</v>
      </c>
      <c r="C491" t="s">
        <v>1187</v>
      </c>
      <c r="D491" t="s">
        <v>4231</v>
      </c>
      <c r="E491" t="s">
        <v>4287</v>
      </c>
      <c r="F491" t="s">
        <v>4322</v>
      </c>
      <c r="J491" s="55" t="s">
        <v>4790</v>
      </c>
      <c r="K491" s="56" t="s">
        <v>3406</v>
      </c>
    </row>
    <row r="492" spans="1:11" x14ac:dyDescent="0.25">
      <c r="A492" t="s">
        <v>1632</v>
      </c>
      <c r="B492" s="51" t="s">
        <v>3428</v>
      </c>
      <c r="C492" t="s">
        <v>1188</v>
      </c>
      <c r="D492" t="s">
        <v>4232</v>
      </c>
      <c r="E492" t="s">
        <v>4288</v>
      </c>
      <c r="F492" t="s">
        <v>4323</v>
      </c>
      <c r="J492" s="55" t="s">
        <v>4791</v>
      </c>
      <c r="K492" s="56" t="s">
        <v>3411</v>
      </c>
    </row>
    <row r="493" spans="1:11" x14ac:dyDescent="0.25">
      <c r="A493" t="s">
        <v>1757</v>
      </c>
      <c r="B493" s="51" t="s">
        <v>3429</v>
      </c>
      <c r="C493" t="s">
        <v>1189</v>
      </c>
      <c r="J493" s="55" t="s">
        <v>4792</v>
      </c>
      <c r="K493" s="56" t="s">
        <v>3430</v>
      </c>
    </row>
    <row r="494" spans="1:11" x14ac:dyDescent="0.25">
      <c r="A494" t="s">
        <v>1682</v>
      </c>
      <c r="B494" s="51" t="s">
        <v>3430</v>
      </c>
      <c r="C494" t="s">
        <v>1190</v>
      </c>
      <c r="J494" s="55" t="s">
        <v>4793</v>
      </c>
      <c r="K494" s="56" t="s">
        <v>4403</v>
      </c>
    </row>
    <row r="495" spans="1:11" x14ac:dyDescent="0.25">
      <c r="A495" t="s">
        <v>1444</v>
      </c>
      <c r="B495" s="51" t="s">
        <v>3431</v>
      </c>
      <c r="C495" t="s">
        <v>1191</v>
      </c>
      <c r="J495" s="55" t="s">
        <v>4794</v>
      </c>
      <c r="K495" s="56" t="s">
        <v>3434</v>
      </c>
    </row>
    <row r="496" spans="1:11" x14ac:dyDescent="0.25">
      <c r="A496" t="s">
        <v>1406</v>
      </c>
      <c r="B496" s="51" t="s">
        <v>3432</v>
      </c>
      <c r="C496" t="s">
        <v>1192</v>
      </c>
      <c r="J496" s="55" t="s">
        <v>4795</v>
      </c>
      <c r="K496" s="56" t="s">
        <v>3439</v>
      </c>
    </row>
    <row r="497" spans="1:11" x14ac:dyDescent="0.25">
      <c r="A497" t="s">
        <v>1859</v>
      </c>
      <c r="B497" s="51" t="s">
        <v>3433</v>
      </c>
      <c r="C497" t="s">
        <v>1193</v>
      </c>
      <c r="J497" s="55" t="s">
        <v>4796</v>
      </c>
      <c r="K497" s="56" t="s">
        <v>3441</v>
      </c>
    </row>
    <row r="498" spans="1:11" x14ac:dyDescent="0.25">
      <c r="A498" t="s">
        <v>1875</v>
      </c>
      <c r="B498" s="51" t="s">
        <v>3434</v>
      </c>
      <c r="C498" t="s">
        <v>1194</v>
      </c>
      <c r="J498" s="55" t="s">
        <v>4797</v>
      </c>
      <c r="K498" s="56" t="s">
        <v>3444</v>
      </c>
    </row>
    <row r="499" spans="1:11" x14ac:dyDescent="0.25">
      <c r="A499" t="s">
        <v>1535</v>
      </c>
      <c r="B499" s="51" t="s">
        <v>3435</v>
      </c>
      <c r="C499" t="s">
        <v>1195</v>
      </c>
      <c r="J499" s="55" t="s">
        <v>4798</v>
      </c>
      <c r="K499" s="56" t="s">
        <v>3447</v>
      </c>
    </row>
    <row r="500" spans="1:11" x14ac:dyDescent="0.25">
      <c r="A500" t="s">
        <v>1879</v>
      </c>
      <c r="B500" s="51" t="s">
        <v>3436</v>
      </c>
      <c r="C500" t="s">
        <v>1196</v>
      </c>
      <c r="J500" s="55" t="s">
        <v>4799</v>
      </c>
      <c r="K500" s="56" t="s">
        <v>3448</v>
      </c>
    </row>
    <row r="501" spans="1:11" x14ac:dyDescent="0.25">
      <c r="A501" t="s">
        <v>2232</v>
      </c>
      <c r="B501" s="51" t="s">
        <v>3437</v>
      </c>
      <c r="C501" t="s">
        <v>1197</v>
      </c>
      <c r="J501" s="55" t="s">
        <v>4800</v>
      </c>
      <c r="K501" s="56" t="s">
        <v>3449</v>
      </c>
    </row>
    <row r="502" spans="1:11" x14ac:dyDescent="0.25">
      <c r="A502" t="s">
        <v>1537</v>
      </c>
      <c r="B502" s="51" t="s">
        <v>3438</v>
      </c>
      <c r="C502" t="s">
        <v>1198</v>
      </c>
      <c r="J502" s="55" t="s">
        <v>4801</v>
      </c>
      <c r="K502" s="56" t="s">
        <v>3452</v>
      </c>
    </row>
    <row r="503" spans="1:11" x14ac:dyDescent="0.25">
      <c r="A503" t="s">
        <v>1421</v>
      </c>
      <c r="B503" s="51" t="s">
        <v>3439</v>
      </c>
      <c r="C503" t="s">
        <v>1199</v>
      </c>
      <c r="J503" s="55" t="s">
        <v>4802</v>
      </c>
      <c r="K503" s="56" t="s">
        <v>3454</v>
      </c>
    </row>
    <row r="504" spans="1:11" x14ac:dyDescent="0.25">
      <c r="A504" t="s">
        <v>1985</v>
      </c>
      <c r="B504" s="51" t="s">
        <v>3440</v>
      </c>
      <c r="C504" t="s">
        <v>1200</v>
      </c>
      <c r="J504" s="55" t="s">
        <v>4803</v>
      </c>
      <c r="K504" s="56" t="s">
        <v>3455</v>
      </c>
    </row>
    <row r="505" spans="1:11" x14ac:dyDescent="0.25">
      <c r="A505" t="s">
        <v>1626</v>
      </c>
      <c r="B505" s="51" t="s">
        <v>3441</v>
      </c>
      <c r="C505" t="s">
        <v>1201</v>
      </c>
      <c r="J505" s="55" t="s">
        <v>4804</v>
      </c>
      <c r="K505" s="56" t="s">
        <v>3433</v>
      </c>
    </row>
    <row r="506" spans="1:11" x14ac:dyDescent="0.25">
      <c r="A506" t="s">
        <v>1538</v>
      </c>
      <c r="B506" s="51" t="s">
        <v>3442</v>
      </c>
      <c r="C506" t="s">
        <v>1202</v>
      </c>
      <c r="J506" s="55" t="s">
        <v>4805</v>
      </c>
      <c r="K506" s="56" t="s">
        <v>3435</v>
      </c>
    </row>
    <row r="507" spans="1:11" x14ac:dyDescent="0.25">
      <c r="A507" t="s">
        <v>1992</v>
      </c>
      <c r="B507" s="51" t="s">
        <v>3443</v>
      </c>
      <c r="C507" t="s">
        <v>1203</v>
      </c>
      <c r="J507" s="55" t="s">
        <v>4806</v>
      </c>
      <c r="K507" s="56" t="s">
        <v>3436</v>
      </c>
    </row>
    <row r="508" spans="1:11" x14ac:dyDescent="0.25">
      <c r="A508" t="s">
        <v>1446</v>
      </c>
      <c r="B508" s="51" t="s">
        <v>3444</v>
      </c>
      <c r="C508" t="s">
        <v>1204</v>
      </c>
      <c r="J508" s="55" t="s">
        <v>4807</v>
      </c>
      <c r="K508" s="56" t="s">
        <v>3438</v>
      </c>
    </row>
    <row r="509" spans="1:11" x14ac:dyDescent="0.25">
      <c r="A509" t="s">
        <v>2206</v>
      </c>
      <c r="B509" s="51" t="s">
        <v>3445</v>
      </c>
      <c r="C509" t="s">
        <v>1205</v>
      </c>
      <c r="J509" s="55" t="s">
        <v>4808</v>
      </c>
      <c r="K509" s="56" t="s">
        <v>3440</v>
      </c>
    </row>
    <row r="510" spans="1:11" x14ac:dyDescent="0.25">
      <c r="A510" t="s">
        <v>2099</v>
      </c>
      <c r="B510" s="51" t="s">
        <v>3446</v>
      </c>
      <c r="C510" t="s">
        <v>1206</v>
      </c>
      <c r="J510" s="55" t="s">
        <v>4809</v>
      </c>
      <c r="K510" s="56" t="s">
        <v>3442</v>
      </c>
    </row>
    <row r="511" spans="1:11" x14ac:dyDescent="0.25">
      <c r="A511" t="s">
        <v>1996</v>
      </c>
      <c r="B511" s="51" t="s">
        <v>3447</v>
      </c>
      <c r="C511" t="s">
        <v>1207</v>
      </c>
      <c r="J511" s="55" t="s">
        <v>4810</v>
      </c>
      <c r="K511" s="56" t="s">
        <v>3445</v>
      </c>
    </row>
    <row r="512" spans="1:11" x14ac:dyDescent="0.25">
      <c r="A512" t="s">
        <v>2193</v>
      </c>
      <c r="B512" s="51" t="s">
        <v>3448</v>
      </c>
      <c r="C512" t="s">
        <v>1208</v>
      </c>
      <c r="J512" s="55" t="s">
        <v>4811</v>
      </c>
      <c r="K512" s="56" t="s">
        <v>3446</v>
      </c>
    </row>
    <row r="513" spans="1:11" x14ac:dyDescent="0.25">
      <c r="A513" t="s">
        <v>1874</v>
      </c>
      <c r="B513" s="51" t="s">
        <v>3449</v>
      </c>
      <c r="C513" t="s">
        <v>1209</v>
      </c>
      <c r="J513" s="55" t="s">
        <v>4812</v>
      </c>
      <c r="K513" s="56" t="s">
        <v>3450</v>
      </c>
    </row>
    <row r="514" spans="1:11" x14ac:dyDescent="0.25">
      <c r="A514" t="s">
        <v>1432</v>
      </c>
      <c r="B514" s="51" t="s">
        <v>3450</v>
      </c>
      <c r="C514" t="s">
        <v>1210</v>
      </c>
      <c r="J514" s="55" t="s">
        <v>4813</v>
      </c>
      <c r="K514" s="56" t="s">
        <v>3451</v>
      </c>
    </row>
    <row r="515" spans="1:11" x14ac:dyDescent="0.25">
      <c r="A515" t="s">
        <v>1998</v>
      </c>
      <c r="B515" s="51" t="s">
        <v>3451</v>
      </c>
      <c r="C515" t="s">
        <v>1211</v>
      </c>
      <c r="J515" s="55" t="s">
        <v>4814</v>
      </c>
      <c r="K515" s="56" t="s">
        <v>4404</v>
      </c>
    </row>
    <row r="516" spans="1:11" x14ac:dyDescent="0.25">
      <c r="A516" t="s">
        <v>2104</v>
      </c>
      <c r="B516" s="51" t="s">
        <v>3452</v>
      </c>
      <c r="C516" t="s">
        <v>1212</v>
      </c>
      <c r="J516" s="55" t="s">
        <v>4815</v>
      </c>
      <c r="K516" s="56" t="s">
        <v>4405</v>
      </c>
    </row>
    <row r="517" spans="1:11" x14ac:dyDescent="0.25">
      <c r="A517" t="s">
        <v>2216</v>
      </c>
      <c r="B517" s="51" t="s">
        <v>3453</v>
      </c>
      <c r="C517" t="s">
        <v>1213</v>
      </c>
      <c r="J517" s="55" t="s">
        <v>4816</v>
      </c>
      <c r="K517" s="56" t="s">
        <v>3457</v>
      </c>
    </row>
    <row r="518" spans="1:11" x14ac:dyDescent="0.25">
      <c r="A518" t="s">
        <v>1529</v>
      </c>
      <c r="B518" s="51" t="s">
        <v>3454</v>
      </c>
      <c r="C518" t="s">
        <v>1214</v>
      </c>
      <c r="J518" s="55" t="s">
        <v>4817</v>
      </c>
      <c r="K518" s="56" t="s">
        <v>3458</v>
      </c>
    </row>
    <row r="519" spans="1:11" x14ac:dyDescent="0.25">
      <c r="A519" t="s">
        <v>1600</v>
      </c>
      <c r="B519" s="51" t="s">
        <v>3455</v>
      </c>
      <c r="C519" t="s">
        <v>1215</v>
      </c>
      <c r="J519" s="55" t="s">
        <v>4818</v>
      </c>
      <c r="K519" s="56" t="s">
        <v>3459</v>
      </c>
    </row>
    <row r="520" spans="1:11" x14ac:dyDescent="0.25">
      <c r="A520" t="s">
        <v>1797</v>
      </c>
      <c r="B520" s="51" t="s">
        <v>3456</v>
      </c>
      <c r="C520" t="s">
        <v>1216</v>
      </c>
      <c r="J520" s="55" t="s">
        <v>4819</v>
      </c>
      <c r="K520" s="56" t="s">
        <v>3461</v>
      </c>
    </row>
    <row r="521" spans="1:11" x14ac:dyDescent="0.25">
      <c r="A521" t="s">
        <v>2113</v>
      </c>
      <c r="B521" s="51" t="s">
        <v>3457</v>
      </c>
      <c r="C521" t="s">
        <v>1217</v>
      </c>
      <c r="J521" s="55" t="s">
        <v>4820</v>
      </c>
      <c r="K521" s="56" t="s">
        <v>3466</v>
      </c>
    </row>
    <row r="522" spans="1:11" x14ac:dyDescent="0.25">
      <c r="A522" t="s">
        <v>1611</v>
      </c>
      <c r="B522" s="51" t="s">
        <v>3458</v>
      </c>
      <c r="C522" t="s">
        <v>1218</v>
      </c>
      <c r="J522" s="55" t="s">
        <v>4821</v>
      </c>
      <c r="K522" s="56" t="s">
        <v>3469</v>
      </c>
    </row>
    <row r="523" spans="1:11" x14ac:dyDescent="0.25">
      <c r="A523" t="s">
        <v>1507</v>
      </c>
      <c r="B523" s="51" t="s">
        <v>3459</v>
      </c>
      <c r="C523" t="s">
        <v>1219</v>
      </c>
      <c r="J523" s="55" t="s">
        <v>4822</v>
      </c>
      <c r="K523" s="56" t="s">
        <v>3472</v>
      </c>
    </row>
    <row r="524" spans="1:11" x14ac:dyDescent="0.25">
      <c r="A524" t="s">
        <v>1974</v>
      </c>
      <c r="B524" s="51" t="s">
        <v>3460</v>
      </c>
      <c r="C524" t="s">
        <v>1220</v>
      </c>
      <c r="J524" s="55" t="s">
        <v>4823</v>
      </c>
      <c r="K524" s="56" t="s">
        <v>3520</v>
      </c>
    </row>
    <row r="525" spans="1:11" x14ac:dyDescent="0.25">
      <c r="A525" t="s">
        <v>2013</v>
      </c>
      <c r="B525" s="51" t="s">
        <v>3461</v>
      </c>
      <c r="C525" t="s">
        <v>1221</v>
      </c>
      <c r="J525" s="55" t="s">
        <v>4824</v>
      </c>
      <c r="K525" s="56" t="s">
        <v>3474</v>
      </c>
    </row>
    <row r="526" spans="1:11" x14ac:dyDescent="0.25">
      <c r="A526" t="s">
        <v>1503</v>
      </c>
      <c r="B526" s="51" t="s">
        <v>3462</v>
      </c>
      <c r="C526" t="s">
        <v>1222</v>
      </c>
      <c r="J526" s="55" t="s">
        <v>4825</v>
      </c>
      <c r="K526" s="56" t="s">
        <v>3477</v>
      </c>
    </row>
    <row r="527" spans="1:11" x14ac:dyDescent="0.25">
      <c r="A527" t="s">
        <v>1405</v>
      </c>
      <c r="B527" s="51" t="s">
        <v>3463</v>
      </c>
      <c r="C527" t="s">
        <v>1223</v>
      </c>
      <c r="J527" s="55" t="s">
        <v>4826</v>
      </c>
      <c r="K527" s="56" t="s">
        <v>3478</v>
      </c>
    </row>
    <row r="528" spans="1:11" x14ac:dyDescent="0.25">
      <c r="A528" t="s">
        <v>2014</v>
      </c>
      <c r="B528" s="51" t="s">
        <v>3464</v>
      </c>
      <c r="C528" t="s">
        <v>1224</v>
      </c>
      <c r="J528" s="55" t="s">
        <v>4827</v>
      </c>
      <c r="K528" s="56" t="s">
        <v>3481</v>
      </c>
    </row>
    <row r="529" spans="1:11" x14ac:dyDescent="0.25">
      <c r="A529" t="s">
        <v>1517</v>
      </c>
      <c r="B529" s="51" t="s">
        <v>3465</v>
      </c>
      <c r="C529" t="s">
        <v>1225</v>
      </c>
      <c r="J529" s="55" t="s">
        <v>4828</v>
      </c>
      <c r="K529" s="56" t="s">
        <v>3482</v>
      </c>
    </row>
    <row r="530" spans="1:11" x14ac:dyDescent="0.25">
      <c r="A530" t="s">
        <v>1775</v>
      </c>
      <c r="B530" s="51" t="s">
        <v>3466</v>
      </c>
      <c r="C530" t="s">
        <v>1226</v>
      </c>
      <c r="J530" s="55" t="s">
        <v>4829</v>
      </c>
      <c r="K530" s="56" t="s">
        <v>3460</v>
      </c>
    </row>
    <row r="531" spans="1:11" x14ac:dyDescent="0.25">
      <c r="A531" t="s">
        <v>1876</v>
      </c>
      <c r="B531" s="51" t="s">
        <v>3467</v>
      </c>
      <c r="C531" t="s">
        <v>1227</v>
      </c>
      <c r="J531" s="55" t="s">
        <v>4830</v>
      </c>
      <c r="K531" s="56" t="s">
        <v>3463</v>
      </c>
    </row>
    <row r="532" spans="1:11" x14ac:dyDescent="0.25">
      <c r="A532" t="s">
        <v>1990</v>
      </c>
      <c r="B532" s="51" t="s">
        <v>3468</v>
      </c>
      <c r="C532" t="s">
        <v>1228</v>
      </c>
      <c r="J532" s="55" t="s">
        <v>4831</v>
      </c>
      <c r="K532" s="56" t="s">
        <v>3464</v>
      </c>
    </row>
    <row r="533" spans="1:11" x14ac:dyDescent="0.25">
      <c r="A533" t="s">
        <v>1625</v>
      </c>
      <c r="B533" s="51" t="s">
        <v>3469</v>
      </c>
      <c r="C533" t="s">
        <v>1229</v>
      </c>
      <c r="J533" s="55" t="s">
        <v>4832</v>
      </c>
      <c r="K533" s="56" t="s">
        <v>3465</v>
      </c>
    </row>
    <row r="534" spans="1:11" x14ac:dyDescent="0.25">
      <c r="A534" t="s">
        <v>1543</v>
      </c>
      <c r="B534" s="51" t="s">
        <v>3470</v>
      </c>
      <c r="C534" t="s">
        <v>1230</v>
      </c>
      <c r="J534" s="55" t="s">
        <v>4833</v>
      </c>
      <c r="K534" s="56" t="s">
        <v>3467</v>
      </c>
    </row>
    <row r="535" spans="1:11" x14ac:dyDescent="0.25">
      <c r="A535" t="s">
        <v>1426</v>
      </c>
      <c r="B535" s="51" t="s">
        <v>3471</v>
      </c>
      <c r="C535" t="s">
        <v>1231</v>
      </c>
      <c r="J535" s="55" t="s">
        <v>4834</v>
      </c>
      <c r="K535" s="56" t="s">
        <v>3468</v>
      </c>
    </row>
    <row r="536" spans="1:11" x14ac:dyDescent="0.25">
      <c r="A536" t="s">
        <v>1880</v>
      </c>
      <c r="B536" s="51" t="s">
        <v>3472</v>
      </c>
      <c r="C536" t="s">
        <v>1232</v>
      </c>
      <c r="J536" s="55" t="s">
        <v>4835</v>
      </c>
      <c r="K536" s="56" t="s">
        <v>3470</v>
      </c>
    </row>
    <row r="537" spans="1:11" x14ac:dyDescent="0.25">
      <c r="A537" t="s">
        <v>1470</v>
      </c>
      <c r="B537" s="51" t="s">
        <v>3473</v>
      </c>
      <c r="C537" t="s">
        <v>1233</v>
      </c>
      <c r="J537" s="55" t="s">
        <v>4836</v>
      </c>
      <c r="K537" s="56" t="s">
        <v>3473</v>
      </c>
    </row>
    <row r="538" spans="1:11" x14ac:dyDescent="0.25">
      <c r="A538" t="s">
        <v>1416</v>
      </c>
      <c r="B538" s="51" t="s">
        <v>3474</v>
      </c>
      <c r="C538" t="s">
        <v>1234</v>
      </c>
      <c r="J538" s="55" t="s">
        <v>4837</v>
      </c>
      <c r="K538" s="56" t="s">
        <v>3483</v>
      </c>
    </row>
    <row r="539" spans="1:11" x14ac:dyDescent="0.25">
      <c r="A539" t="s">
        <v>1883</v>
      </c>
      <c r="B539" s="51" t="s">
        <v>3475</v>
      </c>
      <c r="C539" t="s">
        <v>1235</v>
      </c>
      <c r="J539" s="55" t="s">
        <v>4838</v>
      </c>
      <c r="K539" s="56" t="s">
        <v>3456</v>
      </c>
    </row>
    <row r="540" spans="1:11" x14ac:dyDescent="0.25">
      <c r="A540" t="s">
        <v>1527</v>
      </c>
      <c r="B540" s="51" t="s">
        <v>3476</v>
      </c>
      <c r="C540" t="s">
        <v>1236</v>
      </c>
      <c r="J540" s="55" t="s">
        <v>4839</v>
      </c>
      <c r="K540" s="56" t="s">
        <v>3462</v>
      </c>
    </row>
    <row r="541" spans="1:11" x14ac:dyDescent="0.25">
      <c r="A541" t="s">
        <v>1758</v>
      </c>
      <c r="B541" s="51" t="s">
        <v>3477</v>
      </c>
      <c r="C541" t="s">
        <v>1237</v>
      </c>
      <c r="J541" s="55" t="s">
        <v>4840</v>
      </c>
      <c r="K541" s="56" t="s">
        <v>3475</v>
      </c>
    </row>
    <row r="542" spans="1:11" x14ac:dyDescent="0.25">
      <c r="A542" t="s">
        <v>1841</v>
      </c>
      <c r="B542" s="51" t="s">
        <v>3478</v>
      </c>
      <c r="C542" t="s">
        <v>1238</v>
      </c>
      <c r="J542" s="55" t="s">
        <v>4841</v>
      </c>
      <c r="K542" s="56" t="s">
        <v>3479</v>
      </c>
    </row>
    <row r="543" spans="1:11" x14ac:dyDescent="0.25">
      <c r="A543" t="s">
        <v>1489</v>
      </c>
      <c r="B543" s="51" t="s">
        <v>3479</v>
      </c>
      <c r="C543" t="s">
        <v>1239</v>
      </c>
      <c r="J543" s="55" t="s">
        <v>4842</v>
      </c>
      <c r="K543" s="56" t="s">
        <v>3480</v>
      </c>
    </row>
    <row r="544" spans="1:11" x14ac:dyDescent="0.25">
      <c r="A544" t="s">
        <v>1442</v>
      </c>
      <c r="B544" s="51" t="s">
        <v>3480</v>
      </c>
      <c r="C544" t="s">
        <v>1240</v>
      </c>
      <c r="J544" s="55" t="s">
        <v>4843</v>
      </c>
      <c r="K544" s="56" t="s">
        <v>3485</v>
      </c>
    </row>
    <row r="545" spans="1:11" x14ac:dyDescent="0.25">
      <c r="A545" t="s">
        <v>1646</v>
      </c>
      <c r="B545" s="51" t="s">
        <v>3481</v>
      </c>
      <c r="C545" t="s">
        <v>1241</v>
      </c>
      <c r="J545" s="55" t="s">
        <v>4844</v>
      </c>
      <c r="K545" s="56" t="s">
        <v>3486</v>
      </c>
    </row>
    <row r="546" spans="1:11" x14ac:dyDescent="0.25">
      <c r="A546" t="s">
        <v>1658</v>
      </c>
      <c r="B546" s="51" t="s">
        <v>3482</v>
      </c>
      <c r="C546" t="s">
        <v>1242</v>
      </c>
      <c r="J546" s="55" t="s">
        <v>4845</v>
      </c>
      <c r="K546" s="56" t="s">
        <v>3495</v>
      </c>
    </row>
    <row r="547" spans="1:11" x14ac:dyDescent="0.25">
      <c r="A547" t="s">
        <v>1452</v>
      </c>
      <c r="B547" s="51" t="s">
        <v>3483</v>
      </c>
      <c r="C547" t="s">
        <v>1243</v>
      </c>
      <c r="J547" s="55" t="s">
        <v>4846</v>
      </c>
      <c r="K547" s="56" t="s">
        <v>3496</v>
      </c>
    </row>
    <row r="548" spans="1:11" x14ac:dyDescent="0.25">
      <c r="A548" t="s">
        <v>1816</v>
      </c>
      <c r="B548" s="51" t="s">
        <v>3484</v>
      </c>
      <c r="C548" t="s">
        <v>1244</v>
      </c>
      <c r="J548" s="55" t="s">
        <v>4847</v>
      </c>
      <c r="K548" s="56" t="s">
        <v>3497</v>
      </c>
    </row>
    <row r="549" spans="1:11" x14ac:dyDescent="0.25">
      <c r="A549" t="s">
        <v>1731</v>
      </c>
      <c r="B549" s="51" t="s">
        <v>3485</v>
      </c>
      <c r="C549" t="s">
        <v>1245</v>
      </c>
      <c r="J549" s="55" t="s">
        <v>4848</v>
      </c>
      <c r="K549" s="56" t="s">
        <v>3499</v>
      </c>
    </row>
    <row r="550" spans="1:11" x14ac:dyDescent="0.25">
      <c r="A550" t="s">
        <v>2263</v>
      </c>
      <c r="B550" s="51" t="s">
        <v>3486</v>
      </c>
      <c r="C550" t="s">
        <v>1246</v>
      </c>
      <c r="J550" s="55" t="s">
        <v>4849</v>
      </c>
      <c r="K550" s="56" t="s">
        <v>3500</v>
      </c>
    </row>
    <row r="551" spans="1:11" x14ac:dyDescent="0.25">
      <c r="A551" t="s">
        <v>1615</v>
      </c>
      <c r="B551" s="51" t="s">
        <v>3487</v>
      </c>
      <c r="C551" t="s">
        <v>1247</v>
      </c>
      <c r="J551" s="55" t="s">
        <v>4850</v>
      </c>
      <c r="K551" s="56" t="s">
        <v>3501</v>
      </c>
    </row>
    <row r="552" spans="1:11" x14ac:dyDescent="0.25">
      <c r="A552" t="s">
        <v>2081</v>
      </c>
      <c r="B552" s="51" t="s">
        <v>3488</v>
      </c>
      <c r="C552" t="s">
        <v>1248</v>
      </c>
      <c r="J552" s="55" t="s">
        <v>4851</v>
      </c>
      <c r="K552" s="56" t="s">
        <v>3503</v>
      </c>
    </row>
    <row r="553" spans="1:11" x14ac:dyDescent="0.25">
      <c r="A553" t="s">
        <v>1402</v>
      </c>
      <c r="B553" s="51" t="s">
        <v>3489</v>
      </c>
      <c r="C553" t="s">
        <v>1249</v>
      </c>
      <c r="J553" s="55" t="s">
        <v>4852</v>
      </c>
      <c r="K553" s="56" t="s">
        <v>3492</v>
      </c>
    </row>
    <row r="554" spans="1:11" x14ac:dyDescent="0.25">
      <c r="A554" t="s">
        <v>1962</v>
      </c>
      <c r="B554" s="51" t="s">
        <v>3490</v>
      </c>
      <c r="C554" t="s">
        <v>1250</v>
      </c>
      <c r="J554" s="55" t="s">
        <v>4853</v>
      </c>
      <c r="K554" s="56" t="s">
        <v>3506</v>
      </c>
    </row>
    <row r="555" spans="1:11" x14ac:dyDescent="0.25">
      <c r="A555" t="s">
        <v>1856</v>
      </c>
      <c r="B555" s="51" t="s">
        <v>3491</v>
      </c>
      <c r="C555" t="s">
        <v>1251</v>
      </c>
      <c r="J555" s="55" t="s">
        <v>4854</v>
      </c>
      <c r="K555" s="56" t="s">
        <v>3507</v>
      </c>
    </row>
    <row r="556" spans="1:11" x14ac:dyDescent="0.25">
      <c r="A556" t="s">
        <v>1599</v>
      </c>
      <c r="B556" s="51" t="s">
        <v>3492</v>
      </c>
      <c r="C556" t="s">
        <v>1252</v>
      </c>
      <c r="J556" s="55" t="s">
        <v>4855</v>
      </c>
      <c r="K556" s="56" t="s">
        <v>3509</v>
      </c>
    </row>
    <row r="557" spans="1:11" x14ac:dyDescent="0.25">
      <c r="A557" t="s">
        <v>1963</v>
      </c>
      <c r="B557" s="51" t="s">
        <v>3493</v>
      </c>
      <c r="C557" t="s">
        <v>1253</v>
      </c>
      <c r="J557" s="55" t="s">
        <v>4856</v>
      </c>
      <c r="K557" s="56" t="s">
        <v>3510</v>
      </c>
    </row>
    <row r="558" spans="1:11" x14ac:dyDescent="0.25">
      <c r="A558" t="s">
        <v>1520</v>
      </c>
      <c r="B558" s="51" t="s">
        <v>3494</v>
      </c>
      <c r="C558" t="s">
        <v>1254</v>
      </c>
      <c r="J558" s="55" t="s">
        <v>4857</v>
      </c>
      <c r="K558" s="56" t="s">
        <v>3515</v>
      </c>
    </row>
    <row r="559" spans="1:11" x14ac:dyDescent="0.25">
      <c r="A559" t="s">
        <v>2094</v>
      </c>
      <c r="B559" s="51" t="s">
        <v>3495</v>
      </c>
      <c r="C559" t="s">
        <v>1255</v>
      </c>
      <c r="J559" s="55" t="s">
        <v>4858</v>
      </c>
      <c r="K559" s="56" t="s">
        <v>3516</v>
      </c>
    </row>
    <row r="560" spans="1:11" x14ac:dyDescent="0.25">
      <c r="A560" t="s">
        <v>1725</v>
      </c>
      <c r="B560" s="51" t="s">
        <v>3496</v>
      </c>
      <c r="C560" t="s">
        <v>1256</v>
      </c>
      <c r="J560" s="55" t="s">
        <v>4859</v>
      </c>
      <c r="K560" s="56" t="s">
        <v>3517</v>
      </c>
    </row>
    <row r="561" spans="1:11" x14ac:dyDescent="0.25">
      <c r="A561" t="s">
        <v>1867</v>
      </c>
      <c r="B561" s="51" t="s">
        <v>3497</v>
      </c>
      <c r="C561" t="s">
        <v>1257</v>
      </c>
      <c r="J561" s="55" t="s">
        <v>4860</v>
      </c>
      <c r="K561" s="56" t="s">
        <v>3519</v>
      </c>
    </row>
    <row r="562" spans="1:11" x14ac:dyDescent="0.25">
      <c r="A562" t="s">
        <v>1984</v>
      </c>
      <c r="B562" s="51" t="s">
        <v>3498</v>
      </c>
      <c r="C562" t="s">
        <v>1258</v>
      </c>
      <c r="J562" s="55" t="s">
        <v>4861</v>
      </c>
      <c r="K562" s="56" t="s">
        <v>3504</v>
      </c>
    </row>
    <row r="563" spans="1:11" x14ac:dyDescent="0.25">
      <c r="A563" t="s">
        <v>2195</v>
      </c>
      <c r="B563" s="51" t="s">
        <v>3499</v>
      </c>
      <c r="C563" t="s">
        <v>1259</v>
      </c>
      <c r="J563" s="55" t="s">
        <v>4862</v>
      </c>
      <c r="K563" s="56" t="s">
        <v>3521</v>
      </c>
    </row>
    <row r="564" spans="1:11" x14ac:dyDescent="0.25">
      <c r="A564" t="s">
        <v>1621</v>
      </c>
      <c r="B564" s="51" t="s">
        <v>3500</v>
      </c>
      <c r="C564" t="s">
        <v>1260</v>
      </c>
      <c r="J564" s="55" t="s">
        <v>4863</v>
      </c>
      <c r="K564" s="56" t="s">
        <v>3524</v>
      </c>
    </row>
    <row r="565" spans="1:11" x14ac:dyDescent="0.25">
      <c r="A565" t="s">
        <v>1434</v>
      </c>
      <c r="B565" s="51" t="s">
        <v>3501</v>
      </c>
      <c r="C565" t="s">
        <v>1261</v>
      </c>
      <c r="J565" s="55" t="s">
        <v>4864</v>
      </c>
      <c r="K565" s="56" t="s">
        <v>3508</v>
      </c>
    </row>
    <row r="566" spans="1:11" x14ac:dyDescent="0.25">
      <c r="A566" t="s">
        <v>2107</v>
      </c>
      <c r="B566" s="51" t="s">
        <v>3502</v>
      </c>
      <c r="C566" t="s">
        <v>1262</v>
      </c>
      <c r="J566" s="55" t="s">
        <v>4865</v>
      </c>
      <c r="K566" s="56" t="s">
        <v>3512</v>
      </c>
    </row>
    <row r="567" spans="1:11" x14ac:dyDescent="0.25">
      <c r="A567" t="s">
        <v>1453</v>
      </c>
      <c r="B567" s="51" t="s">
        <v>3503</v>
      </c>
      <c r="C567" t="s">
        <v>1263</v>
      </c>
      <c r="J567" s="55" t="s">
        <v>4866</v>
      </c>
      <c r="K567" s="56" t="s">
        <v>3513</v>
      </c>
    </row>
    <row r="568" spans="1:11" x14ac:dyDescent="0.25">
      <c r="A568" t="s">
        <v>2224</v>
      </c>
      <c r="B568" s="51" t="s">
        <v>3504</v>
      </c>
      <c r="C568" t="s">
        <v>1264</v>
      </c>
      <c r="J568" s="55" t="s">
        <v>4867</v>
      </c>
      <c r="K568" s="56" t="s">
        <v>3514</v>
      </c>
    </row>
    <row r="569" spans="1:11" x14ac:dyDescent="0.25">
      <c r="A569" t="s">
        <v>1630</v>
      </c>
      <c r="B569" s="51" t="s">
        <v>3505</v>
      </c>
      <c r="C569" t="s">
        <v>1265</v>
      </c>
      <c r="J569" s="55" t="s">
        <v>4868</v>
      </c>
      <c r="K569" s="56" t="s">
        <v>3518</v>
      </c>
    </row>
    <row r="570" spans="1:11" x14ac:dyDescent="0.25">
      <c r="A570" t="s">
        <v>1672</v>
      </c>
      <c r="B570" s="51" t="s">
        <v>3506</v>
      </c>
      <c r="C570" t="s">
        <v>1266</v>
      </c>
      <c r="J570" s="55" t="s">
        <v>4869</v>
      </c>
      <c r="K570" s="56" t="s">
        <v>3522</v>
      </c>
    </row>
    <row r="571" spans="1:11" x14ac:dyDescent="0.25">
      <c r="A571" t="s">
        <v>1469</v>
      </c>
      <c r="B571" s="51" t="s">
        <v>3507</v>
      </c>
      <c r="C571" t="s">
        <v>1267</v>
      </c>
      <c r="J571" s="55" t="s">
        <v>4870</v>
      </c>
      <c r="K571" s="56" t="s">
        <v>3523</v>
      </c>
    </row>
    <row r="572" spans="1:11" x14ac:dyDescent="0.25">
      <c r="A572" t="s">
        <v>1810</v>
      </c>
      <c r="B572" s="51" t="s">
        <v>3508</v>
      </c>
      <c r="C572" t="s">
        <v>1268</v>
      </c>
      <c r="J572" s="55" t="s">
        <v>4871</v>
      </c>
      <c r="K572" s="56" t="s">
        <v>4406</v>
      </c>
    </row>
    <row r="573" spans="1:11" x14ac:dyDescent="0.25">
      <c r="A573" t="s">
        <v>1807</v>
      </c>
      <c r="B573" s="51" t="s">
        <v>3509</v>
      </c>
      <c r="C573" t="s">
        <v>1269</v>
      </c>
      <c r="J573" s="55" t="s">
        <v>4872</v>
      </c>
      <c r="K573" s="56" t="s">
        <v>4407</v>
      </c>
    </row>
    <row r="574" spans="1:11" x14ac:dyDescent="0.25">
      <c r="A574" t="s">
        <v>1808</v>
      </c>
      <c r="B574" s="51" t="s">
        <v>3510</v>
      </c>
      <c r="C574" t="s">
        <v>1270</v>
      </c>
      <c r="J574" s="55" t="s">
        <v>4873</v>
      </c>
      <c r="K574" s="56" t="s">
        <v>4408</v>
      </c>
    </row>
    <row r="575" spans="1:11" x14ac:dyDescent="0.25">
      <c r="A575" t="s">
        <v>2260</v>
      </c>
      <c r="B575" s="51" t="s">
        <v>3511</v>
      </c>
      <c r="C575" t="s">
        <v>1271</v>
      </c>
      <c r="J575" s="55" t="s">
        <v>4874</v>
      </c>
      <c r="K575" s="56" t="s">
        <v>4409</v>
      </c>
    </row>
    <row r="576" spans="1:11" x14ac:dyDescent="0.25">
      <c r="A576" t="s">
        <v>1679</v>
      </c>
      <c r="B576" s="51" t="s">
        <v>3512</v>
      </c>
      <c r="C576" t="s">
        <v>1272</v>
      </c>
      <c r="J576" s="55" t="s">
        <v>4875</v>
      </c>
      <c r="K576" s="56" t="s">
        <v>3525</v>
      </c>
    </row>
    <row r="577" spans="1:11" x14ac:dyDescent="0.25">
      <c r="A577" t="s">
        <v>2259</v>
      </c>
      <c r="B577" s="51" t="s">
        <v>3513</v>
      </c>
      <c r="C577" t="s">
        <v>1273</v>
      </c>
      <c r="J577" s="55" t="s">
        <v>4876</v>
      </c>
      <c r="K577" s="56" t="s">
        <v>3526</v>
      </c>
    </row>
    <row r="578" spans="1:11" x14ac:dyDescent="0.25">
      <c r="A578" t="s">
        <v>1558</v>
      </c>
      <c r="B578" s="51" t="s">
        <v>3514</v>
      </c>
      <c r="C578" t="s">
        <v>1274</v>
      </c>
      <c r="J578" s="55" t="s">
        <v>4877</v>
      </c>
      <c r="K578" s="56" t="s">
        <v>3527</v>
      </c>
    </row>
    <row r="579" spans="1:11" x14ac:dyDescent="0.25">
      <c r="A579" t="s">
        <v>1467</v>
      </c>
      <c r="B579" s="51" t="s">
        <v>3515</v>
      </c>
      <c r="C579" t="s">
        <v>1275</v>
      </c>
      <c r="J579" s="55" t="s">
        <v>4878</v>
      </c>
      <c r="K579" s="56" t="s">
        <v>3539</v>
      </c>
    </row>
    <row r="580" spans="1:11" x14ac:dyDescent="0.25">
      <c r="A580" t="s">
        <v>2035</v>
      </c>
      <c r="B580" s="51" t="s">
        <v>3516</v>
      </c>
      <c r="C580" t="s">
        <v>1276</v>
      </c>
      <c r="J580" s="55" t="s">
        <v>4879</v>
      </c>
      <c r="K580" s="56" t="s">
        <v>3529</v>
      </c>
    </row>
    <row r="581" spans="1:11" x14ac:dyDescent="0.25">
      <c r="A581" t="s">
        <v>1809</v>
      </c>
      <c r="B581" s="51" t="s">
        <v>3517</v>
      </c>
      <c r="C581" t="s">
        <v>1277</v>
      </c>
      <c r="J581" s="55" t="s">
        <v>4880</v>
      </c>
      <c r="K581" s="56" t="s">
        <v>3530</v>
      </c>
    </row>
    <row r="582" spans="1:11" x14ac:dyDescent="0.25">
      <c r="A582" t="s">
        <v>1468</v>
      </c>
      <c r="B582" s="51" t="s">
        <v>3518</v>
      </c>
      <c r="C582" t="s">
        <v>1278</v>
      </c>
      <c r="J582" s="55" t="s">
        <v>4881</v>
      </c>
      <c r="K582" s="56" t="s">
        <v>3531</v>
      </c>
    </row>
    <row r="583" spans="1:11" x14ac:dyDescent="0.25">
      <c r="A583" t="s">
        <v>2036</v>
      </c>
      <c r="B583" s="51" t="s">
        <v>3519</v>
      </c>
      <c r="C583" t="s">
        <v>1279</v>
      </c>
      <c r="J583" s="55" t="s">
        <v>4882</v>
      </c>
      <c r="K583" s="56" t="s">
        <v>3532</v>
      </c>
    </row>
    <row r="584" spans="1:11" x14ac:dyDescent="0.25">
      <c r="A584" t="s">
        <v>1806</v>
      </c>
      <c r="B584" s="51" t="s">
        <v>3520</v>
      </c>
      <c r="C584" t="s">
        <v>1280</v>
      </c>
      <c r="J584" s="55" t="s">
        <v>4883</v>
      </c>
      <c r="K584" s="56" t="s">
        <v>3533</v>
      </c>
    </row>
    <row r="585" spans="1:11" x14ac:dyDescent="0.25">
      <c r="A585" t="s">
        <v>1811</v>
      </c>
      <c r="B585" s="51" t="s">
        <v>3521</v>
      </c>
      <c r="C585" t="s">
        <v>1281</v>
      </c>
      <c r="J585" s="55" t="s">
        <v>4884</v>
      </c>
      <c r="K585" s="56" t="s">
        <v>3534</v>
      </c>
    </row>
    <row r="586" spans="1:11" x14ac:dyDescent="0.25">
      <c r="A586" t="s">
        <v>1922</v>
      </c>
      <c r="B586" s="51" t="s">
        <v>3522</v>
      </c>
      <c r="C586" t="s">
        <v>1282</v>
      </c>
      <c r="J586" s="55" t="s">
        <v>4885</v>
      </c>
      <c r="K586" s="56" t="s">
        <v>3535</v>
      </c>
    </row>
    <row r="587" spans="1:11" x14ac:dyDescent="0.25">
      <c r="A587" t="s">
        <v>1812</v>
      </c>
      <c r="B587" s="51" t="s">
        <v>3523</v>
      </c>
      <c r="C587" t="s">
        <v>1283</v>
      </c>
      <c r="J587" s="55" t="s">
        <v>4886</v>
      </c>
      <c r="K587" s="56" t="s">
        <v>3536</v>
      </c>
    </row>
    <row r="588" spans="1:11" x14ac:dyDescent="0.25">
      <c r="A588" t="s">
        <v>1921</v>
      </c>
      <c r="B588" s="51" t="s">
        <v>3524</v>
      </c>
      <c r="C588" t="s">
        <v>1284</v>
      </c>
      <c r="J588" s="55" t="s">
        <v>4887</v>
      </c>
      <c r="K588" s="56" t="s">
        <v>3537</v>
      </c>
    </row>
    <row r="589" spans="1:11" x14ac:dyDescent="0.25">
      <c r="A589" t="s">
        <v>1559</v>
      </c>
      <c r="B589" s="51" t="s">
        <v>3525</v>
      </c>
      <c r="C589" t="s">
        <v>1285</v>
      </c>
      <c r="J589" s="55" t="s">
        <v>4888</v>
      </c>
      <c r="K589" s="56" t="s">
        <v>3538</v>
      </c>
    </row>
    <row r="590" spans="1:11" x14ac:dyDescent="0.25">
      <c r="A590" t="s">
        <v>1460</v>
      </c>
      <c r="B590" s="51" t="s">
        <v>3526</v>
      </c>
      <c r="C590" t="s">
        <v>1286</v>
      </c>
      <c r="J590" s="55" t="s">
        <v>4889</v>
      </c>
      <c r="K590" s="56" t="s">
        <v>4410</v>
      </c>
    </row>
    <row r="591" spans="1:11" x14ac:dyDescent="0.25">
      <c r="A591" t="s">
        <v>1396</v>
      </c>
      <c r="B591" s="51" t="s">
        <v>3527</v>
      </c>
      <c r="C591" t="s">
        <v>1287</v>
      </c>
      <c r="J591" s="55" t="s">
        <v>4890</v>
      </c>
      <c r="K591" s="56" t="s">
        <v>3540</v>
      </c>
    </row>
    <row r="592" spans="1:11" x14ac:dyDescent="0.25">
      <c r="A592" t="s">
        <v>2132</v>
      </c>
      <c r="B592" s="51" t="s">
        <v>3528</v>
      </c>
      <c r="C592" t="s">
        <v>1288</v>
      </c>
      <c r="J592" s="55" t="s">
        <v>4891</v>
      </c>
      <c r="K592" s="56" t="s">
        <v>4411</v>
      </c>
    </row>
    <row r="593" spans="1:11" x14ac:dyDescent="0.25">
      <c r="A593" t="s">
        <v>1905</v>
      </c>
      <c r="B593" s="51" t="s">
        <v>3529</v>
      </c>
      <c r="C593" t="s">
        <v>1289</v>
      </c>
      <c r="J593" s="55" t="s">
        <v>4892</v>
      </c>
      <c r="K593" s="56" t="s">
        <v>4412</v>
      </c>
    </row>
    <row r="594" spans="1:11" x14ac:dyDescent="0.25">
      <c r="A594" t="s">
        <v>1716</v>
      </c>
      <c r="B594" s="51" t="s">
        <v>3530</v>
      </c>
      <c r="C594" t="s">
        <v>1290</v>
      </c>
      <c r="J594" s="55" t="s">
        <v>4893</v>
      </c>
      <c r="K594" s="56" t="s">
        <v>4413</v>
      </c>
    </row>
    <row r="595" spans="1:11" x14ac:dyDescent="0.25">
      <c r="A595" t="s">
        <v>2022</v>
      </c>
      <c r="B595" s="51" t="s">
        <v>3531</v>
      </c>
      <c r="C595" t="s">
        <v>1291</v>
      </c>
      <c r="J595" s="55" t="s">
        <v>4894</v>
      </c>
      <c r="K595" s="56" t="s">
        <v>4414</v>
      </c>
    </row>
    <row r="596" spans="1:11" x14ac:dyDescent="0.25">
      <c r="A596" t="s">
        <v>1395</v>
      </c>
      <c r="B596" s="51" t="s">
        <v>3532</v>
      </c>
      <c r="C596" t="s">
        <v>1292</v>
      </c>
      <c r="J596" s="55" t="s">
        <v>4895</v>
      </c>
      <c r="K596" s="56" t="s">
        <v>4415</v>
      </c>
    </row>
    <row r="597" spans="1:11" x14ac:dyDescent="0.25">
      <c r="A597" t="s">
        <v>1594</v>
      </c>
      <c r="B597" s="51" t="s">
        <v>3533</v>
      </c>
      <c r="C597" t="s">
        <v>1293</v>
      </c>
      <c r="J597" s="55" t="s">
        <v>4896</v>
      </c>
      <c r="K597" s="56" t="s">
        <v>4416</v>
      </c>
    </row>
    <row r="598" spans="1:11" x14ac:dyDescent="0.25">
      <c r="A598" t="s">
        <v>1493</v>
      </c>
      <c r="B598" s="51" t="s">
        <v>3534</v>
      </c>
      <c r="C598" t="s">
        <v>1294</v>
      </c>
      <c r="J598" s="55" t="s">
        <v>4897</v>
      </c>
      <c r="K598" s="56" t="s">
        <v>4417</v>
      </c>
    </row>
    <row r="599" spans="1:11" x14ac:dyDescent="0.25">
      <c r="A599" t="s">
        <v>1957</v>
      </c>
      <c r="B599" s="51" t="s">
        <v>3535</v>
      </c>
      <c r="C599" t="s">
        <v>1295</v>
      </c>
      <c r="J599" s="55" t="s">
        <v>4898</v>
      </c>
      <c r="K599" s="56" t="s">
        <v>4418</v>
      </c>
    </row>
    <row r="600" spans="1:11" x14ac:dyDescent="0.25">
      <c r="A600" t="s">
        <v>1904</v>
      </c>
      <c r="B600" s="51" t="s">
        <v>3536</v>
      </c>
      <c r="C600" t="s">
        <v>1296</v>
      </c>
      <c r="J600" s="55" t="s">
        <v>4899</v>
      </c>
      <c r="K600" s="56" t="s">
        <v>4419</v>
      </c>
    </row>
    <row r="601" spans="1:11" x14ac:dyDescent="0.25">
      <c r="A601" t="s">
        <v>2249</v>
      </c>
      <c r="B601" s="51" t="s">
        <v>3537</v>
      </c>
      <c r="C601" t="s">
        <v>1297</v>
      </c>
      <c r="J601" s="55" t="s">
        <v>4900</v>
      </c>
      <c r="K601" s="56" t="s">
        <v>4420</v>
      </c>
    </row>
    <row r="602" spans="1:11" x14ac:dyDescent="0.25">
      <c r="A602" t="s">
        <v>2031</v>
      </c>
      <c r="B602" s="51" t="s">
        <v>3538</v>
      </c>
      <c r="C602" t="s">
        <v>1298</v>
      </c>
      <c r="J602" s="55" t="s">
        <v>4901</v>
      </c>
      <c r="K602" s="56" t="s">
        <v>4421</v>
      </c>
    </row>
    <row r="603" spans="1:11" x14ac:dyDescent="0.25">
      <c r="A603" t="s">
        <v>1481</v>
      </c>
      <c r="B603" s="51" t="s">
        <v>3539</v>
      </c>
      <c r="C603" t="s">
        <v>1299</v>
      </c>
      <c r="J603" s="55" t="s">
        <v>4902</v>
      </c>
      <c r="K603" s="56" t="s">
        <v>4422</v>
      </c>
    </row>
    <row r="604" spans="1:11" x14ac:dyDescent="0.25">
      <c r="A604" t="s">
        <v>2170</v>
      </c>
      <c r="B604" s="51" t="s">
        <v>3540</v>
      </c>
      <c r="C604" t="s">
        <v>1300</v>
      </c>
      <c r="J604" s="55" t="s">
        <v>4903</v>
      </c>
      <c r="K604" s="56" t="s">
        <v>3543</v>
      </c>
    </row>
    <row r="605" spans="1:11" x14ac:dyDescent="0.25">
      <c r="A605" t="s">
        <v>1461</v>
      </c>
      <c r="B605" s="51" t="s">
        <v>3541</v>
      </c>
      <c r="C605" t="s">
        <v>1301</v>
      </c>
      <c r="J605" s="55" t="s">
        <v>4904</v>
      </c>
      <c r="K605" s="56" t="s">
        <v>3544</v>
      </c>
    </row>
    <row r="606" spans="1:11" x14ac:dyDescent="0.25">
      <c r="A606" t="s">
        <v>1551</v>
      </c>
      <c r="B606" s="51" t="s">
        <v>3542</v>
      </c>
      <c r="C606" t="s">
        <v>1302</v>
      </c>
      <c r="J606" s="55" t="s">
        <v>4905</v>
      </c>
      <c r="K606" s="56" t="s">
        <v>3545</v>
      </c>
    </row>
    <row r="607" spans="1:11" x14ac:dyDescent="0.25">
      <c r="A607" t="s">
        <v>2262</v>
      </c>
      <c r="B607" s="51" t="s">
        <v>3543</v>
      </c>
      <c r="C607" t="s">
        <v>1303</v>
      </c>
      <c r="J607" s="55" t="s">
        <v>4906</v>
      </c>
      <c r="K607" s="56" t="s">
        <v>3547</v>
      </c>
    </row>
    <row r="608" spans="1:11" x14ac:dyDescent="0.25">
      <c r="A608" t="s">
        <v>1863</v>
      </c>
      <c r="B608" s="51" t="s">
        <v>3544</v>
      </c>
      <c r="C608" t="s">
        <v>1304</v>
      </c>
      <c r="J608" s="55" t="s">
        <v>4907</v>
      </c>
      <c r="K608" s="56" t="s">
        <v>3548</v>
      </c>
    </row>
    <row r="609" spans="1:11" x14ac:dyDescent="0.25">
      <c r="A609" t="s">
        <v>1400</v>
      </c>
      <c r="B609" s="51" t="s">
        <v>3545</v>
      </c>
      <c r="C609" t="s">
        <v>1305</v>
      </c>
      <c r="J609" s="55" t="s">
        <v>4908</v>
      </c>
      <c r="K609" s="56" t="s">
        <v>3549</v>
      </c>
    </row>
    <row r="610" spans="1:11" x14ac:dyDescent="0.25">
      <c r="A610" t="s">
        <v>1906</v>
      </c>
      <c r="B610" s="51" t="s">
        <v>3546</v>
      </c>
      <c r="C610" t="s">
        <v>1306</v>
      </c>
      <c r="J610" s="55" t="s">
        <v>4909</v>
      </c>
      <c r="K610" s="56" t="s">
        <v>3550</v>
      </c>
    </row>
    <row r="611" spans="1:11" x14ac:dyDescent="0.25">
      <c r="A611" t="s">
        <v>1602</v>
      </c>
      <c r="B611" s="51" t="s">
        <v>3547</v>
      </c>
      <c r="C611" t="s">
        <v>1307</v>
      </c>
      <c r="J611" s="55" t="s">
        <v>4910</v>
      </c>
      <c r="K611" s="56" t="s">
        <v>3551</v>
      </c>
    </row>
    <row r="612" spans="1:11" x14ac:dyDescent="0.25">
      <c r="A612" t="s">
        <v>1715</v>
      </c>
      <c r="B612" s="51" t="s">
        <v>3548</v>
      </c>
      <c r="C612" t="s">
        <v>1308</v>
      </c>
      <c r="J612" s="55" t="s">
        <v>4911</v>
      </c>
      <c r="K612" s="56" t="s">
        <v>3552</v>
      </c>
    </row>
    <row r="613" spans="1:11" x14ac:dyDescent="0.25">
      <c r="A613" t="s">
        <v>2205</v>
      </c>
      <c r="B613" s="51" t="s">
        <v>3549</v>
      </c>
      <c r="C613" t="s">
        <v>1309</v>
      </c>
      <c r="J613" s="55" t="s">
        <v>4912</v>
      </c>
      <c r="K613" s="56" t="s">
        <v>3553</v>
      </c>
    </row>
    <row r="614" spans="1:11" x14ac:dyDescent="0.25">
      <c r="A614" t="s">
        <v>1897</v>
      </c>
      <c r="B614" s="51" t="s">
        <v>3550</v>
      </c>
      <c r="C614" t="s">
        <v>1310</v>
      </c>
      <c r="J614" s="55" t="s">
        <v>4913</v>
      </c>
      <c r="K614" s="56" t="s">
        <v>3227</v>
      </c>
    </row>
    <row r="615" spans="1:11" x14ac:dyDescent="0.25">
      <c r="A615" t="s">
        <v>1776</v>
      </c>
      <c r="B615" s="51" t="s">
        <v>3551</v>
      </c>
      <c r="C615" t="s">
        <v>1311</v>
      </c>
      <c r="J615" s="55" t="s">
        <v>4914</v>
      </c>
      <c r="K615" s="56" t="s">
        <v>3554</v>
      </c>
    </row>
    <row r="616" spans="1:11" x14ac:dyDescent="0.25">
      <c r="A616" t="s">
        <v>2233</v>
      </c>
      <c r="B616" s="51" t="s">
        <v>3552</v>
      </c>
      <c r="C616" t="s">
        <v>1312</v>
      </c>
      <c r="J616" s="55" t="s">
        <v>4915</v>
      </c>
      <c r="K616" s="56" t="s">
        <v>3555</v>
      </c>
    </row>
    <row r="617" spans="1:11" x14ac:dyDescent="0.25">
      <c r="A617" t="s">
        <v>1419</v>
      </c>
      <c r="B617" s="51" t="s">
        <v>3553</v>
      </c>
      <c r="C617" t="s">
        <v>1313</v>
      </c>
      <c r="J617" s="55" t="s">
        <v>4916</v>
      </c>
      <c r="K617" s="56" t="s">
        <v>3557</v>
      </c>
    </row>
    <row r="618" spans="1:11" x14ac:dyDescent="0.25">
      <c r="A618" t="s">
        <v>1386</v>
      </c>
      <c r="B618" s="51" t="s">
        <v>3554</v>
      </c>
      <c r="C618" t="s">
        <v>1314</v>
      </c>
      <c r="J618" s="55" t="s">
        <v>4917</v>
      </c>
      <c r="K618" s="56" t="s">
        <v>3558</v>
      </c>
    </row>
    <row r="619" spans="1:11" x14ac:dyDescent="0.25">
      <c r="A619" t="s">
        <v>1590</v>
      </c>
      <c r="B619" s="51" t="s">
        <v>3555</v>
      </c>
      <c r="C619" t="s">
        <v>1315</v>
      </c>
      <c r="J619" s="55" t="s">
        <v>4918</v>
      </c>
      <c r="K619" s="56" t="s">
        <v>3559</v>
      </c>
    </row>
    <row r="620" spans="1:11" x14ac:dyDescent="0.25">
      <c r="A620" t="s">
        <v>1703</v>
      </c>
      <c r="B620" s="51" t="s">
        <v>3556</v>
      </c>
      <c r="C620" t="s">
        <v>1316</v>
      </c>
      <c r="J620" s="55" t="s">
        <v>4919</v>
      </c>
      <c r="K620" s="56" t="s">
        <v>3560</v>
      </c>
    </row>
    <row r="621" spans="1:11" x14ac:dyDescent="0.25">
      <c r="A621" t="s">
        <v>1704</v>
      </c>
      <c r="B621" s="51" t="s">
        <v>3557</v>
      </c>
      <c r="C621" t="s">
        <v>1317</v>
      </c>
      <c r="J621" s="55" t="s">
        <v>4920</v>
      </c>
      <c r="K621" s="56" t="s">
        <v>3561</v>
      </c>
    </row>
    <row r="622" spans="1:11" x14ac:dyDescent="0.25">
      <c r="A622" t="s">
        <v>2219</v>
      </c>
      <c r="B622" s="51" t="s">
        <v>3558</v>
      </c>
      <c r="C622" t="s">
        <v>1318</v>
      </c>
      <c r="J622" s="55" t="s">
        <v>4921</v>
      </c>
      <c r="K622" s="56" t="s">
        <v>3562</v>
      </c>
    </row>
    <row r="623" spans="1:11" x14ac:dyDescent="0.25">
      <c r="A623" t="s">
        <v>4132</v>
      </c>
      <c r="B623" s="51" t="s">
        <v>3559</v>
      </c>
      <c r="C623" t="s">
        <v>1319</v>
      </c>
      <c r="J623" s="55" t="s">
        <v>4922</v>
      </c>
      <c r="K623" s="56" t="s">
        <v>3563</v>
      </c>
    </row>
    <row r="624" spans="1:11" x14ac:dyDescent="0.25">
      <c r="A624" t="s">
        <v>2126</v>
      </c>
      <c r="B624" s="51" t="s">
        <v>3560</v>
      </c>
      <c r="C624" t="s">
        <v>1320</v>
      </c>
      <c r="J624" s="55" t="s">
        <v>4923</v>
      </c>
      <c r="K624" s="56" t="s">
        <v>3564</v>
      </c>
    </row>
    <row r="625" spans="1:11" x14ac:dyDescent="0.25">
      <c r="A625" t="s">
        <v>1857</v>
      </c>
      <c r="B625" s="51" t="s">
        <v>3561</v>
      </c>
      <c r="C625" t="s">
        <v>1321</v>
      </c>
      <c r="J625" s="55" t="s">
        <v>4924</v>
      </c>
      <c r="K625" s="56" t="s">
        <v>3565</v>
      </c>
    </row>
    <row r="626" spans="1:11" x14ac:dyDescent="0.25">
      <c r="A626" t="s">
        <v>1645</v>
      </c>
      <c r="B626" s="51" t="s">
        <v>3562</v>
      </c>
      <c r="C626" t="s">
        <v>1322</v>
      </c>
      <c r="J626" s="55" t="s">
        <v>4925</v>
      </c>
      <c r="K626" s="56" t="s">
        <v>3566</v>
      </c>
    </row>
    <row r="627" spans="1:11" x14ac:dyDescent="0.25">
      <c r="A627" t="s">
        <v>2225</v>
      </c>
      <c r="B627" s="51" t="s">
        <v>3563</v>
      </c>
      <c r="C627" t="s">
        <v>1323</v>
      </c>
      <c r="J627" s="55" t="s">
        <v>4926</v>
      </c>
      <c r="K627" s="56" t="s">
        <v>3567</v>
      </c>
    </row>
    <row r="628" spans="1:11" x14ac:dyDescent="0.25">
      <c r="A628" t="s">
        <v>1777</v>
      </c>
      <c r="B628" s="51" t="s">
        <v>3564</v>
      </c>
      <c r="C628" t="s">
        <v>1324</v>
      </c>
      <c r="J628" s="55" t="s">
        <v>4927</v>
      </c>
      <c r="K628" s="56" t="s">
        <v>3568</v>
      </c>
    </row>
    <row r="629" spans="1:11" x14ac:dyDescent="0.25">
      <c r="A629" t="s">
        <v>2015</v>
      </c>
      <c r="B629" s="51" t="s">
        <v>3565</v>
      </c>
      <c r="C629" t="s">
        <v>1325</v>
      </c>
      <c r="J629" s="55" t="s">
        <v>4928</v>
      </c>
      <c r="K629" s="56" t="s">
        <v>3569</v>
      </c>
    </row>
    <row r="630" spans="1:11" x14ac:dyDescent="0.25">
      <c r="A630" t="s">
        <v>2239</v>
      </c>
      <c r="B630" s="51" t="s">
        <v>3566</v>
      </c>
      <c r="C630" t="s">
        <v>1326</v>
      </c>
      <c r="J630" s="55" t="s">
        <v>4929</v>
      </c>
      <c r="K630" s="56" t="s">
        <v>3570</v>
      </c>
    </row>
    <row r="631" spans="1:11" x14ac:dyDescent="0.25">
      <c r="A631" t="s">
        <v>2021</v>
      </c>
      <c r="B631" s="51" t="s">
        <v>3567</v>
      </c>
      <c r="C631" t="s">
        <v>1327</v>
      </c>
      <c r="J631" s="55" t="s">
        <v>4930</v>
      </c>
      <c r="K631" s="56" t="s">
        <v>3571</v>
      </c>
    </row>
    <row r="632" spans="1:11" x14ac:dyDescent="0.25">
      <c r="A632" t="s">
        <v>1786</v>
      </c>
      <c r="B632" s="51" t="s">
        <v>3568</v>
      </c>
      <c r="C632" t="s">
        <v>1328</v>
      </c>
      <c r="J632" s="55" t="s">
        <v>4931</v>
      </c>
      <c r="K632" s="56" t="s">
        <v>4423</v>
      </c>
    </row>
    <row r="633" spans="1:11" x14ac:dyDescent="0.25">
      <c r="A633" t="s">
        <v>1552</v>
      </c>
      <c r="B633" s="51" t="s">
        <v>3569</v>
      </c>
      <c r="C633" t="s">
        <v>1329</v>
      </c>
      <c r="J633" s="55" t="s">
        <v>4932</v>
      </c>
      <c r="K633" s="56" t="s">
        <v>4424</v>
      </c>
    </row>
    <row r="634" spans="1:11" x14ac:dyDescent="0.25">
      <c r="A634" t="s">
        <v>1581</v>
      </c>
      <c r="B634" s="51" t="s">
        <v>3570</v>
      </c>
      <c r="C634" t="s">
        <v>1330</v>
      </c>
      <c r="J634" s="55" t="s">
        <v>4933</v>
      </c>
      <c r="K634" s="56" t="s">
        <v>4425</v>
      </c>
    </row>
    <row r="635" spans="1:11" x14ac:dyDescent="0.25">
      <c r="A635" t="s">
        <v>1833</v>
      </c>
      <c r="B635" s="51" t="s">
        <v>3571</v>
      </c>
      <c r="C635" t="s">
        <v>1331</v>
      </c>
      <c r="J635" s="55" t="s">
        <v>4934</v>
      </c>
      <c r="K635" s="56" t="s">
        <v>3572</v>
      </c>
    </row>
    <row r="636" spans="1:11" x14ac:dyDescent="0.25">
      <c r="A636" t="s">
        <v>4133</v>
      </c>
      <c r="B636" s="51" t="s">
        <v>3572</v>
      </c>
      <c r="C636" t="s">
        <v>1332</v>
      </c>
      <c r="J636" s="55" t="s">
        <v>4935</v>
      </c>
      <c r="K636" s="56" t="s">
        <v>3573</v>
      </c>
    </row>
    <row r="637" spans="1:11" x14ac:dyDescent="0.25">
      <c r="A637" t="s">
        <v>1408</v>
      </c>
      <c r="B637" s="51" t="s">
        <v>3573</v>
      </c>
      <c r="C637" t="s">
        <v>1333</v>
      </c>
      <c r="J637" s="55" t="s">
        <v>4936</v>
      </c>
      <c r="K637" s="56" t="s">
        <v>3574</v>
      </c>
    </row>
    <row r="638" spans="1:11" x14ac:dyDescent="0.25">
      <c r="A638" t="s">
        <v>1607</v>
      </c>
      <c r="B638" s="51" t="s">
        <v>3574</v>
      </c>
      <c r="C638" t="s">
        <v>1334</v>
      </c>
      <c r="J638" s="55" t="s">
        <v>4937</v>
      </c>
      <c r="K638" s="56" t="s">
        <v>3575</v>
      </c>
    </row>
    <row r="639" spans="1:11" x14ac:dyDescent="0.25">
      <c r="A639" t="s">
        <v>1413</v>
      </c>
      <c r="B639" s="51" t="s">
        <v>3575</v>
      </c>
      <c r="C639" t="s">
        <v>1335</v>
      </c>
      <c r="J639" s="55" t="s">
        <v>4938</v>
      </c>
      <c r="K639" s="56" t="s">
        <v>3576</v>
      </c>
    </row>
    <row r="640" spans="1:11" x14ac:dyDescent="0.25">
      <c r="A640" t="s">
        <v>1971</v>
      </c>
      <c r="B640" s="51" t="s">
        <v>3576</v>
      </c>
      <c r="C640" t="s">
        <v>1336</v>
      </c>
      <c r="J640" s="55" t="s">
        <v>4939</v>
      </c>
      <c r="K640" s="56" t="s">
        <v>3577</v>
      </c>
    </row>
    <row r="641" spans="1:11" x14ac:dyDescent="0.25">
      <c r="A641" t="s">
        <v>2229</v>
      </c>
      <c r="B641" s="51" t="s">
        <v>3577</v>
      </c>
      <c r="C641" t="s">
        <v>1337</v>
      </c>
      <c r="J641" s="55" t="s">
        <v>4940</v>
      </c>
      <c r="K641" s="56" t="s">
        <v>3578</v>
      </c>
    </row>
    <row r="642" spans="1:11" x14ac:dyDescent="0.25">
      <c r="A642" t="s">
        <v>2082</v>
      </c>
      <c r="B642" s="51" t="s">
        <v>3578</v>
      </c>
      <c r="C642" t="s">
        <v>1338</v>
      </c>
      <c r="J642" s="55" t="s">
        <v>4941</v>
      </c>
      <c r="K642" s="56" t="s">
        <v>3209</v>
      </c>
    </row>
    <row r="643" spans="1:11" x14ac:dyDescent="0.25">
      <c r="A643" t="s">
        <v>1858</v>
      </c>
      <c r="B643" s="51" t="s">
        <v>3579</v>
      </c>
      <c r="C643" t="s">
        <v>1339</v>
      </c>
      <c r="J643" s="55" t="s">
        <v>4942</v>
      </c>
      <c r="K643" s="56" t="s">
        <v>3579</v>
      </c>
    </row>
    <row r="644" spans="1:11" x14ac:dyDescent="0.25">
      <c r="A644" t="s">
        <v>1690</v>
      </c>
      <c r="B644" s="51" t="s">
        <v>3580</v>
      </c>
      <c r="C644" t="s">
        <v>1340</v>
      </c>
      <c r="J644" s="55" t="s">
        <v>4943</v>
      </c>
      <c r="K644" s="56" t="s">
        <v>3581</v>
      </c>
    </row>
    <row r="645" spans="1:11" x14ac:dyDescent="0.25">
      <c r="A645" t="s">
        <v>1495</v>
      </c>
      <c r="B645" s="51" t="s">
        <v>3581</v>
      </c>
      <c r="C645" t="s">
        <v>1341</v>
      </c>
      <c r="J645" s="55" t="s">
        <v>4944</v>
      </c>
      <c r="K645" s="56" t="s">
        <v>3582</v>
      </c>
    </row>
    <row r="646" spans="1:11" x14ac:dyDescent="0.25">
      <c r="A646" t="s">
        <v>1752</v>
      </c>
      <c r="B646" s="51" t="s">
        <v>3582</v>
      </c>
      <c r="C646" t="s">
        <v>1342</v>
      </c>
      <c r="J646" s="55" t="s">
        <v>4945</v>
      </c>
      <c r="K646" s="56" t="s">
        <v>3583</v>
      </c>
    </row>
    <row r="647" spans="1:11" x14ac:dyDescent="0.25">
      <c r="A647" t="s">
        <v>1981</v>
      </c>
      <c r="B647" s="51" t="s">
        <v>3583</v>
      </c>
      <c r="C647" t="s">
        <v>1343</v>
      </c>
      <c r="J647" s="55" t="s">
        <v>4946</v>
      </c>
      <c r="K647" s="56" t="s">
        <v>3584</v>
      </c>
    </row>
    <row r="648" spans="1:11" x14ac:dyDescent="0.25">
      <c r="A648" t="s">
        <v>1982</v>
      </c>
      <c r="B648" s="51" t="s">
        <v>3584</v>
      </c>
      <c r="C648" t="s">
        <v>1344</v>
      </c>
      <c r="J648" s="55" t="s">
        <v>4947</v>
      </c>
      <c r="K648" s="56" t="s">
        <v>3585</v>
      </c>
    </row>
    <row r="649" spans="1:11" x14ac:dyDescent="0.25">
      <c r="A649" t="s">
        <v>1512</v>
      </c>
      <c r="B649" s="51" t="s">
        <v>3585</v>
      </c>
      <c r="C649" t="s">
        <v>1345</v>
      </c>
      <c r="J649" s="55" t="s">
        <v>4948</v>
      </c>
      <c r="K649" s="56" t="s">
        <v>3586</v>
      </c>
    </row>
    <row r="650" spans="1:11" x14ac:dyDescent="0.25">
      <c r="A650" t="s">
        <v>1748</v>
      </c>
      <c r="B650" s="51" t="s">
        <v>3586</v>
      </c>
      <c r="C650" t="s">
        <v>1346</v>
      </c>
      <c r="J650" s="55" t="s">
        <v>4949</v>
      </c>
      <c r="K650" s="56" t="s">
        <v>3587</v>
      </c>
    </row>
    <row r="651" spans="1:11" x14ac:dyDescent="0.25">
      <c r="A651" t="s">
        <v>1435</v>
      </c>
      <c r="B651" s="51" t="s">
        <v>3587</v>
      </c>
      <c r="C651" t="s">
        <v>1347</v>
      </c>
      <c r="J651" s="55" t="s">
        <v>4950</v>
      </c>
      <c r="K651" s="56" t="s">
        <v>3589</v>
      </c>
    </row>
    <row r="652" spans="1:11" x14ac:dyDescent="0.25">
      <c r="A652" t="s">
        <v>1706</v>
      </c>
      <c r="B652" s="51" t="s">
        <v>3588</v>
      </c>
      <c r="C652" t="s">
        <v>1348</v>
      </c>
      <c r="J652" s="55" t="s">
        <v>4951</v>
      </c>
      <c r="K652" s="56" t="s">
        <v>4426</v>
      </c>
    </row>
    <row r="653" spans="1:11" x14ac:dyDescent="0.25">
      <c r="A653" t="s">
        <v>1851</v>
      </c>
      <c r="B653" s="51" t="s">
        <v>3589</v>
      </c>
      <c r="C653" t="s">
        <v>1349</v>
      </c>
      <c r="J653" s="55" t="s">
        <v>4952</v>
      </c>
      <c r="K653" s="56" t="s">
        <v>4427</v>
      </c>
    </row>
    <row r="654" spans="1:11" x14ac:dyDescent="0.25">
      <c r="A654" t="s">
        <v>1563</v>
      </c>
      <c r="B654" s="51" t="s">
        <v>3590</v>
      </c>
      <c r="C654" t="s">
        <v>1350</v>
      </c>
      <c r="J654" s="55" t="s">
        <v>4953</v>
      </c>
      <c r="K654" s="56" t="s">
        <v>4428</v>
      </c>
    </row>
    <row r="655" spans="1:11" x14ac:dyDescent="0.25">
      <c r="A655" t="s">
        <v>2085</v>
      </c>
      <c r="B655" s="51" t="s">
        <v>3591</v>
      </c>
      <c r="C655" t="s">
        <v>1351</v>
      </c>
      <c r="J655" s="55" t="s">
        <v>4954</v>
      </c>
      <c r="K655" s="56" t="s">
        <v>4429</v>
      </c>
    </row>
    <row r="656" spans="1:11" x14ac:dyDescent="0.25">
      <c r="A656" t="s">
        <v>1737</v>
      </c>
      <c r="B656" s="51" t="s">
        <v>3592</v>
      </c>
      <c r="C656" t="s">
        <v>1352</v>
      </c>
      <c r="J656" s="55" t="s">
        <v>4955</v>
      </c>
      <c r="K656" s="56" t="s">
        <v>4430</v>
      </c>
    </row>
    <row r="657" spans="1:11" x14ac:dyDescent="0.25">
      <c r="A657" t="s">
        <v>1711</v>
      </c>
      <c r="B657" s="51" t="s">
        <v>3593</v>
      </c>
      <c r="C657" t="s">
        <v>1353</v>
      </c>
      <c r="J657" s="55" t="s">
        <v>4956</v>
      </c>
      <c r="K657" s="56" t="s">
        <v>3590</v>
      </c>
    </row>
    <row r="658" spans="1:11" x14ac:dyDescent="0.25">
      <c r="A658" t="s">
        <v>2228</v>
      </c>
      <c r="B658" s="51" t="s">
        <v>3594</v>
      </c>
      <c r="C658" t="s">
        <v>1354</v>
      </c>
      <c r="J658" s="55" t="s">
        <v>4957</v>
      </c>
      <c r="K658" s="56" t="s">
        <v>3591</v>
      </c>
    </row>
    <row r="659" spans="1:11" x14ac:dyDescent="0.25">
      <c r="A659" t="s">
        <v>2084</v>
      </c>
      <c r="B659" s="51" t="s">
        <v>3595</v>
      </c>
      <c r="C659" t="s">
        <v>1355</v>
      </c>
      <c r="J659" s="55" t="s">
        <v>4958</v>
      </c>
      <c r="K659" s="56" t="s">
        <v>3592</v>
      </c>
    </row>
    <row r="660" spans="1:11" x14ac:dyDescent="0.25">
      <c r="A660" t="s">
        <v>1508</v>
      </c>
      <c r="B660" s="51" t="s">
        <v>3596</v>
      </c>
      <c r="C660" t="s">
        <v>1356</v>
      </c>
      <c r="J660" s="55" t="s">
        <v>4959</v>
      </c>
      <c r="K660" s="56" t="s">
        <v>3210</v>
      </c>
    </row>
    <row r="661" spans="1:11" x14ac:dyDescent="0.25">
      <c r="A661" t="s">
        <v>2188</v>
      </c>
      <c r="B661" s="51" t="s">
        <v>3597</v>
      </c>
      <c r="C661" t="s">
        <v>1357</v>
      </c>
      <c r="J661" s="55" t="s">
        <v>4960</v>
      </c>
      <c r="K661" s="56" t="s">
        <v>3593</v>
      </c>
    </row>
    <row r="662" spans="1:11" x14ac:dyDescent="0.25">
      <c r="A662" t="s">
        <v>1614</v>
      </c>
      <c r="B662" s="51" t="s">
        <v>3598</v>
      </c>
      <c r="C662" t="s">
        <v>1358</v>
      </c>
      <c r="J662" s="55" t="s">
        <v>4961</v>
      </c>
      <c r="K662" s="56" t="s">
        <v>3594</v>
      </c>
    </row>
    <row r="663" spans="1:11" x14ac:dyDescent="0.25">
      <c r="A663" t="s">
        <v>1610</v>
      </c>
      <c r="B663" s="51" t="s">
        <v>3599</v>
      </c>
      <c r="C663" t="s">
        <v>1359</v>
      </c>
      <c r="J663" s="55" t="s">
        <v>4962</v>
      </c>
      <c r="K663" s="56" t="s">
        <v>3595</v>
      </c>
    </row>
    <row r="664" spans="1:11" x14ac:dyDescent="0.25">
      <c r="A664" t="s">
        <v>1877</v>
      </c>
      <c r="B664" s="51" t="s">
        <v>3600</v>
      </c>
      <c r="C664" t="s">
        <v>1360</v>
      </c>
      <c r="J664" s="55" t="s">
        <v>4963</v>
      </c>
      <c r="K664" s="56" t="s">
        <v>3596</v>
      </c>
    </row>
    <row r="665" spans="1:11" x14ac:dyDescent="0.25">
      <c r="A665" t="s">
        <v>2198</v>
      </c>
      <c r="B665" s="51" t="s">
        <v>3601</v>
      </c>
      <c r="C665" t="s">
        <v>1361</v>
      </c>
      <c r="J665" s="55" t="s">
        <v>4964</v>
      </c>
      <c r="K665" s="56" t="s">
        <v>3597</v>
      </c>
    </row>
    <row r="666" spans="1:11" x14ac:dyDescent="0.25">
      <c r="A666" t="s">
        <v>1399</v>
      </c>
      <c r="B666" s="51" t="s">
        <v>3602</v>
      </c>
      <c r="C666" t="s">
        <v>1362</v>
      </c>
      <c r="J666" s="55" t="s">
        <v>4965</v>
      </c>
      <c r="K666" s="56" t="s">
        <v>3598</v>
      </c>
    </row>
    <row r="667" spans="1:11" x14ac:dyDescent="0.25">
      <c r="A667" t="s">
        <v>1639</v>
      </c>
      <c r="B667" s="51" t="s">
        <v>3603</v>
      </c>
      <c r="C667" t="s">
        <v>1363</v>
      </c>
      <c r="J667" s="55" t="s">
        <v>4966</v>
      </c>
      <c r="K667" s="56" t="s">
        <v>3599</v>
      </c>
    </row>
    <row r="668" spans="1:11" x14ac:dyDescent="0.25">
      <c r="A668" t="s">
        <v>2074</v>
      </c>
      <c r="B668" s="51" t="s">
        <v>3604</v>
      </c>
      <c r="C668" t="s">
        <v>1364</v>
      </c>
      <c r="J668" s="55" t="s">
        <v>4967</v>
      </c>
      <c r="K668" s="56" t="s">
        <v>3600</v>
      </c>
    </row>
    <row r="669" spans="1:11" x14ac:dyDescent="0.25">
      <c r="A669" t="s">
        <v>2102</v>
      </c>
      <c r="B669" s="51" t="s">
        <v>3605</v>
      </c>
      <c r="C669" t="s">
        <v>1365</v>
      </c>
      <c r="J669" s="55" t="s">
        <v>4968</v>
      </c>
      <c r="K669" s="56" t="s">
        <v>3601</v>
      </c>
    </row>
    <row r="670" spans="1:11" x14ac:dyDescent="0.25">
      <c r="A670" t="s">
        <v>1505</v>
      </c>
      <c r="B670" s="51" t="s">
        <v>3606</v>
      </c>
      <c r="C670" t="s">
        <v>1366</v>
      </c>
      <c r="J670" s="55" t="s">
        <v>4969</v>
      </c>
      <c r="K670" s="56" t="s">
        <v>3602</v>
      </c>
    </row>
    <row r="671" spans="1:11" x14ac:dyDescent="0.25">
      <c r="A671" t="s">
        <v>1949</v>
      </c>
      <c r="B671" s="51" t="s">
        <v>3607</v>
      </c>
      <c r="C671" t="s">
        <v>1367</v>
      </c>
      <c r="J671" s="55" t="s">
        <v>4970</v>
      </c>
      <c r="K671" s="56" t="s">
        <v>3603</v>
      </c>
    </row>
    <row r="672" spans="1:11" x14ac:dyDescent="0.25">
      <c r="A672" t="s">
        <v>1907</v>
      </c>
      <c r="B672" s="51" t="s">
        <v>3608</v>
      </c>
      <c r="C672" t="s">
        <v>1368</v>
      </c>
      <c r="J672" s="55" t="s">
        <v>4971</v>
      </c>
      <c r="K672" s="56" t="s">
        <v>3604</v>
      </c>
    </row>
    <row r="673" spans="1:11" x14ac:dyDescent="0.25">
      <c r="A673" t="s">
        <v>1862</v>
      </c>
      <c r="B673" s="51" t="s">
        <v>3609</v>
      </c>
      <c r="C673" t="s">
        <v>1369</v>
      </c>
      <c r="J673" s="55" t="s">
        <v>4972</v>
      </c>
      <c r="K673" s="56" t="s">
        <v>3605</v>
      </c>
    </row>
    <row r="674" spans="1:11" x14ac:dyDescent="0.25">
      <c r="A674" t="s">
        <v>1779</v>
      </c>
      <c r="B674" s="51" t="s">
        <v>3610</v>
      </c>
      <c r="C674" t="s">
        <v>1370</v>
      </c>
      <c r="J674" s="55" t="s">
        <v>4973</v>
      </c>
      <c r="K674" s="56" t="s">
        <v>3606</v>
      </c>
    </row>
    <row r="675" spans="1:11" x14ac:dyDescent="0.25">
      <c r="A675" t="s">
        <v>1564</v>
      </c>
      <c r="B675" s="51" t="s">
        <v>3611</v>
      </c>
      <c r="C675" t="s">
        <v>1371</v>
      </c>
      <c r="J675" s="55" t="s">
        <v>4974</v>
      </c>
      <c r="K675" s="56" t="s">
        <v>3607</v>
      </c>
    </row>
    <row r="676" spans="1:11" x14ac:dyDescent="0.25">
      <c r="A676" t="s">
        <v>2061</v>
      </c>
      <c r="B676" s="51" t="s">
        <v>3612</v>
      </c>
      <c r="C676" t="s">
        <v>1372</v>
      </c>
      <c r="J676" s="55" t="s">
        <v>4975</v>
      </c>
      <c r="K676" s="56" t="s">
        <v>3616</v>
      </c>
    </row>
    <row r="677" spans="1:11" x14ac:dyDescent="0.25">
      <c r="A677" t="s">
        <v>1805</v>
      </c>
      <c r="B677" s="51" t="s">
        <v>3613</v>
      </c>
      <c r="C677" t="s">
        <v>1373</v>
      </c>
      <c r="J677" s="55" t="s">
        <v>4976</v>
      </c>
      <c r="K677" s="56" t="s">
        <v>3614</v>
      </c>
    </row>
    <row r="678" spans="1:11" x14ac:dyDescent="0.25">
      <c r="A678" t="s">
        <v>2266</v>
      </c>
      <c r="B678" s="51" t="s">
        <v>3614</v>
      </c>
      <c r="C678" t="s">
        <v>1374</v>
      </c>
      <c r="J678" s="55" t="s">
        <v>4977</v>
      </c>
      <c r="K678" s="56" t="s">
        <v>3609</v>
      </c>
    </row>
    <row r="679" spans="1:11" x14ac:dyDescent="0.25">
      <c r="A679" t="s">
        <v>1641</v>
      </c>
      <c r="B679" s="51" t="s">
        <v>3615</v>
      </c>
      <c r="C679" t="s">
        <v>1375</v>
      </c>
      <c r="J679" s="55" t="s">
        <v>4978</v>
      </c>
      <c r="K679" s="56" t="s">
        <v>3844</v>
      </c>
    </row>
    <row r="680" spans="1:11" x14ac:dyDescent="0.25">
      <c r="A680" t="s">
        <v>2156</v>
      </c>
      <c r="B680" s="51" t="s">
        <v>3616</v>
      </c>
      <c r="C680" t="s">
        <v>1376</v>
      </c>
      <c r="J680" s="55" t="s">
        <v>4979</v>
      </c>
      <c r="K680" s="56" t="s">
        <v>3611</v>
      </c>
    </row>
    <row r="681" spans="1:11" x14ac:dyDescent="0.25">
      <c r="A681" t="s">
        <v>1702</v>
      </c>
      <c r="B681" s="51" t="s">
        <v>3617</v>
      </c>
      <c r="C681" t="s">
        <v>1377</v>
      </c>
      <c r="J681" s="55" t="s">
        <v>4980</v>
      </c>
      <c r="K681" s="56" t="s">
        <v>3755</v>
      </c>
    </row>
    <row r="682" spans="1:11" x14ac:dyDescent="0.25">
      <c r="A682" t="s">
        <v>1953</v>
      </c>
      <c r="B682" s="51" t="s">
        <v>3618</v>
      </c>
      <c r="C682" t="s">
        <v>1378</v>
      </c>
      <c r="J682" s="55" t="s">
        <v>4981</v>
      </c>
      <c r="K682" s="56" t="s">
        <v>3608</v>
      </c>
    </row>
    <row r="683" spans="1:11" x14ac:dyDescent="0.25">
      <c r="A683" t="s">
        <v>1969</v>
      </c>
      <c r="B683" s="51" t="s">
        <v>3619</v>
      </c>
      <c r="C683" t="s">
        <v>1379</v>
      </c>
      <c r="J683" s="55" t="s">
        <v>4982</v>
      </c>
      <c r="K683" s="56" t="s">
        <v>4431</v>
      </c>
    </row>
    <row r="684" spans="1:11" x14ac:dyDescent="0.25">
      <c r="A684" t="s">
        <v>2169</v>
      </c>
      <c r="B684" s="51" t="s">
        <v>3620</v>
      </c>
      <c r="C684" t="s">
        <v>1380</v>
      </c>
      <c r="J684" s="55" t="s">
        <v>4983</v>
      </c>
      <c r="K684" s="56" t="s">
        <v>3833</v>
      </c>
    </row>
    <row r="685" spans="1:11" x14ac:dyDescent="0.25">
      <c r="A685" t="s">
        <v>1955</v>
      </c>
      <c r="B685" s="51" t="s">
        <v>3621</v>
      </c>
      <c r="C685" t="s">
        <v>1381</v>
      </c>
      <c r="J685" s="55" t="s">
        <v>4984</v>
      </c>
      <c r="K685" s="56" t="s">
        <v>3834</v>
      </c>
    </row>
    <row r="686" spans="1:11" x14ac:dyDescent="0.25">
      <c r="A686" t="s">
        <v>1492</v>
      </c>
      <c r="B686" s="51" t="s">
        <v>3622</v>
      </c>
      <c r="C686" t="s">
        <v>1382</v>
      </c>
      <c r="J686" s="55" t="s">
        <v>4985</v>
      </c>
      <c r="K686" s="56" t="s">
        <v>3899</v>
      </c>
    </row>
    <row r="687" spans="1:11" x14ac:dyDescent="0.25">
      <c r="A687" t="s">
        <v>1591</v>
      </c>
      <c r="B687" s="51" t="s">
        <v>3623</v>
      </c>
      <c r="C687" t="s">
        <v>1383</v>
      </c>
      <c r="J687" s="55" t="s">
        <v>4986</v>
      </c>
      <c r="K687" s="56" t="s">
        <v>3900</v>
      </c>
    </row>
    <row r="688" spans="1:11" x14ac:dyDescent="0.25">
      <c r="A688" t="s">
        <v>1787</v>
      </c>
      <c r="B688" s="51" t="s">
        <v>3624</v>
      </c>
      <c r="J688" s="55" t="s">
        <v>4987</v>
      </c>
      <c r="K688" s="56" t="s">
        <v>3903</v>
      </c>
    </row>
    <row r="689" spans="1:11" x14ac:dyDescent="0.25">
      <c r="A689" t="s">
        <v>2140</v>
      </c>
      <c r="B689" s="51" t="s">
        <v>3625</v>
      </c>
      <c r="J689" s="55" t="s">
        <v>4988</v>
      </c>
      <c r="K689" s="56" t="s">
        <v>3832</v>
      </c>
    </row>
    <row r="690" spans="1:11" x14ac:dyDescent="0.25">
      <c r="A690" t="s">
        <v>2110</v>
      </c>
      <c r="B690" s="51" t="s">
        <v>3626</v>
      </c>
      <c r="J690" s="55" t="s">
        <v>4989</v>
      </c>
      <c r="K690" s="56" t="s">
        <v>3617</v>
      </c>
    </row>
    <row r="691" spans="1:11" x14ac:dyDescent="0.25">
      <c r="A691" t="s">
        <v>1889</v>
      </c>
      <c r="B691" s="51" t="s">
        <v>3627</v>
      </c>
      <c r="J691" s="55" t="s">
        <v>4990</v>
      </c>
      <c r="K691" s="56" t="s">
        <v>3871</v>
      </c>
    </row>
    <row r="692" spans="1:11" x14ac:dyDescent="0.25">
      <c r="A692" t="s">
        <v>1864</v>
      </c>
      <c r="B692" s="51" t="s">
        <v>3628</v>
      </c>
      <c r="J692" s="55" t="s">
        <v>4991</v>
      </c>
      <c r="K692" s="56" t="s">
        <v>3618</v>
      </c>
    </row>
    <row r="693" spans="1:11" x14ac:dyDescent="0.25">
      <c r="A693" t="s">
        <v>1734</v>
      </c>
      <c r="B693" s="51" t="s">
        <v>3629</v>
      </c>
      <c r="J693" s="55" t="s">
        <v>4992</v>
      </c>
      <c r="K693" s="56" t="s">
        <v>3700</v>
      </c>
    </row>
    <row r="694" spans="1:11" x14ac:dyDescent="0.25">
      <c r="A694" t="s">
        <v>2083</v>
      </c>
      <c r="B694" s="51" t="s">
        <v>3630</v>
      </c>
      <c r="J694" s="55" t="s">
        <v>4993</v>
      </c>
      <c r="K694" s="56" t="s">
        <v>3623</v>
      </c>
    </row>
    <row r="695" spans="1:11" x14ac:dyDescent="0.25">
      <c r="A695" t="s">
        <v>1967</v>
      </c>
      <c r="B695" s="51" t="s">
        <v>3631</v>
      </c>
      <c r="J695" s="55" t="s">
        <v>4994</v>
      </c>
      <c r="K695" s="56" t="s">
        <v>3789</v>
      </c>
    </row>
    <row r="696" spans="1:11" x14ac:dyDescent="0.25">
      <c r="A696" t="s">
        <v>1736</v>
      </c>
      <c r="B696" s="51" t="s">
        <v>3632</v>
      </c>
      <c r="J696" s="55" t="s">
        <v>4995</v>
      </c>
      <c r="K696" s="56" t="s">
        <v>3620</v>
      </c>
    </row>
    <row r="697" spans="1:11" x14ac:dyDescent="0.25">
      <c r="A697" t="s">
        <v>1895</v>
      </c>
      <c r="B697" s="51" t="s">
        <v>3633</v>
      </c>
      <c r="J697" s="55" t="s">
        <v>4996</v>
      </c>
      <c r="K697" s="56" t="s">
        <v>3619</v>
      </c>
    </row>
    <row r="698" spans="1:11" x14ac:dyDescent="0.25">
      <c r="A698" t="s">
        <v>2012</v>
      </c>
      <c r="B698" s="51" t="s">
        <v>3634</v>
      </c>
      <c r="J698" s="55" t="s">
        <v>4997</v>
      </c>
      <c r="K698" s="56" t="s">
        <v>3622</v>
      </c>
    </row>
    <row r="699" spans="1:11" x14ac:dyDescent="0.25">
      <c r="A699" t="s">
        <v>1964</v>
      </c>
      <c r="B699" s="51" t="s">
        <v>3635</v>
      </c>
      <c r="J699" s="55" t="s">
        <v>4998</v>
      </c>
      <c r="K699" s="56" t="s">
        <v>4432</v>
      </c>
    </row>
    <row r="700" spans="1:11" x14ac:dyDescent="0.25">
      <c r="A700" t="s">
        <v>1710</v>
      </c>
      <c r="B700" s="51" t="s">
        <v>3636</v>
      </c>
      <c r="J700" s="55" t="s">
        <v>4999</v>
      </c>
      <c r="K700" s="56" t="s">
        <v>3843</v>
      </c>
    </row>
    <row r="701" spans="1:11" x14ac:dyDescent="0.25">
      <c r="A701" t="s">
        <v>2119</v>
      </c>
      <c r="B701" s="51" t="s">
        <v>3637</v>
      </c>
      <c r="J701" s="55" t="s">
        <v>5000</v>
      </c>
      <c r="K701" s="56" t="s">
        <v>3754</v>
      </c>
    </row>
    <row r="702" spans="1:11" x14ac:dyDescent="0.25">
      <c r="A702" t="s">
        <v>1873</v>
      </c>
      <c r="B702" s="51" t="s">
        <v>3638</v>
      </c>
      <c r="J702" s="55" t="s">
        <v>5001</v>
      </c>
      <c r="K702" s="56" t="s">
        <v>4433</v>
      </c>
    </row>
    <row r="703" spans="1:11" x14ac:dyDescent="0.25">
      <c r="A703" t="s">
        <v>2076</v>
      </c>
      <c r="B703" s="51" t="s">
        <v>3639</v>
      </c>
      <c r="J703" s="55" t="s">
        <v>5002</v>
      </c>
      <c r="K703" s="56" t="s">
        <v>4434</v>
      </c>
    </row>
    <row r="704" spans="1:11" x14ac:dyDescent="0.25">
      <c r="A704" t="s">
        <v>1601</v>
      </c>
      <c r="B704" s="51" t="s">
        <v>3640</v>
      </c>
      <c r="J704" s="55" t="s">
        <v>5003</v>
      </c>
      <c r="K704" s="56" t="s">
        <v>4435</v>
      </c>
    </row>
    <row r="705" spans="1:11" x14ac:dyDescent="0.25">
      <c r="A705" t="s">
        <v>2078</v>
      </c>
      <c r="B705" s="51" t="s">
        <v>3641</v>
      </c>
      <c r="J705" s="55" t="s">
        <v>5004</v>
      </c>
      <c r="K705" s="56" t="s">
        <v>3701</v>
      </c>
    </row>
    <row r="706" spans="1:11" x14ac:dyDescent="0.25">
      <c r="A706" t="s">
        <v>2026</v>
      </c>
      <c r="B706" s="51" t="s">
        <v>3642</v>
      </c>
      <c r="J706" s="55" t="s">
        <v>5005</v>
      </c>
      <c r="K706" s="56" t="s">
        <v>3787</v>
      </c>
    </row>
    <row r="707" spans="1:11" x14ac:dyDescent="0.25">
      <c r="A707" t="s">
        <v>2053</v>
      </c>
      <c r="B707" s="51" t="s">
        <v>3643</v>
      </c>
      <c r="J707" s="55" t="s">
        <v>5006</v>
      </c>
      <c r="K707" s="56" t="s">
        <v>3628</v>
      </c>
    </row>
    <row r="708" spans="1:11" x14ac:dyDescent="0.25">
      <c r="A708" t="s">
        <v>1648</v>
      </c>
      <c r="B708" s="51" t="s">
        <v>3644</v>
      </c>
      <c r="J708" s="55" t="s">
        <v>5007</v>
      </c>
      <c r="K708" s="56" t="s">
        <v>3629</v>
      </c>
    </row>
    <row r="709" spans="1:11" x14ac:dyDescent="0.25">
      <c r="A709" t="s">
        <v>1650</v>
      </c>
      <c r="B709" s="51" t="s">
        <v>3645</v>
      </c>
      <c r="J709" s="55" t="s">
        <v>5008</v>
      </c>
      <c r="K709" s="56" t="s">
        <v>3893</v>
      </c>
    </row>
    <row r="710" spans="1:11" x14ac:dyDescent="0.25">
      <c r="A710" t="s">
        <v>1443</v>
      </c>
      <c r="B710" s="51" t="s">
        <v>3646</v>
      </c>
      <c r="J710" s="55" t="s">
        <v>5009</v>
      </c>
      <c r="K710" s="56" t="s">
        <v>3630</v>
      </c>
    </row>
    <row r="711" spans="1:11" x14ac:dyDescent="0.25">
      <c r="A711" t="s">
        <v>1892</v>
      </c>
      <c r="B711" s="51" t="s">
        <v>3647</v>
      </c>
      <c r="J711" s="55" t="s">
        <v>5010</v>
      </c>
      <c r="K711" s="56" t="s">
        <v>3631</v>
      </c>
    </row>
    <row r="712" spans="1:11" x14ac:dyDescent="0.25">
      <c r="A712" t="s">
        <v>1740</v>
      </c>
      <c r="B712" s="51" t="s">
        <v>3648</v>
      </c>
      <c r="J712" s="55" t="s">
        <v>5011</v>
      </c>
      <c r="K712" s="56" t="s">
        <v>3685</v>
      </c>
    </row>
    <row r="713" spans="1:11" x14ac:dyDescent="0.25">
      <c r="A713" t="s">
        <v>1730</v>
      </c>
      <c r="B713" s="51" t="s">
        <v>3649</v>
      </c>
      <c r="J713" s="55" t="s">
        <v>5012</v>
      </c>
      <c r="K713" s="56" t="s">
        <v>3632</v>
      </c>
    </row>
    <row r="714" spans="1:11" x14ac:dyDescent="0.25">
      <c r="A714" t="s">
        <v>2079</v>
      </c>
      <c r="B714" s="51" t="s">
        <v>3650</v>
      </c>
      <c r="J714" s="55" t="s">
        <v>5013</v>
      </c>
      <c r="K714" s="56" t="s">
        <v>3686</v>
      </c>
    </row>
    <row r="715" spans="1:11" x14ac:dyDescent="0.25">
      <c r="A715" t="s">
        <v>1515</v>
      </c>
      <c r="B715" s="51" t="s">
        <v>3651</v>
      </c>
      <c r="J715" s="55" t="s">
        <v>5014</v>
      </c>
      <c r="K715" s="56" t="s">
        <v>3705</v>
      </c>
    </row>
    <row r="716" spans="1:11" x14ac:dyDescent="0.25">
      <c r="A716" t="s">
        <v>1516</v>
      </c>
      <c r="B716" s="51" t="s">
        <v>3652</v>
      </c>
      <c r="J716" s="55" t="s">
        <v>5015</v>
      </c>
      <c r="K716" s="56" t="s">
        <v>3636</v>
      </c>
    </row>
    <row r="717" spans="1:11" x14ac:dyDescent="0.25">
      <c r="A717" t="s">
        <v>1521</v>
      </c>
      <c r="B717" s="51" t="s">
        <v>3653</v>
      </c>
      <c r="J717" s="55" t="s">
        <v>5016</v>
      </c>
      <c r="K717" s="56" t="s">
        <v>3706</v>
      </c>
    </row>
    <row r="718" spans="1:11" x14ac:dyDescent="0.25">
      <c r="A718" t="s">
        <v>2097</v>
      </c>
      <c r="B718" s="51" t="s">
        <v>3654</v>
      </c>
      <c r="J718" s="55" t="s">
        <v>5017</v>
      </c>
      <c r="K718" s="56" t="s">
        <v>3905</v>
      </c>
    </row>
    <row r="719" spans="1:11" x14ac:dyDescent="0.25">
      <c r="A719" t="s">
        <v>1513</v>
      </c>
      <c r="B719" s="51" t="s">
        <v>3655</v>
      </c>
      <c r="J719" s="55" t="s">
        <v>5018</v>
      </c>
      <c r="K719" s="56" t="s">
        <v>3660</v>
      </c>
    </row>
    <row r="720" spans="1:11" x14ac:dyDescent="0.25">
      <c r="A720" t="s">
        <v>2196</v>
      </c>
      <c r="B720" s="51" t="s">
        <v>3656</v>
      </c>
      <c r="J720" s="55" t="s">
        <v>5019</v>
      </c>
      <c r="K720" s="56" t="s">
        <v>3639</v>
      </c>
    </row>
    <row r="721" spans="1:11" x14ac:dyDescent="0.25">
      <c r="A721" t="s">
        <v>2059</v>
      </c>
      <c r="B721" s="51" t="s">
        <v>3657</v>
      </c>
      <c r="J721" s="55" t="s">
        <v>5020</v>
      </c>
      <c r="K721" s="56" t="s">
        <v>3640</v>
      </c>
    </row>
    <row r="722" spans="1:11" x14ac:dyDescent="0.25">
      <c r="A722" t="s">
        <v>4134</v>
      </c>
      <c r="B722" s="51" t="s">
        <v>3658</v>
      </c>
      <c r="J722" s="55" t="s">
        <v>5021</v>
      </c>
      <c r="K722" s="56" t="s">
        <v>3718</v>
      </c>
    </row>
    <row r="723" spans="1:11" x14ac:dyDescent="0.25">
      <c r="A723" t="s">
        <v>2164</v>
      </c>
      <c r="B723" s="51" t="s">
        <v>3659</v>
      </c>
      <c r="J723" s="55" t="s">
        <v>5022</v>
      </c>
      <c r="K723" s="56" t="s">
        <v>3719</v>
      </c>
    </row>
    <row r="724" spans="1:11" x14ac:dyDescent="0.25">
      <c r="A724" t="s">
        <v>2168</v>
      </c>
      <c r="B724" s="51" t="s">
        <v>3660</v>
      </c>
      <c r="J724" s="55" t="s">
        <v>5023</v>
      </c>
      <c r="K724" s="56" t="s">
        <v>3916</v>
      </c>
    </row>
    <row r="725" spans="1:11" x14ac:dyDescent="0.25">
      <c r="A725" t="s">
        <v>2063</v>
      </c>
      <c r="B725" s="51" t="s">
        <v>3661</v>
      </c>
      <c r="J725" s="55" t="s">
        <v>5024</v>
      </c>
      <c r="K725" s="56" t="s">
        <v>3671</v>
      </c>
    </row>
    <row r="726" spans="1:11" x14ac:dyDescent="0.25">
      <c r="A726" t="s">
        <v>1849</v>
      </c>
      <c r="B726" s="51" t="s">
        <v>3662</v>
      </c>
      <c r="J726" s="55" t="s">
        <v>5025</v>
      </c>
      <c r="K726" s="56" t="s">
        <v>3673</v>
      </c>
    </row>
    <row r="727" spans="1:11" x14ac:dyDescent="0.25">
      <c r="A727" t="s">
        <v>2065</v>
      </c>
      <c r="B727" s="51" t="s">
        <v>3663</v>
      </c>
      <c r="J727" s="55" t="s">
        <v>5026</v>
      </c>
      <c r="K727" s="56" t="s">
        <v>3677</v>
      </c>
    </row>
    <row r="728" spans="1:11" x14ac:dyDescent="0.25">
      <c r="A728" t="s">
        <v>1595</v>
      </c>
      <c r="B728" s="51" t="s">
        <v>3664</v>
      </c>
      <c r="J728" s="55" t="s">
        <v>5027</v>
      </c>
      <c r="K728" s="56" t="s">
        <v>3633</v>
      </c>
    </row>
    <row r="729" spans="1:11" x14ac:dyDescent="0.25">
      <c r="A729" t="s">
        <v>2175</v>
      </c>
      <c r="B729" s="51" t="s">
        <v>3665</v>
      </c>
      <c r="J729" s="55" t="s">
        <v>5028</v>
      </c>
      <c r="K729" s="56" t="s">
        <v>4436</v>
      </c>
    </row>
    <row r="730" spans="1:11" x14ac:dyDescent="0.25">
      <c r="A730" t="s">
        <v>2073</v>
      </c>
      <c r="B730" s="51" t="s">
        <v>3666</v>
      </c>
      <c r="J730" s="55" t="s">
        <v>5029</v>
      </c>
      <c r="K730" s="56" t="s">
        <v>4437</v>
      </c>
    </row>
    <row r="731" spans="1:11" x14ac:dyDescent="0.25">
      <c r="A731" t="s">
        <v>1723</v>
      </c>
      <c r="B731" s="51" t="s">
        <v>3667</v>
      </c>
      <c r="J731" s="55" t="s">
        <v>5030</v>
      </c>
      <c r="K731" s="56" t="s">
        <v>4438</v>
      </c>
    </row>
    <row r="732" spans="1:11" x14ac:dyDescent="0.25">
      <c r="A732" t="s">
        <v>1450</v>
      </c>
      <c r="B732" s="51" t="s">
        <v>3668</v>
      </c>
      <c r="J732" s="55" t="s">
        <v>5031</v>
      </c>
      <c r="K732" s="56" t="s">
        <v>4439</v>
      </c>
    </row>
    <row r="733" spans="1:11" x14ac:dyDescent="0.25">
      <c r="A733" t="s">
        <v>1902</v>
      </c>
      <c r="B733" s="51" t="s">
        <v>3669</v>
      </c>
      <c r="J733" s="55" t="s">
        <v>5032</v>
      </c>
      <c r="K733" s="56" t="s">
        <v>4440</v>
      </c>
    </row>
    <row r="734" spans="1:11" x14ac:dyDescent="0.25">
      <c r="A734" t="s">
        <v>2123</v>
      </c>
      <c r="B734" s="51" t="s">
        <v>3670</v>
      </c>
      <c r="J734" s="55" t="s">
        <v>5033</v>
      </c>
      <c r="K734" s="56" t="s">
        <v>4441</v>
      </c>
    </row>
    <row r="735" spans="1:11" x14ac:dyDescent="0.25">
      <c r="A735" t="s">
        <v>2124</v>
      </c>
      <c r="B735" s="51" t="s">
        <v>3671</v>
      </c>
      <c r="J735" s="55" t="s">
        <v>5034</v>
      </c>
      <c r="K735" s="56" t="s">
        <v>4442</v>
      </c>
    </row>
    <row r="736" spans="1:11" x14ac:dyDescent="0.25">
      <c r="A736" t="s">
        <v>1792</v>
      </c>
      <c r="B736" s="51" t="s">
        <v>3672</v>
      </c>
      <c r="J736" s="55" t="s">
        <v>5035</v>
      </c>
      <c r="K736" s="56" t="s">
        <v>4443</v>
      </c>
    </row>
    <row r="737" spans="1:11" x14ac:dyDescent="0.25">
      <c r="A737" t="s">
        <v>2027</v>
      </c>
      <c r="B737" s="51" t="s">
        <v>3673</v>
      </c>
      <c r="J737" s="55" t="s">
        <v>5036</v>
      </c>
      <c r="K737" s="56" t="s">
        <v>4444</v>
      </c>
    </row>
    <row r="738" spans="1:11" x14ac:dyDescent="0.25">
      <c r="A738" t="s">
        <v>1670</v>
      </c>
      <c r="B738" s="51" t="s">
        <v>3674</v>
      </c>
      <c r="J738" s="55" t="s">
        <v>5037</v>
      </c>
      <c r="K738" s="56" t="s">
        <v>3643</v>
      </c>
    </row>
    <row r="739" spans="1:11" x14ac:dyDescent="0.25">
      <c r="A739" t="s">
        <v>1791</v>
      </c>
      <c r="B739" s="51" t="s">
        <v>3675</v>
      </c>
      <c r="J739" s="55" t="s">
        <v>5038</v>
      </c>
      <c r="K739" s="56" t="s">
        <v>3898</v>
      </c>
    </row>
    <row r="740" spans="1:11" x14ac:dyDescent="0.25">
      <c r="A740" t="s">
        <v>1913</v>
      </c>
      <c r="B740" s="51" t="s">
        <v>3676</v>
      </c>
      <c r="J740" s="55" t="s">
        <v>5039</v>
      </c>
      <c r="K740" s="56" t="s">
        <v>3644</v>
      </c>
    </row>
    <row r="741" spans="1:11" x14ac:dyDescent="0.25">
      <c r="A741" t="s">
        <v>1680</v>
      </c>
      <c r="B741" s="51" t="s">
        <v>3677</v>
      </c>
      <c r="J741" s="55" t="s">
        <v>5040</v>
      </c>
      <c r="K741" s="56" t="s">
        <v>3627</v>
      </c>
    </row>
    <row r="742" spans="1:11" x14ac:dyDescent="0.25">
      <c r="A742" t="s">
        <v>1926</v>
      </c>
      <c r="B742" s="51" t="s">
        <v>3678</v>
      </c>
      <c r="J742" s="55" t="s">
        <v>5041</v>
      </c>
      <c r="K742" s="56" t="s">
        <v>3645</v>
      </c>
    </row>
    <row r="743" spans="1:11" x14ac:dyDescent="0.25">
      <c r="A743" t="s">
        <v>1487</v>
      </c>
      <c r="B743" s="51" t="s">
        <v>3679</v>
      </c>
      <c r="J743" s="55" t="s">
        <v>5042</v>
      </c>
      <c r="K743" s="56" t="s">
        <v>3646</v>
      </c>
    </row>
    <row r="744" spans="1:11" x14ac:dyDescent="0.25">
      <c r="A744" t="s">
        <v>2149</v>
      </c>
      <c r="B744" s="51" t="s">
        <v>3680</v>
      </c>
      <c r="J744" s="55" t="s">
        <v>5043</v>
      </c>
      <c r="K744" s="56" t="s">
        <v>3647</v>
      </c>
    </row>
    <row r="745" spans="1:11" x14ac:dyDescent="0.25">
      <c r="A745" t="s">
        <v>2048</v>
      </c>
      <c r="B745" s="51" t="s">
        <v>3681</v>
      </c>
      <c r="J745" s="55" t="s">
        <v>5044</v>
      </c>
      <c r="K745" s="56" t="s">
        <v>3702</v>
      </c>
    </row>
    <row r="746" spans="1:11" x14ac:dyDescent="0.25">
      <c r="A746" t="s">
        <v>2038</v>
      </c>
      <c r="B746" s="51" t="s">
        <v>3682</v>
      </c>
      <c r="J746" s="55" t="s">
        <v>5045</v>
      </c>
      <c r="K746" s="56" t="s">
        <v>3703</v>
      </c>
    </row>
    <row r="747" spans="1:11" x14ac:dyDescent="0.25">
      <c r="A747" t="s">
        <v>2000</v>
      </c>
      <c r="B747" s="51" t="s">
        <v>3683</v>
      </c>
      <c r="J747" s="55" t="s">
        <v>5046</v>
      </c>
      <c r="K747" s="56" t="s">
        <v>3649</v>
      </c>
    </row>
    <row r="748" spans="1:11" x14ac:dyDescent="0.25">
      <c r="A748" t="s">
        <v>1436</v>
      </c>
      <c r="B748" s="51" t="s">
        <v>3684</v>
      </c>
      <c r="J748" s="55" t="s">
        <v>5047</v>
      </c>
      <c r="K748" s="56" t="s">
        <v>3650</v>
      </c>
    </row>
    <row r="749" spans="1:11" x14ac:dyDescent="0.25">
      <c r="A749" t="s">
        <v>1592</v>
      </c>
      <c r="B749" s="51" t="s">
        <v>3685</v>
      </c>
      <c r="J749" s="55" t="s">
        <v>5048</v>
      </c>
      <c r="K749" s="56" t="s">
        <v>3653</v>
      </c>
    </row>
    <row r="750" spans="1:11" x14ac:dyDescent="0.25">
      <c r="A750" t="s">
        <v>1741</v>
      </c>
      <c r="B750" s="51" t="s">
        <v>3686</v>
      </c>
      <c r="J750" s="55" t="s">
        <v>5049</v>
      </c>
      <c r="K750" s="56" t="s">
        <v>3654</v>
      </c>
    </row>
    <row r="751" spans="1:11" x14ac:dyDescent="0.25">
      <c r="A751" t="s">
        <v>2062</v>
      </c>
      <c r="B751" s="51" t="s">
        <v>3687</v>
      </c>
      <c r="J751" s="55" t="s">
        <v>5050</v>
      </c>
      <c r="K751" s="56" t="s">
        <v>3655</v>
      </c>
    </row>
    <row r="752" spans="1:11" x14ac:dyDescent="0.25">
      <c r="A752" t="s">
        <v>1544</v>
      </c>
      <c r="B752" s="51" t="s">
        <v>3688</v>
      </c>
      <c r="J752" s="55" t="s">
        <v>5051</v>
      </c>
      <c r="K752" s="56" t="s">
        <v>3656</v>
      </c>
    </row>
    <row r="753" spans="1:11" x14ac:dyDescent="0.25">
      <c r="A753" t="s">
        <v>2213</v>
      </c>
      <c r="B753" s="51" t="s">
        <v>3689</v>
      </c>
      <c r="J753" s="55" t="s">
        <v>5052</v>
      </c>
      <c r="K753" s="56" t="s">
        <v>3658</v>
      </c>
    </row>
    <row r="754" spans="1:11" x14ac:dyDescent="0.25">
      <c r="A754" t="s">
        <v>1530</v>
      </c>
      <c r="B754" s="51" t="s">
        <v>3690</v>
      </c>
      <c r="J754" s="55" t="s">
        <v>5053</v>
      </c>
      <c r="K754" s="56" t="s">
        <v>3707</v>
      </c>
    </row>
    <row r="755" spans="1:11" x14ac:dyDescent="0.25">
      <c r="A755" t="s">
        <v>1888</v>
      </c>
      <c r="B755" s="51" t="s">
        <v>3691</v>
      </c>
      <c r="J755" s="55" t="s">
        <v>5054</v>
      </c>
      <c r="K755" s="56" t="s">
        <v>3712</v>
      </c>
    </row>
    <row r="756" spans="1:11" x14ac:dyDescent="0.25">
      <c r="A756" t="s">
        <v>1765</v>
      </c>
      <c r="B756" s="51" t="s">
        <v>3692</v>
      </c>
      <c r="J756" s="55" t="s">
        <v>5055</v>
      </c>
      <c r="K756" s="56" t="s">
        <v>3713</v>
      </c>
    </row>
    <row r="757" spans="1:11" x14ac:dyDescent="0.25">
      <c r="A757" t="s">
        <v>1762</v>
      </c>
      <c r="B757" s="51" t="s">
        <v>3693</v>
      </c>
      <c r="J757" s="55" t="s">
        <v>5056</v>
      </c>
      <c r="K757" s="56" t="s">
        <v>3717</v>
      </c>
    </row>
    <row r="758" spans="1:11" x14ac:dyDescent="0.25">
      <c r="A758" t="s">
        <v>2220</v>
      </c>
      <c r="B758" s="51" t="s">
        <v>3694</v>
      </c>
      <c r="J758" s="55" t="s">
        <v>5057</v>
      </c>
      <c r="K758" s="56" t="s">
        <v>3695</v>
      </c>
    </row>
    <row r="759" spans="1:11" x14ac:dyDescent="0.25">
      <c r="A759" t="s">
        <v>1887</v>
      </c>
      <c r="B759" s="51" t="s">
        <v>3695</v>
      </c>
      <c r="J759" s="55" t="s">
        <v>5058</v>
      </c>
      <c r="K759" s="56" t="s">
        <v>3667</v>
      </c>
    </row>
    <row r="760" spans="1:11" x14ac:dyDescent="0.25">
      <c r="A760" t="s">
        <v>1404</v>
      </c>
      <c r="B760" s="51" t="s">
        <v>3696</v>
      </c>
      <c r="J760" s="55" t="s">
        <v>5059</v>
      </c>
      <c r="K760" s="56" t="s">
        <v>3670</v>
      </c>
    </row>
    <row r="761" spans="1:11" x14ac:dyDescent="0.25">
      <c r="A761" t="s">
        <v>4135</v>
      </c>
      <c r="B761" s="51" t="s">
        <v>3697</v>
      </c>
      <c r="J761" s="55" t="s">
        <v>5060</v>
      </c>
      <c r="K761" s="56" t="s">
        <v>3672</v>
      </c>
    </row>
    <row r="762" spans="1:11" x14ac:dyDescent="0.25">
      <c r="A762" t="s">
        <v>4136</v>
      </c>
      <c r="B762" s="51" t="s">
        <v>3698</v>
      </c>
      <c r="J762" s="55" t="s">
        <v>5061</v>
      </c>
      <c r="K762" s="56" t="s">
        <v>3674</v>
      </c>
    </row>
    <row r="763" spans="1:11" x14ac:dyDescent="0.25">
      <c r="A763" t="s">
        <v>4137</v>
      </c>
      <c r="B763" s="51" t="s">
        <v>3699</v>
      </c>
      <c r="J763" s="55" t="s">
        <v>5062</v>
      </c>
      <c r="K763" s="56" t="s">
        <v>3675</v>
      </c>
    </row>
    <row r="764" spans="1:11" x14ac:dyDescent="0.25">
      <c r="A764" t="s">
        <v>2034</v>
      </c>
      <c r="B764" s="51" t="s">
        <v>3700</v>
      </c>
      <c r="J764" s="55" t="s">
        <v>5063</v>
      </c>
      <c r="K764" s="56" t="s">
        <v>4445</v>
      </c>
    </row>
    <row r="765" spans="1:11" x14ac:dyDescent="0.25">
      <c r="A765" t="s">
        <v>1893</v>
      </c>
      <c r="B765" s="51" t="s">
        <v>3701</v>
      </c>
      <c r="J765" s="55" t="s">
        <v>5064</v>
      </c>
      <c r="K765" s="56" t="s">
        <v>4446</v>
      </c>
    </row>
    <row r="766" spans="1:11" x14ac:dyDescent="0.25">
      <c r="A766" t="s">
        <v>1771</v>
      </c>
      <c r="B766" s="51" t="s">
        <v>3702</v>
      </c>
      <c r="J766" s="55" t="s">
        <v>5065</v>
      </c>
      <c r="K766" s="56" t="s">
        <v>3687</v>
      </c>
    </row>
    <row r="767" spans="1:11" x14ac:dyDescent="0.25">
      <c r="A767" t="s">
        <v>1498</v>
      </c>
      <c r="B767" s="51" t="s">
        <v>3703</v>
      </c>
      <c r="J767" s="55" t="s">
        <v>5066</v>
      </c>
      <c r="K767" s="56" t="s">
        <v>3688</v>
      </c>
    </row>
    <row r="768" spans="1:11" x14ac:dyDescent="0.25">
      <c r="A768" t="s">
        <v>1961</v>
      </c>
      <c r="B768" s="51" t="s">
        <v>3704</v>
      </c>
      <c r="J768" s="55" t="s">
        <v>5067</v>
      </c>
      <c r="K768" s="56" t="s">
        <v>3683</v>
      </c>
    </row>
    <row r="769" spans="1:11" x14ac:dyDescent="0.25">
      <c r="A769" t="s">
        <v>1624</v>
      </c>
      <c r="B769" s="51" t="s">
        <v>3705</v>
      </c>
      <c r="J769" s="55" t="s">
        <v>5068</v>
      </c>
      <c r="K769" s="56" t="s">
        <v>3689</v>
      </c>
    </row>
    <row r="770" spans="1:11" x14ac:dyDescent="0.25">
      <c r="A770" t="s">
        <v>2204</v>
      </c>
      <c r="B770" s="51" t="s">
        <v>3706</v>
      </c>
      <c r="J770" s="55" t="s">
        <v>5069</v>
      </c>
      <c r="K770" s="56" t="s">
        <v>3691</v>
      </c>
    </row>
    <row r="771" spans="1:11" x14ac:dyDescent="0.25">
      <c r="A771" t="s">
        <v>2197</v>
      </c>
      <c r="B771" s="51" t="s">
        <v>3707</v>
      </c>
      <c r="J771" s="55" t="s">
        <v>5070</v>
      </c>
      <c r="K771" s="56" t="s">
        <v>3692</v>
      </c>
    </row>
    <row r="772" spans="1:11" x14ac:dyDescent="0.25">
      <c r="A772" t="s">
        <v>1852</v>
      </c>
      <c r="B772" s="51" t="s">
        <v>3708</v>
      </c>
      <c r="J772" s="55" t="s">
        <v>5071</v>
      </c>
      <c r="K772" s="56" t="s">
        <v>3693</v>
      </c>
    </row>
    <row r="773" spans="1:11" x14ac:dyDescent="0.25">
      <c r="A773" t="s">
        <v>1847</v>
      </c>
      <c r="B773" s="51" t="s">
        <v>3709</v>
      </c>
      <c r="J773" s="55" t="s">
        <v>5072</v>
      </c>
      <c r="K773" s="56" t="s">
        <v>3708</v>
      </c>
    </row>
    <row r="774" spans="1:11" x14ac:dyDescent="0.25">
      <c r="A774" t="s">
        <v>1954</v>
      </c>
      <c r="B774" s="51" t="s">
        <v>3710</v>
      </c>
      <c r="J774" s="55" t="s">
        <v>5073</v>
      </c>
      <c r="K774" s="56" t="s">
        <v>3659</v>
      </c>
    </row>
    <row r="775" spans="1:11" x14ac:dyDescent="0.25">
      <c r="A775" t="s">
        <v>1593</v>
      </c>
      <c r="B775" s="51" t="s">
        <v>3711</v>
      </c>
      <c r="J775" s="55" t="s">
        <v>5074</v>
      </c>
      <c r="K775" s="56" t="s">
        <v>3661</v>
      </c>
    </row>
    <row r="776" spans="1:11" x14ac:dyDescent="0.25">
      <c r="A776" t="s">
        <v>2066</v>
      </c>
      <c r="B776" s="51" t="s">
        <v>3712</v>
      </c>
      <c r="J776" s="55" t="s">
        <v>5075</v>
      </c>
      <c r="K776" s="56" t="s">
        <v>3709</v>
      </c>
    </row>
    <row r="777" spans="1:11" x14ac:dyDescent="0.25">
      <c r="A777" t="s">
        <v>2174</v>
      </c>
      <c r="B777" s="51" t="s">
        <v>3713</v>
      </c>
      <c r="J777" s="55" t="s">
        <v>5076</v>
      </c>
      <c r="K777" s="56" t="s">
        <v>3710</v>
      </c>
    </row>
    <row r="778" spans="1:11" x14ac:dyDescent="0.25">
      <c r="A778" t="s">
        <v>2071</v>
      </c>
      <c r="B778" s="51" t="s">
        <v>3714</v>
      </c>
      <c r="J778" s="55" t="s">
        <v>5077</v>
      </c>
      <c r="K778" s="56" t="s">
        <v>3662</v>
      </c>
    </row>
    <row r="779" spans="1:11" x14ac:dyDescent="0.25">
      <c r="A779" t="s">
        <v>1719</v>
      </c>
      <c r="B779" s="51" t="s">
        <v>3715</v>
      </c>
      <c r="J779" s="55" t="s">
        <v>5078</v>
      </c>
      <c r="K779" s="56" t="s">
        <v>3663</v>
      </c>
    </row>
    <row r="780" spans="1:11" x14ac:dyDescent="0.25">
      <c r="A780" t="s">
        <v>1959</v>
      </c>
      <c r="B780" s="51" t="s">
        <v>3716</v>
      </c>
      <c r="J780" s="55" t="s">
        <v>5079</v>
      </c>
      <c r="K780" s="56" t="s">
        <v>3665</v>
      </c>
    </row>
    <row r="781" spans="1:11" x14ac:dyDescent="0.25">
      <c r="A781" t="s">
        <v>1403</v>
      </c>
      <c r="B781" s="51" t="s">
        <v>3717</v>
      </c>
      <c r="J781" s="55" t="s">
        <v>5080</v>
      </c>
      <c r="K781" s="56" t="s">
        <v>3716</v>
      </c>
    </row>
    <row r="782" spans="1:11" x14ac:dyDescent="0.25">
      <c r="A782" t="s">
        <v>1726</v>
      </c>
      <c r="B782" s="51" t="s">
        <v>3718</v>
      </c>
      <c r="J782" s="55" t="s">
        <v>5081</v>
      </c>
      <c r="K782" s="56" t="s">
        <v>3668</v>
      </c>
    </row>
    <row r="783" spans="1:11" x14ac:dyDescent="0.25">
      <c r="A783" t="s">
        <v>1451</v>
      </c>
      <c r="B783" s="51" t="s">
        <v>3719</v>
      </c>
      <c r="J783" s="55" t="s">
        <v>5082</v>
      </c>
      <c r="K783" s="56" t="s">
        <v>3669</v>
      </c>
    </row>
    <row r="784" spans="1:11" x14ac:dyDescent="0.25">
      <c r="A784" t="s">
        <v>1684</v>
      </c>
      <c r="B784" s="51" t="s">
        <v>3720</v>
      </c>
      <c r="J784" s="55" t="s">
        <v>5083</v>
      </c>
      <c r="K784" s="56" t="s">
        <v>3676</v>
      </c>
    </row>
    <row r="785" spans="1:11" x14ac:dyDescent="0.25">
      <c r="A785" t="s">
        <v>1494</v>
      </c>
      <c r="B785" s="51" t="s">
        <v>3721</v>
      </c>
      <c r="J785" s="55" t="s">
        <v>5084</v>
      </c>
      <c r="K785" s="56" t="s">
        <v>3680</v>
      </c>
    </row>
    <row r="786" spans="1:11" x14ac:dyDescent="0.25">
      <c r="A786" t="s">
        <v>1939</v>
      </c>
      <c r="B786" s="51" t="s">
        <v>3722</v>
      </c>
      <c r="J786" s="55" t="s">
        <v>5085</v>
      </c>
      <c r="K786" s="56" t="s">
        <v>3678</v>
      </c>
    </row>
    <row r="787" spans="1:11" x14ac:dyDescent="0.25">
      <c r="A787" t="s">
        <v>1510</v>
      </c>
      <c r="B787" s="51" t="s">
        <v>3723</v>
      </c>
      <c r="J787" s="55" t="s">
        <v>5086</v>
      </c>
      <c r="K787" s="56" t="s">
        <v>3698</v>
      </c>
    </row>
    <row r="788" spans="1:11" x14ac:dyDescent="0.25">
      <c r="A788" t="s">
        <v>1732</v>
      </c>
      <c r="B788" s="51" t="s">
        <v>3724</v>
      </c>
      <c r="J788" s="55" t="s">
        <v>5087</v>
      </c>
      <c r="K788" s="56" t="s">
        <v>4447</v>
      </c>
    </row>
    <row r="789" spans="1:11" x14ac:dyDescent="0.25">
      <c r="A789" t="s">
        <v>2173</v>
      </c>
      <c r="B789" s="51" t="s">
        <v>3725</v>
      </c>
      <c r="J789" s="55" t="s">
        <v>5088</v>
      </c>
      <c r="K789" s="56" t="s">
        <v>4448</v>
      </c>
    </row>
    <row r="790" spans="1:11" x14ac:dyDescent="0.25">
      <c r="A790" t="s">
        <v>1722</v>
      </c>
      <c r="B790" s="51" t="s">
        <v>3726</v>
      </c>
      <c r="J790" s="55" t="s">
        <v>5089</v>
      </c>
      <c r="K790" s="56" t="s">
        <v>3907</v>
      </c>
    </row>
    <row r="791" spans="1:11" x14ac:dyDescent="0.25">
      <c r="A791" t="s">
        <v>1718</v>
      </c>
      <c r="B791" s="51" t="s">
        <v>3727</v>
      </c>
      <c r="J791" s="55" t="s">
        <v>5090</v>
      </c>
      <c r="K791" s="56" t="s">
        <v>3909</v>
      </c>
    </row>
    <row r="792" spans="1:11" x14ac:dyDescent="0.25">
      <c r="A792" t="s">
        <v>1398</v>
      </c>
      <c r="B792" s="51" t="s">
        <v>3728</v>
      </c>
      <c r="J792" s="55" t="s">
        <v>5091</v>
      </c>
      <c r="K792" s="56" t="s">
        <v>3910</v>
      </c>
    </row>
    <row r="793" spans="1:11" x14ac:dyDescent="0.25">
      <c r="A793" t="s">
        <v>2002</v>
      </c>
      <c r="B793" s="51" t="s">
        <v>3729</v>
      </c>
      <c r="J793" s="55" t="s">
        <v>5092</v>
      </c>
      <c r="K793" s="56" t="s">
        <v>3883</v>
      </c>
    </row>
    <row r="794" spans="1:11" x14ac:dyDescent="0.25">
      <c r="A794" t="s">
        <v>1401</v>
      </c>
      <c r="B794" s="51" t="s">
        <v>3730</v>
      </c>
      <c r="J794" s="55" t="s">
        <v>5093</v>
      </c>
      <c r="K794" s="56" t="s">
        <v>3912</v>
      </c>
    </row>
    <row r="795" spans="1:11" x14ac:dyDescent="0.25">
      <c r="A795" t="s">
        <v>1908</v>
      </c>
      <c r="B795" s="51" t="s">
        <v>3731</v>
      </c>
      <c r="J795" s="55" t="s">
        <v>5094</v>
      </c>
      <c r="K795" s="56" t="s">
        <v>3913</v>
      </c>
    </row>
    <row r="796" spans="1:11" x14ac:dyDescent="0.25">
      <c r="A796" t="s">
        <v>2005</v>
      </c>
      <c r="B796" s="51" t="s">
        <v>3732</v>
      </c>
      <c r="J796" s="55" t="s">
        <v>5095</v>
      </c>
      <c r="K796" s="56" t="s">
        <v>3915</v>
      </c>
    </row>
    <row r="797" spans="1:11" x14ac:dyDescent="0.25">
      <c r="A797" t="s">
        <v>2218</v>
      </c>
      <c r="B797" s="51" t="s">
        <v>3733</v>
      </c>
      <c r="J797" s="55" t="s">
        <v>5096</v>
      </c>
      <c r="K797" s="56" t="s">
        <v>3884</v>
      </c>
    </row>
    <row r="798" spans="1:11" x14ac:dyDescent="0.25">
      <c r="A798" t="s">
        <v>2165</v>
      </c>
      <c r="B798" s="51" t="s">
        <v>3734</v>
      </c>
      <c r="J798" s="55" t="s">
        <v>5097</v>
      </c>
      <c r="K798" s="56" t="s">
        <v>3885</v>
      </c>
    </row>
    <row r="799" spans="1:11" x14ac:dyDescent="0.25">
      <c r="A799" t="s">
        <v>2004</v>
      </c>
      <c r="B799" s="51" t="s">
        <v>3735</v>
      </c>
      <c r="J799" s="55" t="s">
        <v>5098</v>
      </c>
      <c r="K799" s="56" t="s">
        <v>3886</v>
      </c>
    </row>
    <row r="800" spans="1:11" x14ac:dyDescent="0.25">
      <c r="A800" t="s">
        <v>1705</v>
      </c>
      <c r="B800" s="51" t="s">
        <v>3736</v>
      </c>
      <c r="J800" s="55" t="s">
        <v>5099</v>
      </c>
      <c r="K800" s="56" t="s">
        <v>3887</v>
      </c>
    </row>
    <row r="801" spans="1:11" x14ac:dyDescent="0.25">
      <c r="A801" t="s">
        <v>1848</v>
      </c>
      <c r="B801" s="51" t="s">
        <v>3737</v>
      </c>
      <c r="J801" s="55" t="s">
        <v>5100</v>
      </c>
      <c r="K801" s="56" t="s">
        <v>3641</v>
      </c>
    </row>
    <row r="802" spans="1:11" x14ac:dyDescent="0.25">
      <c r="A802" t="s">
        <v>1713</v>
      </c>
      <c r="B802" s="51" t="s">
        <v>3738</v>
      </c>
      <c r="J802" s="55" t="s">
        <v>5101</v>
      </c>
      <c r="K802" s="56" t="s">
        <v>3846</v>
      </c>
    </row>
    <row r="803" spans="1:11" x14ac:dyDescent="0.25">
      <c r="A803" t="s">
        <v>1854</v>
      </c>
      <c r="B803" s="51" t="s">
        <v>3739</v>
      </c>
      <c r="J803" s="55" t="s">
        <v>5102</v>
      </c>
      <c r="K803" s="56" t="s">
        <v>3917</v>
      </c>
    </row>
    <row r="804" spans="1:11" x14ac:dyDescent="0.25">
      <c r="A804" t="s">
        <v>2009</v>
      </c>
      <c r="B804" s="51" t="s">
        <v>3740</v>
      </c>
      <c r="J804" s="55" t="s">
        <v>5103</v>
      </c>
      <c r="K804" s="56" t="s">
        <v>3918</v>
      </c>
    </row>
    <row r="805" spans="1:11" x14ac:dyDescent="0.25">
      <c r="A805" t="s">
        <v>1579</v>
      </c>
      <c r="B805" s="51" t="s">
        <v>3741</v>
      </c>
      <c r="J805" s="55" t="s">
        <v>5104</v>
      </c>
      <c r="K805" s="56" t="s">
        <v>3920</v>
      </c>
    </row>
    <row r="806" spans="1:11" x14ac:dyDescent="0.25">
      <c r="A806" t="s">
        <v>1781</v>
      </c>
      <c r="B806" s="51" t="s">
        <v>3742</v>
      </c>
      <c r="J806" s="55" t="s">
        <v>5105</v>
      </c>
      <c r="K806" s="56" t="s">
        <v>3921</v>
      </c>
    </row>
    <row r="807" spans="1:11" x14ac:dyDescent="0.25">
      <c r="A807" t="s">
        <v>1659</v>
      </c>
      <c r="B807" s="51" t="s">
        <v>3743</v>
      </c>
      <c r="J807" s="55" t="s">
        <v>5106</v>
      </c>
      <c r="K807" s="56" t="s">
        <v>3888</v>
      </c>
    </row>
    <row r="808" spans="1:11" x14ac:dyDescent="0.25">
      <c r="A808" t="s">
        <v>1674</v>
      </c>
      <c r="B808" s="51" t="s">
        <v>3744</v>
      </c>
      <c r="J808" s="55" t="s">
        <v>5107</v>
      </c>
      <c r="K808" s="56" t="s">
        <v>3890</v>
      </c>
    </row>
    <row r="809" spans="1:11" x14ac:dyDescent="0.25">
      <c r="A809" t="s">
        <v>4138</v>
      </c>
      <c r="B809" s="51" t="s">
        <v>3745</v>
      </c>
      <c r="J809" s="55" t="s">
        <v>5108</v>
      </c>
      <c r="K809" s="56" t="s">
        <v>4449</v>
      </c>
    </row>
    <row r="810" spans="1:11" x14ac:dyDescent="0.25">
      <c r="A810" t="s">
        <v>4139</v>
      </c>
      <c r="B810" s="51" t="s">
        <v>3746</v>
      </c>
      <c r="J810" s="55" t="s">
        <v>5109</v>
      </c>
      <c r="K810" s="56" t="s">
        <v>4450</v>
      </c>
    </row>
    <row r="811" spans="1:11" x14ac:dyDescent="0.25">
      <c r="A811" t="s">
        <v>4140</v>
      </c>
      <c r="B811" s="51" t="s">
        <v>3747</v>
      </c>
      <c r="J811" s="55" t="s">
        <v>5110</v>
      </c>
      <c r="K811" s="56" t="s">
        <v>4451</v>
      </c>
    </row>
    <row r="812" spans="1:11" x14ac:dyDescent="0.25">
      <c r="A812" t="s">
        <v>4141</v>
      </c>
      <c r="B812" s="51" t="s">
        <v>3748</v>
      </c>
      <c r="J812" s="55" t="s">
        <v>5111</v>
      </c>
      <c r="K812" s="56" t="s">
        <v>4452</v>
      </c>
    </row>
    <row r="813" spans="1:11" x14ac:dyDescent="0.25">
      <c r="A813" t="s">
        <v>4142</v>
      </c>
      <c r="B813" s="51" t="s">
        <v>3749</v>
      </c>
      <c r="J813" s="55" t="s">
        <v>5112</v>
      </c>
      <c r="K813" s="56" t="s">
        <v>4453</v>
      </c>
    </row>
    <row r="814" spans="1:11" x14ac:dyDescent="0.25">
      <c r="A814" t="s">
        <v>2146</v>
      </c>
      <c r="B814" s="51" t="s">
        <v>3750</v>
      </c>
      <c r="J814" s="55" t="s">
        <v>5113</v>
      </c>
      <c r="K814" s="56" t="s">
        <v>3794</v>
      </c>
    </row>
    <row r="815" spans="1:11" x14ac:dyDescent="0.25">
      <c r="A815" t="s">
        <v>2139</v>
      </c>
      <c r="B815" s="51" t="s">
        <v>3751</v>
      </c>
      <c r="J815" s="55" t="s">
        <v>5114</v>
      </c>
      <c r="K815" s="56" t="s">
        <v>3830</v>
      </c>
    </row>
    <row r="816" spans="1:11" x14ac:dyDescent="0.25">
      <c r="A816" t="s">
        <v>4143</v>
      </c>
      <c r="B816" s="51" t="s">
        <v>3752</v>
      </c>
      <c r="J816" s="55" t="s">
        <v>5115</v>
      </c>
      <c r="K816" s="56" t="s">
        <v>4454</v>
      </c>
    </row>
    <row r="817" spans="1:11" x14ac:dyDescent="0.25">
      <c r="A817" t="s">
        <v>1836</v>
      </c>
      <c r="B817" s="51" t="s">
        <v>3753</v>
      </c>
      <c r="J817" s="55" t="s">
        <v>5116</v>
      </c>
      <c r="K817" s="56" t="s">
        <v>4455</v>
      </c>
    </row>
    <row r="818" spans="1:11" x14ac:dyDescent="0.25">
      <c r="A818" t="s">
        <v>2261</v>
      </c>
      <c r="B818" s="51" t="s">
        <v>3754</v>
      </c>
      <c r="J818" s="55" t="s">
        <v>5117</v>
      </c>
      <c r="K818" s="56" t="s">
        <v>3684</v>
      </c>
    </row>
    <row r="819" spans="1:11" x14ac:dyDescent="0.25">
      <c r="A819" t="s">
        <v>4144</v>
      </c>
      <c r="B819" s="51" t="s">
        <v>3755</v>
      </c>
      <c r="J819" s="55" t="s">
        <v>5118</v>
      </c>
      <c r="K819" s="56" t="s">
        <v>3823</v>
      </c>
    </row>
    <row r="820" spans="1:11" x14ac:dyDescent="0.25">
      <c r="A820" t="s">
        <v>1662</v>
      </c>
      <c r="B820" s="51" t="s">
        <v>3756</v>
      </c>
      <c r="J820" s="55" t="s">
        <v>5119</v>
      </c>
      <c r="K820" s="56" t="s">
        <v>3790</v>
      </c>
    </row>
    <row r="821" spans="1:11" x14ac:dyDescent="0.25">
      <c r="A821" t="s">
        <v>1800</v>
      </c>
      <c r="B821" s="51" t="s">
        <v>3757</v>
      </c>
      <c r="J821" s="55" t="s">
        <v>5120</v>
      </c>
      <c r="K821" s="56" t="s">
        <v>3792</v>
      </c>
    </row>
    <row r="822" spans="1:11" x14ac:dyDescent="0.25">
      <c r="A822" t="s">
        <v>2112</v>
      </c>
      <c r="B822" s="51" t="s">
        <v>3758</v>
      </c>
      <c r="J822" s="55" t="s">
        <v>5121</v>
      </c>
      <c r="K822" s="56" t="s">
        <v>3795</v>
      </c>
    </row>
    <row r="823" spans="1:11" x14ac:dyDescent="0.25">
      <c r="A823" t="s">
        <v>2182</v>
      </c>
      <c r="B823" s="51" t="s">
        <v>3759</v>
      </c>
      <c r="J823" s="55" t="s">
        <v>5122</v>
      </c>
      <c r="K823" s="56" t="s">
        <v>3796</v>
      </c>
    </row>
    <row r="824" spans="1:11" x14ac:dyDescent="0.25">
      <c r="A824" t="s">
        <v>1979</v>
      </c>
      <c r="B824" s="51" t="s">
        <v>3760</v>
      </c>
      <c r="J824" s="55" t="s">
        <v>5123</v>
      </c>
      <c r="K824" s="56" t="s">
        <v>3797</v>
      </c>
    </row>
    <row r="825" spans="1:11" x14ac:dyDescent="0.25">
      <c r="A825" t="s">
        <v>1747</v>
      </c>
      <c r="B825" s="51" t="s">
        <v>3761</v>
      </c>
      <c r="J825" s="55" t="s">
        <v>5124</v>
      </c>
      <c r="K825" s="56" t="s">
        <v>3826</v>
      </c>
    </row>
    <row r="826" spans="1:11" x14ac:dyDescent="0.25">
      <c r="A826" t="s">
        <v>2201</v>
      </c>
      <c r="B826" s="51" t="s">
        <v>3762</v>
      </c>
      <c r="J826" s="55" t="s">
        <v>5125</v>
      </c>
      <c r="K826" s="56" t="s">
        <v>3827</v>
      </c>
    </row>
    <row r="827" spans="1:11" x14ac:dyDescent="0.25">
      <c r="A827" t="s">
        <v>2236</v>
      </c>
      <c r="B827" s="51" t="s">
        <v>3763</v>
      </c>
      <c r="J827" s="55" t="s">
        <v>5126</v>
      </c>
      <c r="K827" s="56" t="s">
        <v>3828</v>
      </c>
    </row>
    <row r="828" spans="1:11" x14ac:dyDescent="0.25">
      <c r="A828" t="s">
        <v>4145</v>
      </c>
      <c r="B828" s="51" t="s">
        <v>3764</v>
      </c>
      <c r="J828" s="55" t="s">
        <v>5127</v>
      </c>
      <c r="K828" s="56" t="s">
        <v>3829</v>
      </c>
    </row>
    <row r="829" spans="1:11" x14ac:dyDescent="0.25">
      <c r="A829" t="s">
        <v>1539</v>
      </c>
      <c r="B829" s="51" t="s">
        <v>3765</v>
      </c>
      <c r="J829" s="55" t="s">
        <v>5128</v>
      </c>
      <c r="K829" s="56" t="s">
        <v>3835</v>
      </c>
    </row>
    <row r="830" spans="1:11" x14ac:dyDescent="0.25">
      <c r="A830" t="s">
        <v>1869</v>
      </c>
      <c r="B830" s="51" t="s">
        <v>3766</v>
      </c>
      <c r="J830" s="55" t="s">
        <v>5129</v>
      </c>
      <c r="K830" s="56" t="s">
        <v>3696</v>
      </c>
    </row>
    <row r="831" spans="1:11" x14ac:dyDescent="0.25">
      <c r="A831" t="s">
        <v>1746</v>
      </c>
      <c r="B831" s="51" t="s">
        <v>3767</v>
      </c>
      <c r="J831" s="55" t="s">
        <v>5130</v>
      </c>
      <c r="K831" s="56" t="s">
        <v>3746</v>
      </c>
    </row>
    <row r="832" spans="1:11" x14ac:dyDescent="0.25">
      <c r="A832" t="s">
        <v>1870</v>
      </c>
      <c r="B832" s="51" t="s">
        <v>3768</v>
      </c>
      <c r="J832" s="55" t="s">
        <v>5131</v>
      </c>
      <c r="K832" s="56" t="s">
        <v>3889</v>
      </c>
    </row>
    <row r="833" spans="1:11" x14ac:dyDescent="0.25">
      <c r="A833" t="s">
        <v>4146</v>
      </c>
      <c r="B833" s="51" t="s">
        <v>3769</v>
      </c>
      <c r="J833" s="55" t="s">
        <v>5132</v>
      </c>
      <c r="K833" s="56" t="s">
        <v>3748</v>
      </c>
    </row>
    <row r="834" spans="1:11" x14ac:dyDescent="0.25">
      <c r="A834" t="s">
        <v>1497</v>
      </c>
      <c r="B834" s="51" t="s">
        <v>3770</v>
      </c>
      <c r="J834" s="55" t="s">
        <v>5133</v>
      </c>
      <c r="K834" s="56" t="s">
        <v>4456</v>
      </c>
    </row>
    <row r="835" spans="1:11" x14ac:dyDescent="0.25">
      <c r="A835" t="s">
        <v>1766</v>
      </c>
      <c r="B835" s="51" t="s">
        <v>3771</v>
      </c>
      <c r="J835" s="55" t="s">
        <v>5134</v>
      </c>
      <c r="K835" s="56" t="s">
        <v>4457</v>
      </c>
    </row>
    <row r="836" spans="1:11" x14ac:dyDescent="0.25">
      <c r="A836" t="s">
        <v>1394</v>
      </c>
      <c r="B836" s="51" t="s">
        <v>3772</v>
      </c>
      <c r="J836" s="55" t="s">
        <v>5135</v>
      </c>
      <c r="K836" s="56" t="s">
        <v>4458</v>
      </c>
    </row>
    <row r="837" spans="1:11" x14ac:dyDescent="0.25">
      <c r="A837" t="s">
        <v>1655</v>
      </c>
      <c r="B837" s="51" t="s">
        <v>3773</v>
      </c>
      <c r="J837" s="55" t="s">
        <v>5136</v>
      </c>
      <c r="K837" s="56" t="s">
        <v>3751</v>
      </c>
    </row>
    <row r="838" spans="1:11" x14ac:dyDescent="0.25">
      <c r="A838" t="s">
        <v>2221</v>
      </c>
      <c r="B838" s="51" t="s">
        <v>3774</v>
      </c>
      <c r="J838" s="55" t="s">
        <v>5137</v>
      </c>
      <c r="K838" s="56" t="s">
        <v>3757</v>
      </c>
    </row>
    <row r="839" spans="1:11" x14ac:dyDescent="0.25">
      <c r="A839" t="s">
        <v>2238</v>
      </c>
      <c r="B839" s="51" t="s">
        <v>3775</v>
      </c>
      <c r="J839" s="55" t="s">
        <v>5138</v>
      </c>
      <c r="K839" s="56" t="s">
        <v>3758</v>
      </c>
    </row>
    <row r="840" spans="1:11" x14ac:dyDescent="0.25">
      <c r="A840" t="s">
        <v>1901</v>
      </c>
      <c r="B840" s="51" t="s">
        <v>3776</v>
      </c>
      <c r="J840" s="55" t="s">
        <v>5139</v>
      </c>
      <c r="K840" s="56" t="s">
        <v>3759</v>
      </c>
    </row>
    <row r="841" spans="1:11" x14ac:dyDescent="0.25">
      <c r="A841" t="s">
        <v>1583</v>
      </c>
      <c r="B841" s="51" t="s">
        <v>3777</v>
      </c>
      <c r="J841" s="55" t="s">
        <v>5140</v>
      </c>
      <c r="K841" s="56" t="s">
        <v>3760</v>
      </c>
    </row>
    <row r="842" spans="1:11" x14ac:dyDescent="0.25">
      <c r="A842" t="s">
        <v>1663</v>
      </c>
      <c r="B842" s="51" t="s">
        <v>3778</v>
      </c>
      <c r="J842" s="55" t="s">
        <v>5141</v>
      </c>
      <c r="K842" s="56" t="s">
        <v>3838</v>
      </c>
    </row>
    <row r="843" spans="1:11" x14ac:dyDescent="0.25">
      <c r="A843" t="s">
        <v>2135</v>
      </c>
      <c r="B843" s="51" t="s">
        <v>3779</v>
      </c>
      <c r="J843" s="55" t="s">
        <v>5142</v>
      </c>
      <c r="K843" s="56" t="s">
        <v>3762</v>
      </c>
    </row>
    <row r="844" spans="1:11" x14ac:dyDescent="0.25">
      <c r="A844" t="s">
        <v>1669</v>
      </c>
      <c r="B844" s="51" t="s">
        <v>3780</v>
      </c>
      <c r="J844" s="55" t="s">
        <v>5143</v>
      </c>
      <c r="K844" s="56" t="s">
        <v>3764</v>
      </c>
    </row>
    <row r="845" spans="1:11" x14ac:dyDescent="0.25">
      <c r="A845" t="s">
        <v>1673</v>
      </c>
      <c r="B845" s="51" t="s">
        <v>3781</v>
      </c>
      <c r="J845" s="55" t="s">
        <v>5144</v>
      </c>
      <c r="K845" s="56" t="s">
        <v>3766</v>
      </c>
    </row>
    <row r="846" spans="1:11" x14ac:dyDescent="0.25">
      <c r="A846" t="s">
        <v>1798</v>
      </c>
      <c r="B846" s="51" t="s">
        <v>3782</v>
      </c>
      <c r="J846" s="55" t="s">
        <v>5145</v>
      </c>
      <c r="K846" s="56" t="s">
        <v>3767</v>
      </c>
    </row>
    <row r="847" spans="1:11" x14ac:dyDescent="0.25">
      <c r="A847" t="s">
        <v>2253</v>
      </c>
      <c r="B847" s="51" t="s">
        <v>3783</v>
      </c>
      <c r="J847" s="55" t="s">
        <v>5146</v>
      </c>
      <c r="K847" s="56" t="s">
        <v>3768</v>
      </c>
    </row>
    <row r="848" spans="1:11" x14ac:dyDescent="0.25">
      <c r="A848" t="s">
        <v>1920</v>
      </c>
      <c r="B848" s="51" t="s">
        <v>3784</v>
      </c>
      <c r="J848" s="55" t="s">
        <v>5147</v>
      </c>
      <c r="K848" s="56" t="s">
        <v>3769</v>
      </c>
    </row>
    <row r="849" spans="1:11" x14ac:dyDescent="0.25">
      <c r="A849" t="s">
        <v>1933</v>
      </c>
      <c r="B849" s="51" t="s">
        <v>3785</v>
      </c>
      <c r="J849" s="55" t="s">
        <v>5148</v>
      </c>
      <c r="K849" s="56" t="s">
        <v>3770</v>
      </c>
    </row>
    <row r="850" spans="1:11" x14ac:dyDescent="0.25">
      <c r="A850" t="s">
        <v>1936</v>
      </c>
      <c r="B850" s="51" t="s">
        <v>3786</v>
      </c>
      <c r="J850" s="55" t="s">
        <v>5149</v>
      </c>
      <c r="K850" s="56" t="s">
        <v>3771</v>
      </c>
    </row>
    <row r="851" spans="1:11" x14ac:dyDescent="0.25">
      <c r="A851" t="s">
        <v>1818</v>
      </c>
      <c r="B851" s="51" t="s">
        <v>3787</v>
      </c>
      <c r="J851" s="55" t="s">
        <v>5150</v>
      </c>
      <c r="K851" s="56" t="s">
        <v>3773</v>
      </c>
    </row>
    <row r="852" spans="1:11" x14ac:dyDescent="0.25">
      <c r="A852" t="s">
        <v>1685</v>
      </c>
      <c r="B852" s="51" t="s">
        <v>3788</v>
      </c>
      <c r="J852" s="55" t="s">
        <v>5151</v>
      </c>
      <c r="K852" s="56" t="s">
        <v>3774</v>
      </c>
    </row>
    <row r="853" spans="1:11" x14ac:dyDescent="0.25">
      <c r="A853" t="s">
        <v>1919</v>
      </c>
      <c r="B853" s="51" t="s">
        <v>3789</v>
      </c>
      <c r="J853" s="55" t="s">
        <v>5152</v>
      </c>
      <c r="K853" s="56" t="s">
        <v>3775</v>
      </c>
    </row>
    <row r="854" spans="1:11" x14ac:dyDescent="0.25">
      <c r="A854" t="s">
        <v>1557</v>
      </c>
      <c r="B854" s="51" t="s">
        <v>3790</v>
      </c>
      <c r="J854" s="55" t="s">
        <v>5153</v>
      </c>
      <c r="K854" s="56" t="s">
        <v>3776</v>
      </c>
    </row>
    <row r="855" spans="1:11" x14ac:dyDescent="0.25">
      <c r="A855" t="s">
        <v>1556</v>
      </c>
      <c r="B855" s="51" t="s">
        <v>3791</v>
      </c>
      <c r="J855" s="55" t="s">
        <v>5154</v>
      </c>
      <c r="K855" s="56" t="s">
        <v>3777</v>
      </c>
    </row>
    <row r="856" spans="1:11" x14ac:dyDescent="0.25">
      <c r="A856" t="s">
        <v>2255</v>
      </c>
      <c r="B856" s="51" t="s">
        <v>3792</v>
      </c>
      <c r="J856" s="55" t="s">
        <v>5155</v>
      </c>
      <c r="K856" s="56" t="s">
        <v>3778</v>
      </c>
    </row>
    <row r="857" spans="1:11" x14ac:dyDescent="0.25">
      <c r="A857" t="s">
        <v>1472</v>
      </c>
      <c r="B857" s="51" t="s">
        <v>3793</v>
      </c>
      <c r="J857" s="55" t="s">
        <v>5156</v>
      </c>
      <c r="K857" s="56" t="s">
        <v>3779</v>
      </c>
    </row>
    <row r="858" spans="1:11" x14ac:dyDescent="0.25">
      <c r="A858" t="s">
        <v>2270</v>
      </c>
      <c r="B858" s="51" t="s">
        <v>3794</v>
      </c>
      <c r="J858" s="55" t="s">
        <v>5157</v>
      </c>
      <c r="K858" s="56" t="s">
        <v>3780</v>
      </c>
    </row>
    <row r="859" spans="1:11" x14ac:dyDescent="0.25">
      <c r="A859" t="s">
        <v>2254</v>
      </c>
      <c r="B859" s="51" t="s">
        <v>3795</v>
      </c>
      <c r="J859" s="55" t="s">
        <v>5158</v>
      </c>
      <c r="K859" s="56" t="s">
        <v>3781</v>
      </c>
    </row>
    <row r="860" spans="1:11" x14ac:dyDescent="0.25">
      <c r="A860" t="s">
        <v>1560</v>
      </c>
      <c r="B860" s="51" t="s">
        <v>3796</v>
      </c>
      <c r="J860" s="55" t="s">
        <v>5159</v>
      </c>
      <c r="K860" s="56" t="s">
        <v>3782</v>
      </c>
    </row>
    <row r="861" spans="1:11" x14ac:dyDescent="0.25">
      <c r="A861" t="s">
        <v>1471</v>
      </c>
      <c r="B861" s="51" t="s">
        <v>3797</v>
      </c>
      <c r="J861" s="55" t="s">
        <v>5160</v>
      </c>
      <c r="K861" s="56" t="s">
        <v>3783</v>
      </c>
    </row>
    <row r="862" spans="1:11" x14ac:dyDescent="0.25">
      <c r="A862" t="s">
        <v>1561</v>
      </c>
      <c r="B862" s="51" t="s">
        <v>3798</v>
      </c>
      <c r="J862" s="55" t="s">
        <v>5161</v>
      </c>
      <c r="K862" s="56" t="s">
        <v>3784</v>
      </c>
    </row>
    <row r="863" spans="1:11" x14ac:dyDescent="0.25">
      <c r="A863" t="s">
        <v>1802</v>
      </c>
      <c r="B863" s="51" t="s">
        <v>3799</v>
      </c>
      <c r="J863" s="55" t="s">
        <v>5162</v>
      </c>
      <c r="K863" s="56" t="s">
        <v>3785</v>
      </c>
    </row>
    <row r="864" spans="1:11" x14ac:dyDescent="0.25">
      <c r="A864" t="s">
        <v>4147</v>
      </c>
      <c r="B864" s="51" t="s">
        <v>3800</v>
      </c>
      <c r="J864" s="55" t="s">
        <v>5163</v>
      </c>
      <c r="K864" s="56" t="s">
        <v>3697</v>
      </c>
    </row>
    <row r="865" spans="1:11" x14ac:dyDescent="0.25">
      <c r="A865" t="s">
        <v>2141</v>
      </c>
      <c r="B865" s="51" t="s">
        <v>3801</v>
      </c>
      <c r="J865" s="55" t="s">
        <v>5164</v>
      </c>
      <c r="K865" s="56" t="s">
        <v>3765</v>
      </c>
    </row>
    <row r="866" spans="1:11" x14ac:dyDescent="0.25">
      <c r="A866" t="s">
        <v>2258</v>
      </c>
      <c r="B866" s="51" t="s">
        <v>3802</v>
      </c>
      <c r="J866" s="55" t="s">
        <v>5165</v>
      </c>
      <c r="K866" s="56" t="s">
        <v>4459</v>
      </c>
    </row>
    <row r="867" spans="1:11" x14ac:dyDescent="0.25">
      <c r="A867" t="s">
        <v>2116</v>
      </c>
      <c r="B867" s="51" t="s">
        <v>3803</v>
      </c>
      <c r="J867" s="55" t="s">
        <v>5166</v>
      </c>
      <c r="K867" s="56" t="s">
        <v>4460</v>
      </c>
    </row>
    <row r="868" spans="1:11" x14ac:dyDescent="0.25">
      <c r="A868" t="s">
        <v>1778</v>
      </c>
      <c r="B868" s="51" t="s">
        <v>3804</v>
      </c>
      <c r="J868" s="55" t="s">
        <v>5167</v>
      </c>
      <c r="K868" s="56" t="s">
        <v>4461</v>
      </c>
    </row>
    <row r="869" spans="1:11" x14ac:dyDescent="0.25">
      <c r="A869" t="s">
        <v>2202</v>
      </c>
      <c r="B869" s="51" t="s">
        <v>3805</v>
      </c>
      <c r="J869" s="55" t="s">
        <v>5168</v>
      </c>
      <c r="K869" s="56" t="s">
        <v>3752</v>
      </c>
    </row>
    <row r="870" spans="1:11" x14ac:dyDescent="0.25">
      <c r="A870" t="s">
        <v>1447</v>
      </c>
      <c r="B870" s="51" t="s">
        <v>3806</v>
      </c>
      <c r="J870" s="55" t="s">
        <v>5169</v>
      </c>
      <c r="K870" s="56" t="s">
        <v>3802</v>
      </c>
    </row>
    <row r="871" spans="1:11" x14ac:dyDescent="0.25">
      <c r="A871" t="s">
        <v>2209</v>
      </c>
      <c r="B871" s="51" t="s">
        <v>3807</v>
      </c>
      <c r="J871" s="55" t="s">
        <v>5170</v>
      </c>
      <c r="K871" s="56" t="s">
        <v>3753</v>
      </c>
    </row>
    <row r="872" spans="1:11" x14ac:dyDescent="0.25">
      <c r="A872" t="s">
        <v>2217</v>
      </c>
      <c r="B872" s="51" t="s">
        <v>3808</v>
      </c>
      <c r="J872" s="55" t="s">
        <v>5171</v>
      </c>
      <c r="K872" s="56" t="s">
        <v>3803</v>
      </c>
    </row>
    <row r="873" spans="1:11" x14ac:dyDescent="0.25">
      <c r="A873" t="s">
        <v>1637</v>
      </c>
      <c r="B873" s="51" t="s">
        <v>3809</v>
      </c>
      <c r="J873" s="55" t="s">
        <v>5172</v>
      </c>
      <c r="K873" s="56" t="s">
        <v>3804</v>
      </c>
    </row>
    <row r="874" spans="1:11" x14ac:dyDescent="0.25">
      <c r="A874" t="s">
        <v>1763</v>
      </c>
      <c r="B874" s="51" t="s">
        <v>3810</v>
      </c>
      <c r="J874" s="55" t="s">
        <v>5173</v>
      </c>
      <c r="K874" s="56" t="s">
        <v>3805</v>
      </c>
    </row>
    <row r="875" spans="1:11" x14ac:dyDescent="0.25">
      <c r="A875" t="s">
        <v>2264</v>
      </c>
      <c r="B875" s="51" t="s">
        <v>3811</v>
      </c>
      <c r="J875" s="55" t="s">
        <v>5174</v>
      </c>
      <c r="K875" s="56" t="s">
        <v>3806</v>
      </c>
    </row>
    <row r="876" spans="1:11" x14ac:dyDescent="0.25">
      <c r="A876" t="s">
        <v>2008</v>
      </c>
      <c r="B876" s="51" t="s">
        <v>3812</v>
      </c>
      <c r="J876" s="55" t="s">
        <v>5175</v>
      </c>
      <c r="K876" s="56" t="s">
        <v>3807</v>
      </c>
    </row>
    <row r="877" spans="1:11" x14ac:dyDescent="0.25">
      <c r="A877" t="s">
        <v>1533</v>
      </c>
      <c r="B877" s="51" t="s">
        <v>3813</v>
      </c>
      <c r="J877" s="55" t="s">
        <v>5176</v>
      </c>
      <c r="K877" s="56" t="s">
        <v>3808</v>
      </c>
    </row>
    <row r="878" spans="1:11" x14ac:dyDescent="0.25">
      <c r="A878" t="s">
        <v>1819</v>
      </c>
      <c r="B878" s="51" t="s">
        <v>3814</v>
      </c>
      <c r="J878" s="55" t="s">
        <v>5177</v>
      </c>
      <c r="K878" s="56" t="s">
        <v>3809</v>
      </c>
    </row>
    <row r="879" spans="1:11" x14ac:dyDescent="0.25">
      <c r="A879" t="s">
        <v>1657</v>
      </c>
      <c r="B879" s="51" t="s">
        <v>3815</v>
      </c>
      <c r="J879" s="55" t="s">
        <v>5178</v>
      </c>
      <c r="K879" s="56" t="s">
        <v>3664</v>
      </c>
    </row>
    <row r="880" spans="1:11" x14ac:dyDescent="0.25">
      <c r="A880" t="s">
        <v>1449</v>
      </c>
      <c r="B880" s="51" t="s">
        <v>3816</v>
      </c>
      <c r="J880" s="55" t="s">
        <v>5179</v>
      </c>
      <c r="K880" s="56" t="s">
        <v>3810</v>
      </c>
    </row>
    <row r="881" spans="1:11" x14ac:dyDescent="0.25">
      <c r="A881" t="s">
        <v>1782</v>
      </c>
      <c r="B881" s="51" t="s">
        <v>3817</v>
      </c>
      <c r="J881" s="55" t="s">
        <v>5180</v>
      </c>
      <c r="K881" s="56" t="s">
        <v>3813</v>
      </c>
    </row>
    <row r="882" spans="1:11" x14ac:dyDescent="0.25">
      <c r="A882" t="s">
        <v>1691</v>
      </c>
      <c r="B882" s="51" t="s">
        <v>3818</v>
      </c>
      <c r="J882" s="55" t="s">
        <v>5181</v>
      </c>
      <c r="K882" s="56" t="s">
        <v>3814</v>
      </c>
    </row>
    <row r="883" spans="1:11" x14ac:dyDescent="0.25">
      <c r="A883" t="s">
        <v>2273</v>
      </c>
      <c r="B883" s="51" t="s">
        <v>3819</v>
      </c>
      <c r="J883" s="55" t="s">
        <v>5182</v>
      </c>
      <c r="K883" s="56" t="s">
        <v>3815</v>
      </c>
    </row>
    <row r="884" spans="1:11" x14ac:dyDescent="0.25">
      <c r="A884" t="s">
        <v>1565</v>
      </c>
      <c r="B884" s="51" t="s">
        <v>3820</v>
      </c>
      <c r="J884" s="55" t="s">
        <v>5183</v>
      </c>
      <c r="K884" s="56" t="s">
        <v>3816</v>
      </c>
    </row>
    <row r="885" spans="1:11" x14ac:dyDescent="0.25">
      <c r="A885" t="s">
        <v>1817</v>
      </c>
      <c r="B885" s="51" t="s">
        <v>3821</v>
      </c>
      <c r="J885" s="55" t="s">
        <v>5184</v>
      </c>
      <c r="K885" s="56" t="s">
        <v>3612</v>
      </c>
    </row>
    <row r="886" spans="1:11" x14ac:dyDescent="0.25">
      <c r="A886" t="s">
        <v>1822</v>
      </c>
      <c r="B886" s="51" t="s">
        <v>3822</v>
      </c>
      <c r="J886" s="55" t="s">
        <v>5185</v>
      </c>
      <c r="K886" s="56" t="s">
        <v>3817</v>
      </c>
    </row>
    <row r="887" spans="1:11" x14ac:dyDescent="0.25">
      <c r="A887" t="s">
        <v>2089</v>
      </c>
      <c r="B887" s="51" t="s">
        <v>3823</v>
      </c>
      <c r="J887" s="55" t="s">
        <v>5186</v>
      </c>
      <c r="K887" s="56" t="s">
        <v>3679</v>
      </c>
    </row>
    <row r="888" spans="1:11" x14ac:dyDescent="0.25">
      <c r="A888" t="s">
        <v>1976</v>
      </c>
      <c r="B888" s="51" t="s">
        <v>3824</v>
      </c>
      <c r="J888" s="55" t="s">
        <v>5187</v>
      </c>
      <c r="K888" s="56" t="s">
        <v>3818</v>
      </c>
    </row>
    <row r="889" spans="1:11" x14ac:dyDescent="0.25">
      <c r="A889" t="s">
        <v>1424</v>
      </c>
      <c r="B889" s="51" t="s">
        <v>3825</v>
      </c>
      <c r="J889" s="55" t="s">
        <v>5188</v>
      </c>
      <c r="K889" s="56" t="s">
        <v>3788</v>
      </c>
    </row>
    <row r="890" spans="1:11" x14ac:dyDescent="0.25">
      <c r="A890" t="s">
        <v>1389</v>
      </c>
      <c r="B890" s="51" t="s">
        <v>3826</v>
      </c>
      <c r="J890" s="55" t="s">
        <v>5189</v>
      </c>
      <c r="K890" s="56" t="s">
        <v>4462</v>
      </c>
    </row>
    <row r="891" spans="1:11" x14ac:dyDescent="0.25">
      <c r="A891" t="s">
        <v>2006</v>
      </c>
      <c r="B891" s="51" t="s">
        <v>3827</v>
      </c>
      <c r="J891" s="55" t="s">
        <v>5190</v>
      </c>
      <c r="K891" s="56" t="s">
        <v>4463</v>
      </c>
    </row>
    <row r="892" spans="1:11" x14ac:dyDescent="0.25">
      <c r="A892" t="s">
        <v>1465</v>
      </c>
      <c r="B892" s="51" t="s">
        <v>3828</v>
      </c>
      <c r="J892" s="55" t="s">
        <v>5191</v>
      </c>
      <c r="K892" s="56" t="s">
        <v>4464</v>
      </c>
    </row>
    <row r="893" spans="1:11" x14ac:dyDescent="0.25">
      <c r="A893" t="s">
        <v>1923</v>
      </c>
      <c r="B893" s="51" t="s">
        <v>3829</v>
      </c>
      <c r="J893" s="55" t="s">
        <v>5192</v>
      </c>
      <c r="K893" s="56" t="s">
        <v>4465</v>
      </c>
    </row>
    <row r="894" spans="1:11" x14ac:dyDescent="0.25">
      <c r="A894" t="s">
        <v>1466</v>
      </c>
      <c r="B894" s="51" t="s">
        <v>3830</v>
      </c>
      <c r="J894" s="55" t="s">
        <v>5193</v>
      </c>
      <c r="K894" s="56" t="s">
        <v>4466</v>
      </c>
    </row>
    <row r="895" spans="1:11" x14ac:dyDescent="0.25">
      <c r="A895" t="s">
        <v>2037</v>
      </c>
      <c r="B895" s="51" t="s">
        <v>3831</v>
      </c>
      <c r="J895" s="55" t="s">
        <v>5194</v>
      </c>
      <c r="K895" s="56" t="s">
        <v>4467</v>
      </c>
    </row>
    <row r="896" spans="1:11" x14ac:dyDescent="0.25">
      <c r="A896" t="s">
        <v>1562</v>
      </c>
      <c r="B896" s="51" t="s">
        <v>3832</v>
      </c>
      <c r="J896" s="55" t="s">
        <v>5195</v>
      </c>
      <c r="K896" s="56" t="s">
        <v>4468</v>
      </c>
    </row>
    <row r="897" spans="1:11" x14ac:dyDescent="0.25">
      <c r="A897" t="s">
        <v>1909</v>
      </c>
      <c r="B897" s="51" t="s">
        <v>3833</v>
      </c>
      <c r="J897" s="55" t="s">
        <v>5196</v>
      </c>
      <c r="K897" s="56" t="s">
        <v>3624</v>
      </c>
    </row>
    <row r="898" spans="1:11" x14ac:dyDescent="0.25">
      <c r="A898" t="s">
        <v>1686</v>
      </c>
      <c r="B898" s="51" t="s">
        <v>3834</v>
      </c>
      <c r="J898" s="55" t="s">
        <v>5197</v>
      </c>
      <c r="K898" s="56" t="s">
        <v>3699</v>
      </c>
    </row>
    <row r="899" spans="1:11" x14ac:dyDescent="0.25">
      <c r="A899" t="s">
        <v>1820</v>
      </c>
      <c r="B899" s="51" t="s">
        <v>3835</v>
      </c>
      <c r="J899" s="55" t="s">
        <v>5198</v>
      </c>
      <c r="K899" s="56" t="s">
        <v>3822</v>
      </c>
    </row>
    <row r="900" spans="1:11" x14ac:dyDescent="0.25">
      <c r="A900" t="s">
        <v>1479</v>
      </c>
      <c r="B900" s="51" t="s">
        <v>3836</v>
      </c>
      <c r="J900" s="55" t="s">
        <v>5199</v>
      </c>
      <c r="K900" s="56" t="s">
        <v>3723</v>
      </c>
    </row>
    <row r="901" spans="1:11" x14ac:dyDescent="0.25">
      <c r="A901" t="s">
        <v>4148</v>
      </c>
      <c r="B901" s="51" t="s">
        <v>3837</v>
      </c>
      <c r="J901" s="55" t="s">
        <v>5200</v>
      </c>
      <c r="K901" s="56" t="s">
        <v>3761</v>
      </c>
    </row>
    <row r="902" spans="1:11" x14ac:dyDescent="0.25">
      <c r="A902" t="s">
        <v>2122</v>
      </c>
      <c r="B902" s="51" t="s">
        <v>3838</v>
      </c>
      <c r="J902" s="55" t="s">
        <v>5201</v>
      </c>
      <c r="K902" s="56" t="s">
        <v>3749</v>
      </c>
    </row>
    <row r="903" spans="1:11" x14ac:dyDescent="0.25">
      <c r="A903" t="s">
        <v>2043</v>
      </c>
      <c r="B903" s="51" t="s">
        <v>3839</v>
      </c>
      <c r="J903" s="55" t="s">
        <v>5202</v>
      </c>
      <c r="K903" s="56" t="s">
        <v>3801</v>
      </c>
    </row>
    <row r="904" spans="1:11" x14ac:dyDescent="0.25">
      <c r="A904" t="s">
        <v>2250</v>
      </c>
      <c r="B904" s="51" t="s">
        <v>3840</v>
      </c>
      <c r="J904" s="55" t="s">
        <v>5203</v>
      </c>
      <c r="K904" s="56" t="s">
        <v>3831</v>
      </c>
    </row>
    <row r="905" spans="1:11" x14ac:dyDescent="0.25">
      <c r="A905" t="s">
        <v>2237</v>
      </c>
      <c r="B905" s="51" t="s">
        <v>3841</v>
      </c>
      <c r="J905" s="55" t="s">
        <v>5204</v>
      </c>
      <c r="K905" s="56" t="s">
        <v>3841</v>
      </c>
    </row>
    <row r="906" spans="1:11" x14ac:dyDescent="0.25">
      <c r="A906" t="s">
        <v>1796</v>
      </c>
      <c r="B906" s="51" t="s">
        <v>3842</v>
      </c>
      <c r="J906" s="55" t="s">
        <v>5205</v>
      </c>
      <c r="K906" s="56" t="s">
        <v>3839</v>
      </c>
    </row>
    <row r="907" spans="1:11" x14ac:dyDescent="0.25">
      <c r="A907" t="s">
        <v>1457</v>
      </c>
      <c r="B907" s="51" t="s">
        <v>3843</v>
      </c>
      <c r="J907" s="55" t="s">
        <v>5206</v>
      </c>
      <c r="K907" s="56" t="s">
        <v>3840</v>
      </c>
    </row>
    <row r="908" spans="1:11" x14ac:dyDescent="0.25">
      <c r="A908" t="s">
        <v>2282</v>
      </c>
      <c r="B908" s="51" t="s">
        <v>3844</v>
      </c>
      <c r="J908" s="55" t="s">
        <v>5207</v>
      </c>
      <c r="K908" s="56" t="s">
        <v>3681</v>
      </c>
    </row>
    <row r="909" spans="1:11" x14ac:dyDescent="0.25">
      <c r="A909" t="s">
        <v>1666</v>
      </c>
      <c r="B909" s="51" t="s">
        <v>3845</v>
      </c>
      <c r="J909" s="55" t="s">
        <v>5208</v>
      </c>
      <c r="K909" s="56" t="s">
        <v>4469</v>
      </c>
    </row>
    <row r="910" spans="1:11" x14ac:dyDescent="0.25">
      <c r="A910" t="s">
        <v>1821</v>
      </c>
      <c r="B910" s="51" t="s">
        <v>3846</v>
      </c>
      <c r="J910" s="55" t="s">
        <v>5209</v>
      </c>
      <c r="K910" s="56" t="s">
        <v>4470</v>
      </c>
    </row>
    <row r="911" spans="1:11" x14ac:dyDescent="0.25">
      <c r="A911" t="s">
        <v>1553</v>
      </c>
      <c r="B911" s="51" t="s">
        <v>3847</v>
      </c>
      <c r="J911" s="55" t="s">
        <v>5210</v>
      </c>
      <c r="K911" s="56" t="s">
        <v>3845</v>
      </c>
    </row>
    <row r="912" spans="1:11" x14ac:dyDescent="0.25">
      <c r="A912" t="s">
        <v>1476</v>
      </c>
      <c r="B912" s="51" t="s">
        <v>3848</v>
      </c>
      <c r="J912" s="55" t="s">
        <v>5211</v>
      </c>
      <c r="K912" s="56" t="s">
        <v>3825</v>
      </c>
    </row>
    <row r="913" spans="1:11" x14ac:dyDescent="0.25">
      <c r="A913" t="s">
        <v>1478</v>
      </c>
      <c r="B913" s="51" t="s">
        <v>3849</v>
      </c>
      <c r="J913" s="55" t="s">
        <v>5212</v>
      </c>
      <c r="K913" s="56" t="s">
        <v>3847</v>
      </c>
    </row>
    <row r="914" spans="1:11" x14ac:dyDescent="0.25">
      <c r="A914" t="s">
        <v>1477</v>
      </c>
      <c r="B914" s="51" t="s">
        <v>3850</v>
      </c>
      <c r="J914" s="55" t="s">
        <v>5213</v>
      </c>
      <c r="K914" s="56" t="s">
        <v>3848</v>
      </c>
    </row>
    <row r="915" spans="1:11" x14ac:dyDescent="0.25">
      <c r="A915" t="s">
        <v>1571</v>
      </c>
      <c r="B915" s="51" t="s">
        <v>3851</v>
      </c>
      <c r="J915" s="55" t="s">
        <v>5214</v>
      </c>
      <c r="K915" s="56" t="s">
        <v>3862</v>
      </c>
    </row>
    <row r="916" spans="1:11" x14ac:dyDescent="0.25">
      <c r="A916" t="s">
        <v>2017</v>
      </c>
      <c r="B916" s="51" t="s">
        <v>3852</v>
      </c>
      <c r="J916" s="55" t="s">
        <v>5215</v>
      </c>
      <c r="K916" s="56" t="s">
        <v>3864</v>
      </c>
    </row>
    <row r="917" spans="1:11" x14ac:dyDescent="0.25">
      <c r="A917" t="s">
        <v>1573</v>
      </c>
      <c r="B917" s="51" t="s">
        <v>3853</v>
      </c>
      <c r="J917" s="55" t="s">
        <v>5216</v>
      </c>
      <c r="K917" s="56" t="s">
        <v>3837</v>
      </c>
    </row>
    <row r="918" spans="1:11" x14ac:dyDescent="0.25">
      <c r="A918" t="s">
        <v>1688</v>
      </c>
      <c r="B918" s="51" t="s">
        <v>3854</v>
      </c>
      <c r="J918" s="55" t="s">
        <v>5217</v>
      </c>
      <c r="K918" s="56" t="s">
        <v>3866</v>
      </c>
    </row>
    <row r="919" spans="1:11" x14ac:dyDescent="0.25">
      <c r="A919" t="s">
        <v>1693</v>
      </c>
      <c r="B919" s="51" t="s">
        <v>3855</v>
      </c>
      <c r="J919" s="55" t="s">
        <v>5218</v>
      </c>
      <c r="K919" s="56" t="s">
        <v>4471</v>
      </c>
    </row>
    <row r="920" spans="1:11" x14ac:dyDescent="0.25">
      <c r="A920" t="s">
        <v>1827</v>
      </c>
      <c r="B920" s="51" t="s">
        <v>3856</v>
      </c>
      <c r="J920" s="55" t="s">
        <v>5219</v>
      </c>
      <c r="K920" s="56" t="s">
        <v>4472</v>
      </c>
    </row>
    <row r="921" spans="1:11" x14ac:dyDescent="0.25">
      <c r="A921" t="s">
        <v>2118</v>
      </c>
      <c r="B921" s="51" t="s">
        <v>3857</v>
      </c>
      <c r="J921" s="55" t="s">
        <v>5220</v>
      </c>
      <c r="K921" s="56" t="s">
        <v>4473</v>
      </c>
    </row>
    <row r="922" spans="1:11" x14ac:dyDescent="0.25">
      <c r="A922" t="s">
        <v>2050</v>
      </c>
      <c r="B922" s="51" t="s">
        <v>3858</v>
      </c>
      <c r="J922" s="55" t="s">
        <v>5221</v>
      </c>
      <c r="K922" s="56" t="s">
        <v>4474</v>
      </c>
    </row>
    <row r="923" spans="1:11" x14ac:dyDescent="0.25">
      <c r="A923" t="s">
        <v>1574</v>
      </c>
      <c r="B923" s="51" t="s">
        <v>3859</v>
      </c>
      <c r="J923" s="55" t="s">
        <v>5222</v>
      </c>
      <c r="K923" s="56" t="s">
        <v>4475</v>
      </c>
    </row>
    <row r="924" spans="1:11" x14ac:dyDescent="0.25">
      <c r="A924" t="s">
        <v>1687</v>
      </c>
      <c r="B924" s="51" t="s">
        <v>3860</v>
      </c>
      <c r="J924" s="55" t="s">
        <v>5223</v>
      </c>
      <c r="K924" s="56" t="s">
        <v>4476</v>
      </c>
    </row>
    <row r="925" spans="1:11" x14ac:dyDescent="0.25">
      <c r="A925" t="s">
        <v>2051</v>
      </c>
      <c r="B925" s="51" t="s">
        <v>3861</v>
      </c>
      <c r="J925" s="55" t="s">
        <v>5224</v>
      </c>
      <c r="K925" s="56" t="s">
        <v>4477</v>
      </c>
    </row>
    <row r="926" spans="1:11" x14ac:dyDescent="0.25">
      <c r="A926" t="s">
        <v>1577</v>
      </c>
      <c r="B926" s="51" t="s">
        <v>3862</v>
      </c>
      <c r="J926" s="55" t="s">
        <v>5225</v>
      </c>
      <c r="K926" s="56" t="s">
        <v>4478</v>
      </c>
    </row>
    <row r="927" spans="1:11" x14ac:dyDescent="0.25">
      <c r="A927" t="s">
        <v>1572</v>
      </c>
      <c r="B927" s="51" t="s">
        <v>3863</v>
      </c>
      <c r="J927" s="55" t="s">
        <v>5226</v>
      </c>
      <c r="K927" s="56" t="s">
        <v>4479</v>
      </c>
    </row>
    <row r="928" spans="1:11" x14ac:dyDescent="0.25">
      <c r="A928" t="s">
        <v>2147</v>
      </c>
      <c r="B928" s="51" t="s">
        <v>3864</v>
      </c>
      <c r="J928" s="55" t="s">
        <v>5227</v>
      </c>
      <c r="K928" s="56" t="s">
        <v>4480</v>
      </c>
    </row>
    <row r="929" spans="1:11" x14ac:dyDescent="0.25">
      <c r="A929" t="s">
        <v>2049</v>
      </c>
      <c r="B929" s="51" t="s">
        <v>3865</v>
      </c>
      <c r="J929" s="55" t="s">
        <v>5228</v>
      </c>
      <c r="K929" s="56" t="s">
        <v>3720</v>
      </c>
    </row>
    <row r="930" spans="1:11" x14ac:dyDescent="0.25">
      <c r="A930" t="s">
        <v>1934</v>
      </c>
      <c r="B930" s="51" t="s">
        <v>3866</v>
      </c>
      <c r="J930" s="55" t="s">
        <v>5229</v>
      </c>
      <c r="K930" s="56" t="s">
        <v>3721</v>
      </c>
    </row>
    <row r="931" spans="1:11" x14ac:dyDescent="0.25">
      <c r="A931" t="s">
        <v>1689</v>
      </c>
      <c r="B931" s="51" t="s">
        <v>3867</v>
      </c>
      <c r="J931" s="55" t="s">
        <v>5230</v>
      </c>
      <c r="K931" s="56" t="s">
        <v>3722</v>
      </c>
    </row>
    <row r="932" spans="1:11" x14ac:dyDescent="0.25">
      <c r="A932" t="s">
        <v>1660</v>
      </c>
      <c r="B932" s="51" t="s">
        <v>3868</v>
      </c>
      <c r="J932" s="55" t="s">
        <v>5231</v>
      </c>
      <c r="K932" s="56" t="s">
        <v>3724</v>
      </c>
    </row>
    <row r="933" spans="1:11" x14ac:dyDescent="0.25">
      <c r="A933" t="s">
        <v>1935</v>
      </c>
      <c r="B933" s="51" t="s">
        <v>3869</v>
      </c>
      <c r="J933" s="55" t="s">
        <v>5232</v>
      </c>
      <c r="K933" s="56" t="s">
        <v>3820</v>
      </c>
    </row>
    <row r="934" spans="1:11" x14ac:dyDescent="0.25">
      <c r="A934" t="s">
        <v>2152</v>
      </c>
      <c r="B934" s="51" t="s">
        <v>3870</v>
      </c>
      <c r="J934" s="55" t="s">
        <v>5233</v>
      </c>
      <c r="K934" s="56" t="s">
        <v>3728</v>
      </c>
    </row>
    <row r="935" spans="1:11" x14ac:dyDescent="0.25">
      <c r="A935" t="s">
        <v>2157</v>
      </c>
      <c r="B935" s="51" t="s">
        <v>3871</v>
      </c>
      <c r="J935" s="55" t="s">
        <v>5234</v>
      </c>
      <c r="K935" s="56" t="s">
        <v>3731</v>
      </c>
    </row>
    <row r="936" spans="1:11" x14ac:dyDescent="0.25">
      <c r="A936" t="s">
        <v>1545</v>
      </c>
      <c r="B936" s="51" t="s">
        <v>3872</v>
      </c>
      <c r="J936" s="55" t="s">
        <v>5235</v>
      </c>
      <c r="K936" s="56" t="s">
        <v>3732</v>
      </c>
    </row>
    <row r="937" spans="1:11" x14ac:dyDescent="0.25">
      <c r="A937" t="s">
        <v>1697</v>
      </c>
      <c r="B937" s="51" t="s">
        <v>3873</v>
      </c>
      <c r="J937" s="55" t="s">
        <v>5236</v>
      </c>
      <c r="K937" s="56" t="s">
        <v>3733</v>
      </c>
    </row>
    <row r="938" spans="1:11" x14ac:dyDescent="0.25">
      <c r="A938" t="s">
        <v>1664</v>
      </c>
      <c r="B938" s="51" t="s">
        <v>3874</v>
      </c>
      <c r="J938" s="55" t="s">
        <v>5237</v>
      </c>
      <c r="K938" s="56" t="s">
        <v>3734</v>
      </c>
    </row>
    <row r="939" spans="1:11" x14ac:dyDescent="0.25">
      <c r="A939" t="s">
        <v>2025</v>
      </c>
      <c r="B939" s="51" t="s">
        <v>3875</v>
      </c>
      <c r="J939" s="55" t="s">
        <v>5238</v>
      </c>
      <c r="K939" s="56" t="s">
        <v>3735</v>
      </c>
    </row>
    <row r="940" spans="1:11" x14ac:dyDescent="0.25">
      <c r="A940" t="s">
        <v>1483</v>
      </c>
      <c r="B940" s="51" t="s">
        <v>3876</v>
      </c>
      <c r="J940" s="55" t="s">
        <v>5239</v>
      </c>
      <c r="K940" s="56" t="s">
        <v>3736</v>
      </c>
    </row>
    <row r="941" spans="1:11" x14ac:dyDescent="0.25">
      <c r="A941" t="s">
        <v>1475</v>
      </c>
      <c r="B941" s="51" t="s">
        <v>3877</v>
      </c>
      <c r="J941" s="55" t="s">
        <v>5240</v>
      </c>
      <c r="K941" s="56" t="s">
        <v>3737</v>
      </c>
    </row>
    <row r="942" spans="1:11" x14ac:dyDescent="0.25">
      <c r="A942" t="s">
        <v>1484</v>
      </c>
      <c r="B942" s="51" t="s">
        <v>3878</v>
      </c>
      <c r="J942" s="55" t="s">
        <v>5241</v>
      </c>
      <c r="K942" s="56" t="s">
        <v>3642</v>
      </c>
    </row>
    <row r="943" spans="1:11" x14ac:dyDescent="0.25">
      <c r="A943" t="s">
        <v>1823</v>
      </c>
      <c r="B943" s="51" t="s">
        <v>3879</v>
      </c>
      <c r="J943" s="55" t="s">
        <v>5242</v>
      </c>
      <c r="K943" s="56" t="s">
        <v>3744</v>
      </c>
    </row>
    <row r="944" spans="1:11" x14ac:dyDescent="0.25">
      <c r="A944" t="s">
        <v>1831</v>
      </c>
      <c r="B944" s="51" t="s">
        <v>3880</v>
      </c>
      <c r="J944" s="55" t="s">
        <v>5243</v>
      </c>
      <c r="K944" s="56" t="s">
        <v>3745</v>
      </c>
    </row>
    <row r="945" spans="1:11" x14ac:dyDescent="0.25">
      <c r="A945" t="s">
        <v>1824</v>
      </c>
      <c r="B945" s="51" t="s">
        <v>3881</v>
      </c>
      <c r="J945" s="55" t="s">
        <v>5244</v>
      </c>
      <c r="K945" s="56" t="s">
        <v>3892</v>
      </c>
    </row>
    <row r="946" spans="1:11" x14ac:dyDescent="0.25">
      <c r="A946" t="s">
        <v>4149</v>
      </c>
      <c r="B946" s="51" t="s">
        <v>3882</v>
      </c>
      <c r="J946" s="55" t="s">
        <v>5245</v>
      </c>
      <c r="K946" s="56" t="s">
        <v>3852</v>
      </c>
    </row>
    <row r="947" spans="1:11" x14ac:dyDescent="0.25">
      <c r="A947" t="s">
        <v>1891</v>
      </c>
      <c r="B947" s="51" t="s">
        <v>3883</v>
      </c>
      <c r="J947" s="55" t="s">
        <v>5246</v>
      </c>
      <c r="K947" s="56" t="s">
        <v>3853</v>
      </c>
    </row>
    <row r="948" spans="1:11" x14ac:dyDescent="0.25">
      <c r="A948" t="s">
        <v>2032</v>
      </c>
      <c r="B948" s="51" t="s">
        <v>3884</v>
      </c>
      <c r="J948" s="55" t="s">
        <v>5247</v>
      </c>
      <c r="K948" s="56" t="s">
        <v>3824</v>
      </c>
    </row>
    <row r="949" spans="1:11" x14ac:dyDescent="0.25">
      <c r="A949" t="s">
        <v>1918</v>
      </c>
      <c r="B949" s="51" t="s">
        <v>3885</v>
      </c>
      <c r="J949" s="55" t="s">
        <v>5248</v>
      </c>
      <c r="K949" s="56" t="s">
        <v>3869</v>
      </c>
    </row>
    <row r="950" spans="1:11" x14ac:dyDescent="0.25">
      <c r="A950" t="s">
        <v>2075</v>
      </c>
      <c r="B950" s="51" t="s">
        <v>3886</v>
      </c>
      <c r="J950" s="55" t="s">
        <v>5249</v>
      </c>
      <c r="K950" s="56" t="s">
        <v>3881</v>
      </c>
    </row>
    <row r="951" spans="1:11" x14ac:dyDescent="0.25">
      <c r="A951" t="s">
        <v>2121</v>
      </c>
      <c r="B951" s="51" t="s">
        <v>3887</v>
      </c>
      <c r="J951" s="55" t="s">
        <v>5250</v>
      </c>
      <c r="K951" s="56" t="s">
        <v>3756</v>
      </c>
    </row>
    <row r="952" spans="1:11" x14ac:dyDescent="0.25">
      <c r="A952" t="s">
        <v>2018</v>
      </c>
      <c r="B952" s="51" t="s">
        <v>3888</v>
      </c>
      <c r="J952" s="55" t="s">
        <v>5251</v>
      </c>
      <c r="K952" s="56" t="s">
        <v>3725</v>
      </c>
    </row>
    <row r="953" spans="1:11" x14ac:dyDescent="0.25">
      <c r="A953" t="s">
        <v>4150</v>
      </c>
      <c r="B953" s="51" t="s">
        <v>3889</v>
      </c>
      <c r="J953" s="55" t="s">
        <v>5252</v>
      </c>
      <c r="K953" s="56" t="s">
        <v>3726</v>
      </c>
    </row>
    <row r="954" spans="1:11" x14ac:dyDescent="0.25">
      <c r="A954" t="s">
        <v>4151</v>
      </c>
      <c r="B954" s="51" t="s">
        <v>3890</v>
      </c>
      <c r="J954" s="55" t="s">
        <v>5253</v>
      </c>
      <c r="K954" s="56" t="s">
        <v>3727</v>
      </c>
    </row>
    <row r="955" spans="1:11" x14ac:dyDescent="0.25">
      <c r="A955" t="s">
        <v>4152</v>
      </c>
      <c r="B955" s="51" t="s">
        <v>3891</v>
      </c>
      <c r="J955" s="55" t="s">
        <v>5254</v>
      </c>
      <c r="K955" s="56" t="s">
        <v>3729</v>
      </c>
    </row>
    <row r="956" spans="1:11" x14ac:dyDescent="0.25">
      <c r="A956" t="s">
        <v>1977</v>
      </c>
      <c r="B956" s="51" t="s">
        <v>3892</v>
      </c>
      <c r="J956" s="55" t="s">
        <v>5255</v>
      </c>
      <c r="K956" s="56" t="s">
        <v>3738</v>
      </c>
    </row>
    <row r="957" spans="1:11" x14ac:dyDescent="0.25">
      <c r="A957" t="s">
        <v>1850</v>
      </c>
      <c r="B957" s="51" t="s">
        <v>3893</v>
      </c>
      <c r="J957" s="55" t="s">
        <v>5256</v>
      </c>
      <c r="K957" s="56" t="s">
        <v>3739</v>
      </c>
    </row>
    <row r="958" spans="1:11" x14ac:dyDescent="0.25">
      <c r="A958" t="s">
        <v>1861</v>
      </c>
      <c r="B958" s="51" t="s">
        <v>3894</v>
      </c>
      <c r="J958" s="55" t="s">
        <v>5257</v>
      </c>
      <c r="K958" s="56" t="s">
        <v>3740</v>
      </c>
    </row>
    <row r="959" spans="1:11" x14ac:dyDescent="0.25">
      <c r="A959" t="s">
        <v>1828</v>
      </c>
      <c r="B959" s="51" t="s">
        <v>3895</v>
      </c>
      <c r="J959" s="55" t="s">
        <v>5258</v>
      </c>
      <c r="K959" s="56" t="s">
        <v>3741</v>
      </c>
    </row>
    <row r="960" spans="1:11" x14ac:dyDescent="0.25">
      <c r="A960" t="s">
        <v>1695</v>
      </c>
      <c r="B960" s="51" t="s">
        <v>3896</v>
      </c>
      <c r="J960" s="55" t="s">
        <v>5259</v>
      </c>
      <c r="K960" s="56" t="s">
        <v>3742</v>
      </c>
    </row>
    <row r="961" spans="1:11" x14ac:dyDescent="0.25">
      <c r="A961" t="s">
        <v>1829</v>
      </c>
      <c r="B961" s="51" t="s">
        <v>3897</v>
      </c>
      <c r="J961" s="55" t="s">
        <v>5260</v>
      </c>
      <c r="K961" s="56" t="s">
        <v>3821</v>
      </c>
    </row>
    <row r="962" spans="1:11" x14ac:dyDescent="0.25">
      <c r="A962" t="s">
        <v>1830</v>
      </c>
      <c r="B962" s="51" t="s">
        <v>3898</v>
      </c>
      <c r="J962" s="55" t="s">
        <v>5261</v>
      </c>
      <c r="K962" s="56" t="s">
        <v>4481</v>
      </c>
    </row>
    <row r="963" spans="1:11" x14ac:dyDescent="0.25">
      <c r="A963" t="s">
        <v>1410</v>
      </c>
      <c r="B963" s="51" t="s">
        <v>3899</v>
      </c>
      <c r="J963" s="55" t="s">
        <v>5262</v>
      </c>
      <c r="K963" s="56" t="s">
        <v>3891</v>
      </c>
    </row>
    <row r="964" spans="1:11" x14ac:dyDescent="0.25">
      <c r="A964" t="s">
        <v>1744</v>
      </c>
      <c r="B964" s="51" t="s">
        <v>3900</v>
      </c>
      <c r="J964" s="55" t="s">
        <v>5263</v>
      </c>
      <c r="K964" s="56" t="s">
        <v>4482</v>
      </c>
    </row>
    <row r="965" spans="1:11" x14ac:dyDescent="0.25">
      <c r="A965" t="s">
        <v>1881</v>
      </c>
      <c r="B965" s="51" t="s">
        <v>3901</v>
      </c>
      <c r="J965" s="55" t="s">
        <v>5264</v>
      </c>
      <c r="K965" s="56" t="s">
        <v>4483</v>
      </c>
    </row>
    <row r="966" spans="1:11" x14ac:dyDescent="0.25">
      <c r="A966" t="s">
        <v>4153</v>
      </c>
      <c r="B966" s="51" t="s">
        <v>3902</v>
      </c>
      <c r="J966" s="55" t="s">
        <v>5265</v>
      </c>
      <c r="K966" s="56" t="s">
        <v>4484</v>
      </c>
    </row>
    <row r="967" spans="1:11" x14ac:dyDescent="0.25">
      <c r="A967" t="s">
        <v>1940</v>
      </c>
      <c r="B967" s="51" t="s">
        <v>3903</v>
      </c>
      <c r="J967" s="55" t="s">
        <v>5266</v>
      </c>
      <c r="K967" s="56" t="s">
        <v>4485</v>
      </c>
    </row>
    <row r="968" spans="1:11" x14ac:dyDescent="0.25">
      <c r="A968" t="s">
        <v>1622</v>
      </c>
      <c r="B968" s="51" t="s">
        <v>3904</v>
      </c>
      <c r="J968" s="55" t="s">
        <v>5267</v>
      </c>
      <c r="K968" s="56" t="s">
        <v>4486</v>
      </c>
    </row>
    <row r="969" spans="1:11" x14ac:dyDescent="0.25">
      <c r="A969" t="s">
        <v>2274</v>
      </c>
      <c r="B969" s="51" t="s">
        <v>3905</v>
      </c>
      <c r="J969" s="55" t="s">
        <v>5268</v>
      </c>
      <c r="K969" s="56" t="s">
        <v>4487</v>
      </c>
    </row>
    <row r="970" spans="1:11" x14ac:dyDescent="0.25">
      <c r="A970" t="s">
        <v>2167</v>
      </c>
      <c r="B970" s="51" t="s">
        <v>3906</v>
      </c>
      <c r="J970" s="55" t="s">
        <v>5269</v>
      </c>
      <c r="K970" s="56" t="s">
        <v>3850</v>
      </c>
    </row>
    <row r="971" spans="1:11" x14ac:dyDescent="0.25">
      <c r="A971" t="s">
        <v>2153</v>
      </c>
      <c r="B971" s="51" t="s">
        <v>3907</v>
      </c>
      <c r="J971" s="55" t="s">
        <v>5270</v>
      </c>
      <c r="K971" s="56" t="s">
        <v>3854</v>
      </c>
    </row>
    <row r="972" spans="1:11" x14ac:dyDescent="0.25">
      <c r="A972" t="s">
        <v>2033</v>
      </c>
      <c r="B972" s="51" t="s">
        <v>3908</v>
      </c>
      <c r="J972" s="55" t="s">
        <v>5271</v>
      </c>
      <c r="K972" s="56" t="s">
        <v>3874</v>
      </c>
    </row>
    <row r="973" spans="1:11" x14ac:dyDescent="0.25">
      <c r="A973" t="s">
        <v>1677</v>
      </c>
      <c r="B973" s="51" t="s">
        <v>3909</v>
      </c>
      <c r="J973" s="55" t="s">
        <v>5272</v>
      </c>
      <c r="K973" s="56" t="s">
        <v>3876</v>
      </c>
    </row>
    <row r="974" spans="1:11" x14ac:dyDescent="0.25">
      <c r="A974" t="s">
        <v>2256</v>
      </c>
      <c r="B974" s="51" t="s">
        <v>3910</v>
      </c>
      <c r="J974" s="55" t="s">
        <v>5273</v>
      </c>
      <c r="K974" s="56" t="s">
        <v>4488</v>
      </c>
    </row>
    <row r="975" spans="1:11" x14ac:dyDescent="0.25">
      <c r="A975" t="s">
        <v>4154</v>
      </c>
      <c r="B975" s="51" t="s">
        <v>3911</v>
      </c>
      <c r="J975" s="55" t="s">
        <v>5274</v>
      </c>
      <c r="K975" s="56" t="s">
        <v>4489</v>
      </c>
    </row>
    <row r="976" spans="1:11" x14ac:dyDescent="0.25">
      <c r="A976" t="s">
        <v>1678</v>
      </c>
      <c r="B976" s="51" t="s">
        <v>3912</v>
      </c>
      <c r="J976" s="55" t="s">
        <v>5275</v>
      </c>
      <c r="K976" s="56" t="s">
        <v>3849</v>
      </c>
    </row>
    <row r="977" spans="1:11" x14ac:dyDescent="0.25">
      <c r="A977" t="s">
        <v>1917</v>
      </c>
      <c r="B977" s="51" t="s">
        <v>3913</v>
      </c>
      <c r="J977" s="55" t="s">
        <v>5276</v>
      </c>
      <c r="K977" s="56" t="s">
        <v>3763</v>
      </c>
    </row>
    <row r="978" spans="1:11" x14ac:dyDescent="0.25">
      <c r="A978" t="s">
        <v>1803</v>
      </c>
      <c r="B978" s="51" t="s">
        <v>3914</v>
      </c>
      <c r="J978" s="55" t="s">
        <v>5277</v>
      </c>
      <c r="K978" s="56" t="s">
        <v>3894</v>
      </c>
    </row>
    <row r="979" spans="1:11" x14ac:dyDescent="0.25">
      <c r="A979" t="s">
        <v>1554</v>
      </c>
      <c r="B979" s="51" t="s">
        <v>3915</v>
      </c>
      <c r="J979" s="55" t="s">
        <v>5278</v>
      </c>
      <c r="K979" s="56" t="s">
        <v>3859</v>
      </c>
    </row>
    <row r="980" spans="1:11" x14ac:dyDescent="0.25">
      <c r="A980" t="s">
        <v>1931</v>
      </c>
      <c r="B980" s="51" t="s">
        <v>3916</v>
      </c>
      <c r="J980" s="55" t="s">
        <v>5279</v>
      </c>
      <c r="K980" s="56" t="s">
        <v>4050</v>
      </c>
    </row>
    <row r="981" spans="1:11" x14ac:dyDescent="0.25">
      <c r="A981" t="s">
        <v>1903</v>
      </c>
      <c r="B981" s="51" t="s">
        <v>3917</v>
      </c>
      <c r="J981" s="55" t="s">
        <v>5280</v>
      </c>
      <c r="K981" s="56" t="s">
        <v>3868</v>
      </c>
    </row>
    <row r="982" spans="1:11" x14ac:dyDescent="0.25">
      <c r="A982" t="s">
        <v>1675</v>
      </c>
      <c r="B982" s="51" t="s">
        <v>3918</v>
      </c>
      <c r="J982" s="55" t="s">
        <v>5281</v>
      </c>
      <c r="K982" s="56" t="s">
        <v>3872</v>
      </c>
    </row>
    <row r="983" spans="1:11" x14ac:dyDescent="0.25">
      <c r="A983" t="s">
        <v>1480</v>
      </c>
      <c r="B983" s="51" t="s">
        <v>3919</v>
      </c>
      <c r="J983" s="55" t="s">
        <v>5282</v>
      </c>
      <c r="K983" s="56" t="s">
        <v>3851</v>
      </c>
    </row>
    <row r="984" spans="1:11" x14ac:dyDescent="0.25">
      <c r="A984" t="s">
        <v>1825</v>
      </c>
      <c r="B984" s="51" t="s">
        <v>3920</v>
      </c>
      <c r="J984" s="55" t="s">
        <v>5283</v>
      </c>
      <c r="K984" s="56" t="s">
        <v>3855</v>
      </c>
    </row>
    <row r="985" spans="1:11" x14ac:dyDescent="0.25">
      <c r="A985" t="s">
        <v>1692</v>
      </c>
      <c r="B985" s="51" t="s">
        <v>3921</v>
      </c>
      <c r="J985" s="55" t="s">
        <v>5284</v>
      </c>
      <c r="K985" s="56" t="s">
        <v>3856</v>
      </c>
    </row>
    <row r="986" spans="1:11" x14ac:dyDescent="0.25">
      <c r="A986" t="s">
        <v>1826</v>
      </c>
      <c r="B986" s="51" t="s">
        <v>3922</v>
      </c>
      <c r="J986" s="55" t="s">
        <v>5285</v>
      </c>
      <c r="K986" s="56" t="s">
        <v>3857</v>
      </c>
    </row>
    <row r="987" spans="1:11" x14ac:dyDescent="0.25">
      <c r="A987" t="s">
        <v>1965</v>
      </c>
      <c r="B987" s="51" t="s">
        <v>3923</v>
      </c>
      <c r="J987" s="55" t="s">
        <v>5286</v>
      </c>
      <c r="K987" s="56" t="s">
        <v>3860</v>
      </c>
    </row>
    <row r="988" spans="1:11" x14ac:dyDescent="0.25">
      <c r="A988" t="s">
        <v>1975</v>
      </c>
      <c r="B988" s="51" t="s">
        <v>3924</v>
      </c>
      <c r="J988" s="55" t="s">
        <v>5287</v>
      </c>
      <c r="K988" s="56" t="s">
        <v>3861</v>
      </c>
    </row>
    <row r="989" spans="1:11" x14ac:dyDescent="0.25">
      <c r="A989" t="s">
        <v>1991</v>
      </c>
      <c r="B989" s="51" t="s">
        <v>3925</v>
      </c>
      <c r="J989" s="55" t="s">
        <v>5288</v>
      </c>
      <c r="K989" s="56" t="s">
        <v>3902</v>
      </c>
    </row>
    <row r="990" spans="1:11" x14ac:dyDescent="0.25">
      <c r="A990" t="s">
        <v>1634</v>
      </c>
      <c r="B990" s="51" t="s">
        <v>3926</v>
      </c>
      <c r="J990" s="55" t="s">
        <v>5289</v>
      </c>
      <c r="K990" s="56" t="s">
        <v>3904</v>
      </c>
    </row>
    <row r="991" spans="1:11" x14ac:dyDescent="0.25">
      <c r="A991" t="s">
        <v>1490</v>
      </c>
      <c r="B991" s="51" t="s">
        <v>3927</v>
      </c>
      <c r="J991" s="55" t="s">
        <v>5290</v>
      </c>
      <c r="K991" s="56" t="s">
        <v>3896</v>
      </c>
    </row>
    <row r="992" spans="1:11" x14ac:dyDescent="0.25">
      <c r="A992" t="s">
        <v>1576</v>
      </c>
      <c r="B992" s="51" t="s">
        <v>3928</v>
      </c>
      <c r="J992" s="55" t="s">
        <v>5291</v>
      </c>
      <c r="K992" s="56" t="s">
        <v>3906</v>
      </c>
    </row>
    <row r="993" spans="1:11" x14ac:dyDescent="0.25">
      <c r="A993" t="s">
        <v>2161</v>
      </c>
      <c r="B993" s="51" t="s">
        <v>3929</v>
      </c>
      <c r="J993" s="55" t="s">
        <v>5292</v>
      </c>
      <c r="K993" s="56" t="s">
        <v>3867</v>
      </c>
    </row>
    <row r="994" spans="1:11" x14ac:dyDescent="0.25">
      <c r="A994" t="s">
        <v>4155</v>
      </c>
      <c r="B994" s="51" t="s">
        <v>3930</v>
      </c>
      <c r="J994" s="55" t="s">
        <v>5293</v>
      </c>
      <c r="K994" s="56" t="s">
        <v>3870</v>
      </c>
    </row>
    <row r="995" spans="1:11" x14ac:dyDescent="0.25">
      <c r="A995" t="s">
        <v>1694</v>
      </c>
      <c r="B995" s="51" t="s">
        <v>3931</v>
      </c>
      <c r="J995" s="55" t="s">
        <v>5294</v>
      </c>
      <c r="K995" s="56" t="s">
        <v>3873</v>
      </c>
    </row>
    <row r="996" spans="1:11" x14ac:dyDescent="0.25">
      <c r="A996" t="s">
        <v>1832</v>
      </c>
      <c r="B996" s="51" t="s">
        <v>3932</v>
      </c>
      <c r="J996" s="55" t="s">
        <v>5295</v>
      </c>
      <c r="K996" s="56" t="s">
        <v>3875</v>
      </c>
    </row>
    <row r="997" spans="1:11" x14ac:dyDescent="0.25">
      <c r="A997" t="s">
        <v>1431</v>
      </c>
      <c r="B997" s="51" t="s">
        <v>3933</v>
      </c>
      <c r="J997" s="55" t="s">
        <v>5296</v>
      </c>
      <c r="K997" s="56" t="s">
        <v>3877</v>
      </c>
    </row>
    <row r="998" spans="1:11" x14ac:dyDescent="0.25">
      <c r="A998" t="s">
        <v>4156</v>
      </c>
      <c r="B998" s="51" t="s">
        <v>3934</v>
      </c>
      <c r="J998" s="55" t="s">
        <v>5297</v>
      </c>
      <c r="K998" s="56" t="s">
        <v>3897</v>
      </c>
    </row>
    <row r="999" spans="1:11" x14ac:dyDescent="0.25">
      <c r="A999" t="s">
        <v>4157</v>
      </c>
      <c r="B999" s="51" t="s">
        <v>3935</v>
      </c>
      <c r="J999" s="55" t="s">
        <v>5298</v>
      </c>
      <c r="K999" s="56" t="s">
        <v>3879</v>
      </c>
    </row>
    <row r="1000" spans="1:11" x14ac:dyDescent="0.25">
      <c r="A1000" t="s">
        <v>4158</v>
      </c>
      <c r="B1000" s="51" t="s">
        <v>3936</v>
      </c>
      <c r="J1000" s="55" t="s">
        <v>5299</v>
      </c>
      <c r="K1000" s="56" t="s">
        <v>4490</v>
      </c>
    </row>
    <row r="1001" spans="1:11" x14ac:dyDescent="0.25">
      <c r="A1001" t="s">
        <v>1813</v>
      </c>
      <c r="B1001" s="51" t="s">
        <v>3937</v>
      </c>
      <c r="J1001" s="55" t="s">
        <v>5300</v>
      </c>
      <c r="K1001" s="56" t="s">
        <v>4491</v>
      </c>
    </row>
    <row r="1002" spans="1:11" x14ac:dyDescent="0.25">
      <c r="A1002" t="s">
        <v>2133</v>
      </c>
      <c r="B1002" s="51" t="s">
        <v>3938</v>
      </c>
      <c r="J1002" s="55" t="s">
        <v>5301</v>
      </c>
      <c r="K1002" s="56" t="s">
        <v>4492</v>
      </c>
    </row>
    <row r="1003" spans="1:11" x14ac:dyDescent="0.25">
      <c r="A1003" t="s">
        <v>2278</v>
      </c>
      <c r="B1003" s="51" t="s">
        <v>3939</v>
      </c>
      <c r="J1003" s="55" t="s">
        <v>5302</v>
      </c>
      <c r="K1003" s="56" t="s">
        <v>4493</v>
      </c>
    </row>
    <row r="1004" spans="1:11" x14ac:dyDescent="0.25">
      <c r="A1004" t="s">
        <v>1696</v>
      </c>
      <c r="B1004" s="51" t="s">
        <v>3940</v>
      </c>
      <c r="J1004" s="55" t="s">
        <v>5303</v>
      </c>
      <c r="K1004" s="56" t="s">
        <v>3882</v>
      </c>
    </row>
    <row r="1005" spans="1:11" x14ac:dyDescent="0.25">
      <c r="A1005" t="s">
        <v>1546</v>
      </c>
      <c r="B1005" s="51" t="s">
        <v>3941</v>
      </c>
      <c r="J1005" s="55" t="s">
        <v>5304</v>
      </c>
      <c r="K1005" s="56" t="s">
        <v>4494</v>
      </c>
    </row>
    <row r="1006" spans="1:11" x14ac:dyDescent="0.25">
      <c r="A1006" t="s">
        <v>1698</v>
      </c>
      <c r="B1006" s="51" t="s">
        <v>3942</v>
      </c>
      <c r="J1006" s="55" t="s">
        <v>5305</v>
      </c>
      <c r="K1006" s="56" t="s">
        <v>4495</v>
      </c>
    </row>
    <row r="1007" spans="1:11" x14ac:dyDescent="0.25">
      <c r="A1007" t="s">
        <v>1871</v>
      </c>
      <c r="B1007" s="51" t="s">
        <v>3943</v>
      </c>
      <c r="J1007" s="55" t="s">
        <v>5306</v>
      </c>
      <c r="K1007" s="56" t="s">
        <v>4496</v>
      </c>
    </row>
    <row r="1008" spans="1:11" x14ac:dyDescent="0.25">
      <c r="A1008" t="s">
        <v>2277</v>
      </c>
      <c r="B1008" s="51" t="s">
        <v>3944</v>
      </c>
      <c r="J1008" s="55" t="s">
        <v>5307</v>
      </c>
      <c r="K1008" s="56" t="s">
        <v>3923</v>
      </c>
    </row>
    <row r="1009" spans="1:11" x14ac:dyDescent="0.25">
      <c r="A1009" t="s">
        <v>1699</v>
      </c>
      <c r="B1009" s="51" t="s">
        <v>3945</v>
      </c>
      <c r="J1009" s="55" t="s">
        <v>5308</v>
      </c>
      <c r="K1009" s="56" t="s">
        <v>3925</v>
      </c>
    </row>
    <row r="1010" spans="1:11" x14ac:dyDescent="0.25">
      <c r="A1010" t="s">
        <v>2056</v>
      </c>
      <c r="B1010" s="51" t="s">
        <v>3946</v>
      </c>
      <c r="J1010" s="55" t="s">
        <v>5309</v>
      </c>
      <c r="K1010" s="56" t="s">
        <v>3926</v>
      </c>
    </row>
    <row r="1011" spans="1:11" x14ac:dyDescent="0.25">
      <c r="A1011" t="s">
        <v>1547</v>
      </c>
      <c r="B1011" s="51" t="s">
        <v>3947</v>
      </c>
      <c r="J1011" s="55" t="s">
        <v>5310</v>
      </c>
      <c r="K1011" s="56" t="s">
        <v>3927</v>
      </c>
    </row>
    <row r="1012" spans="1:11" x14ac:dyDescent="0.25">
      <c r="A1012" t="s">
        <v>2057</v>
      </c>
      <c r="B1012" s="51" t="s">
        <v>3948</v>
      </c>
      <c r="J1012" s="55" t="s">
        <v>5311</v>
      </c>
      <c r="K1012" s="56" t="s">
        <v>3924</v>
      </c>
    </row>
    <row r="1013" spans="1:11" x14ac:dyDescent="0.25">
      <c r="A1013" t="s">
        <v>1945</v>
      </c>
      <c r="B1013" s="51" t="s">
        <v>3949</v>
      </c>
      <c r="J1013" s="55" t="s">
        <v>5312</v>
      </c>
      <c r="K1013" s="56" t="s">
        <v>4497</v>
      </c>
    </row>
    <row r="1014" spans="1:11" x14ac:dyDescent="0.25">
      <c r="A1014" t="s">
        <v>2134</v>
      </c>
      <c r="B1014" s="51" t="s">
        <v>3950</v>
      </c>
      <c r="J1014" s="55" t="s">
        <v>5313</v>
      </c>
      <c r="K1014" s="56" t="s">
        <v>4498</v>
      </c>
    </row>
    <row r="1015" spans="1:11" x14ac:dyDescent="0.25">
      <c r="A1015" t="s">
        <v>2136</v>
      </c>
      <c r="B1015" s="51" t="s">
        <v>3951</v>
      </c>
      <c r="J1015" s="55" t="s">
        <v>5314</v>
      </c>
      <c r="K1015" s="56" t="s">
        <v>3928</v>
      </c>
    </row>
    <row r="1016" spans="1:11" x14ac:dyDescent="0.25">
      <c r="A1016" t="s">
        <v>2177</v>
      </c>
      <c r="B1016" s="51" t="s">
        <v>3952</v>
      </c>
      <c r="J1016" s="55" t="s">
        <v>5315</v>
      </c>
      <c r="K1016" s="56" t="s">
        <v>3382</v>
      </c>
    </row>
    <row r="1017" spans="1:11" x14ac:dyDescent="0.25">
      <c r="A1017" t="s">
        <v>1613</v>
      </c>
      <c r="B1017" s="51" t="s">
        <v>3953</v>
      </c>
      <c r="J1017" s="55" t="s">
        <v>5316</v>
      </c>
      <c r="K1017" s="56" t="s">
        <v>3929</v>
      </c>
    </row>
    <row r="1018" spans="1:11" x14ac:dyDescent="0.25">
      <c r="A1018" t="s">
        <v>1946</v>
      </c>
      <c r="B1018" s="51" t="s">
        <v>3954</v>
      </c>
      <c r="J1018" s="55" t="s">
        <v>5317</v>
      </c>
      <c r="K1018" s="56" t="s">
        <v>3931</v>
      </c>
    </row>
    <row r="1019" spans="1:11" x14ac:dyDescent="0.25">
      <c r="A1019" t="s">
        <v>1944</v>
      </c>
      <c r="B1019" s="51" t="s">
        <v>3955</v>
      </c>
      <c r="J1019" s="55" t="s">
        <v>5318</v>
      </c>
      <c r="K1019" s="56" t="s">
        <v>3218</v>
      </c>
    </row>
    <row r="1020" spans="1:11" x14ac:dyDescent="0.25">
      <c r="A1020" t="s">
        <v>1534</v>
      </c>
      <c r="B1020" s="51" t="s">
        <v>3956</v>
      </c>
      <c r="J1020" s="55" t="s">
        <v>5319</v>
      </c>
      <c r="K1020" s="56" t="s">
        <v>3932</v>
      </c>
    </row>
    <row r="1021" spans="1:11" x14ac:dyDescent="0.25">
      <c r="A1021" t="s">
        <v>2275</v>
      </c>
      <c r="B1021" s="51" t="s">
        <v>3957</v>
      </c>
      <c r="J1021" s="55" t="s">
        <v>5320</v>
      </c>
      <c r="K1021" s="56" t="s">
        <v>4499</v>
      </c>
    </row>
    <row r="1022" spans="1:11" x14ac:dyDescent="0.25">
      <c r="A1022" t="s">
        <v>1928</v>
      </c>
      <c r="B1022" s="51" t="s">
        <v>3958</v>
      </c>
      <c r="J1022" s="55" t="s">
        <v>5321</v>
      </c>
      <c r="K1022" s="56" t="s">
        <v>3935</v>
      </c>
    </row>
    <row r="1023" spans="1:11" x14ac:dyDescent="0.25">
      <c r="A1023" t="s">
        <v>2044</v>
      </c>
      <c r="B1023" s="51" t="s">
        <v>3959</v>
      </c>
      <c r="J1023" s="55" t="s">
        <v>5322</v>
      </c>
      <c r="K1023" s="56" t="s">
        <v>4500</v>
      </c>
    </row>
    <row r="1024" spans="1:11" x14ac:dyDescent="0.25">
      <c r="A1024" t="s">
        <v>1570</v>
      </c>
      <c r="B1024" s="51" t="s">
        <v>3960</v>
      </c>
      <c r="J1024" s="55" t="s">
        <v>5323</v>
      </c>
      <c r="K1024" s="56" t="s">
        <v>4501</v>
      </c>
    </row>
    <row r="1025" spans="1:11" x14ac:dyDescent="0.25">
      <c r="A1025" t="s">
        <v>1575</v>
      </c>
      <c r="B1025" s="51" t="s">
        <v>3961</v>
      </c>
      <c r="J1025" s="55" t="s">
        <v>5324</v>
      </c>
      <c r="K1025" s="56" t="s">
        <v>4502</v>
      </c>
    </row>
    <row r="1026" spans="1:11" x14ac:dyDescent="0.25">
      <c r="A1026" t="s">
        <v>2055</v>
      </c>
      <c r="B1026" s="51" t="s">
        <v>3962</v>
      </c>
      <c r="J1026" s="55" t="s">
        <v>5325</v>
      </c>
      <c r="K1026" s="56" t="s">
        <v>4503</v>
      </c>
    </row>
    <row r="1027" spans="1:11" x14ac:dyDescent="0.25">
      <c r="A1027" t="s">
        <v>1835</v>
      </c>
      <c r="B1027" s="51" t="s">
        <v>3963</v>
      </c>
      <c r="J1027" s="55" t="s">
        <v>5326</v>
      </c>
      <c r="K1027" s="56" t="s">
        <v>4504</v>
      </c>
    </row>
    <row r="1028" spans="1:11" x14ac:dyDescent="0.25">
      <c r="A1028" t="s">
        <v>1941</v>
      </c>
      <c r="B1028" s="51" t="s">
        <v>3964</v>
      </c>
      <c r="J1028" s="55" t="s">
        <v>5327</v>
      </c>
      <c r="K1028" s="56" t="s">
        <v>4505</v>
      </c>
    </row>
    <row r="1029" spans="1:11" x14ac:dyDescent="0.25">
      <c r="A1029" t="s">
        <v>1582</v>
      </c>
      <c r="B1029" s="51" t="s">
        <v>3965</v>
      </c>
      <c r="J1029" s="55" t="s">
        <v>5328</v>
      </c>
      <c r="K1029" s="56" t="s">
        <v>4506</v>
      </c>
    </row>
    <row r="1030" spans="1:11" x14ac:dyDescent="0.25">
      <c r="A1030" t="s">
        <v>2159</v>
      </c>
      <c r="B1030" s="51" t="s">
        <v>3966</v>
      </c>
      <c r="J1030" s="55" t="s">
        <v>5329</v>
      </c>
      <c r="K1030" s="56" t="s">
        <v>4507</v>
      </c>
    </row>
    <row r="1031" spans="1:11" x14ac:dyDescent="0.25">
      <c r="A1031" t="s">
        <v>1580</v>
      </c>
      <c r="B1031" s="51" t="s">
        <v>3967</v>
      </c>
      <c r="J1031" s="55" t="s">
        <v>5330</v>
      </c>
      <c r="K1031" s="56" t="s">
        <v>4508</v>
      </c>
    </row>
    <row r="1032" spans="1:11" x14ac:dyDescent="0.25">
      <c r="A1032" t="s">
        <v>1834</v>
      </c>
      <c r="B1032" s="51" t="s">
        <v>3968</v>
      </c>
      <c r="J1032" s="55" t="s">
        <v>5331</v>
      </c>
      <c r="K1032" s="56" t="s">
        <v>4509</v>
      </c>
    </row>
    <row r="1033" spans="1:11" x14ac:dyDescent="0.25">
      <c r="A1033" t="s">
        <v>1772</v>
      </c>
      <c r="B1033" s="51" t="s">
        <v>3969</v>
      </c>
      <c r="J1033" s="55" t="s">
        <v>5332</v>
      </c>
      <c r="K1033" s="56" t="s">
        <v>4510</v>
      </c>
    </row>
    <row r="1034" spans="1:11" x14ac:dyDescent="0.25">
      <c r="A1034" t="s">
        <v>4159</v>
      </c>
      <c r="B1034" s="51" t="s">
        <v>3970</v>
      </c>
      <c r="J1034" s="55" t="s">
        <v>5333</v>
      </c>
      <c r="K1034" s="56" t="s">
        <v>4511</v>
      </c>
    </row>
    <row r="1035" spans="1:11" x14ac:dyDescent="0.25">
      <c r="A1035" t="s">
        <v>1638</v>
      </c>
      <c r="B1035" s="51" t="s">
        <v>3971</v>
      </c>
      <c r="J1035" s="55" t="s">
        <v>5334</v>
      </c>
      <c r="K1035" s="56" t="s">
        <v>4512</v>
      </c>
    </row>
    <row r="1036" spans="1:11" x14ac:dyDescent="0.25">
      <c r="A1036" t="s">
        <v>1542</v>
      </c>
      <c r="B1036" s="51" t="s">
        <v>3972</v>
      </c>
      <c r="J1036" s="55" t="s">
        <v>5335</v>
      </c>
      <c r="K1036" s="56" t="s">
        <v>4513</v>
      </c>
    </row>
    <row r="1037" spans="1:11" x14ac:dyDescent="0.25">
      <c r="A1037" t="s">
        <v>1815</v>
      </c>
      <c r="B1037" s="51" t="s">
        <v>3973</v>
      </c>
      <c r="J1037" s="55" t="s">
        <v>5336</v>
      </c>
      <c r="K1037" s="56" t="s">
        <v>4514</v>
      </c>
    </row>
    <row r="1038" spans="1:11" x14ac:dyDescent="0.25">
      <c r="A1038" t="s">
        <v>2058</v>
      </c>
      <c r="B1038" s="51" t="s">
        <v>3974</v>
      </c>
      <c r="J1038" s="55" t="s">
        <v>5337</v>
      </c>
      <c r="K1038" s="56" t="s">
        <v>4515</v>
      </c>
    </row>
    <row r="1039" spans="1:11" x14ac:dyDescent="0.25">
      <c r="A1039" t="s">
        <v>1840</v>
      </c>
      <c r="B1039" s="51" t="s">
        <v>3975</v>
      </c>
      <c r="J1039" s="55" t="s">
        <v>5338</v>
      </c>
      <c r="K1039" s="56" t="s">
        <v>4516</v>
      </c>
    </row>
    <row r="1040" spans="1:11" x14ac:dyDescent="0.25">
      <c r="A1040" t="s">
        <v>2192</v>
      </c>
      <c r="B1040" s="51" t="s">
        <v>3976</v>
      </c>
      <c r="J1040" s="55" t="s">
        <v>5339</v>
      </c>
      <c r="K1040" s="56" t="s">
        <v>4517</v>
      </c>
    </row>
    <row r="1041" spans="1:11" x14ac:dyDescent="0.25">
      <c r="A1041" t="s">
        <v>2163</v>
      </c>
      <c r="B1041" s="51" t="s">
        <v>3977</v>
      </c>
      <c r="J1041" s="55" t="s">
        <v>5340</v>
      </c>
      <c r="K1041" s="56" t="s">
        <v>4518</v>
      </c>
    </row>
    <row r="1042" spans="1:11" x14ac:dyDescent="0.25">
      <c r="A1042" t="s">
        <v>1587</v>
      </c>
      <c r="B1042" s="51" t="s">
        <v>3978</v>
      </c>
      <c r="J1042" s="55" t="s">
        <v>5341</v>
      </c>
      <c r="K1042" s="56" t="s">
        <v>4519</v>
      </c>
    </row>
    <row r="1043" spans="1:11" x14ac:dyDescent="0.25">
      <c r="A1043" t="s">
        <v>1388</v>
      </c>
      <c r="B1043" s="51" t="s">
        <v>3979</v>
      </c>
      <c r="J1043" s="55" t="s">
        <v>5342</v>
      </c>
      <c r="K1043" s="56" t="s">
        <v>3968</v>
      </c>
    </row>
    <row r="1044" spans="1:11" x14ac:dyDescent="0.25">
      <c r="A1044" t="s">
        <v>1392</v>
      </c>
      <c r="B1044" s="51" t="s">
        <v>3980</v>
      </c>
      <c r="J1044" s="55" t="s">
        <v>5343</v>
      </c>
      <c r="K1044" s="56" t="s">
        <v>3936</v>
      </c>
    </row>
    <row r="1045" spans="1:11" x14ac:dyDescent="0.25">
      <c r="A1045" t="s">
        <v>1882</v>
      </c>
      <c r="B1045" s="51" t="s">
        <v>3981</v>
      </c>
      <c r="J1045" s="55" t="s">
        <v>5344</v>
      </c>
      <c r="K1045" s="56" t="s">
        <v>3937</v>
      </c>
    </row>
    <row r="1046" spans="1:11" x14ac:dyDescent="0.25">
      <c r="A1046" t="s">
        <v>1756</v>
      </c>
      <c r="B1046" s="51" t="s">
        <v>3982</v>
      </c>
      <c r="J1046" s="55" t="s">
        <v>5345</v>
      </c>
      <c r="K1046" s="56" t="s">
        <v>3938</v>
      </c>
    </row>
    <row r="1047" spans="1:11" x14ac:dyDescent="0.25">
      <c r="A1047" t="s">
        <v>1759</v>
      </c>
      <c r="B1047" s="51" t="s">
        <v>3983</v>
      </c>
      <c r="J1047" s="55" t="s">
        <v>5346</v>
      </c>
      <c r="K1047" s="56" t="s">
        <v>3939</v>
      </c>
    </row>
    <row r="1048" spans="1:11" x14ac:dyDescent="0.25">
      <c r="A1048" t="s">
        <v>2103</v>
      </c>
      <c r="B1048" s="51" t="s">
        <v>3984</v>
      </c>
      <c r="J1048" s="55" t="s">
        <v>5347</v>
      </c>
      <c r="K1048" s="56" t="s">
        <v>3940</v>
      </c>
    </row>
    <row r="1049" spans="1:11" x14ac:dyDescent="0.25">
      <c r="A1049" t="s">
        <v>1437</v>
      </c>
      <c r="B1049" s="51" t="s">
        <v>3985</v>
      </c>
      <c r="J1049" s="55" t="s">
        <v>5348</v>
      </c>
      <c r="K1049" s="56" t="s">
        <v>3941</v>
      </c>
    </row>
    <row r="1050" spans="1:11" x14ac:dyDescent="0.25">
      <c r="A1050" t="s">
        <v>1635</v>
      </c>
      <c r="B1050" s="51" t="s">
        <v>3986</v>
      </c>
      <c r="J1050" s="55" t="s">
        <v>5349</v>
      </c>
      <c r="K1050" s="56" t="s">
        <v>3942</v>
      </c>
    </row>
    <row r="1051" spans="1:11" x14ac:dyDescent="0.25">
      <c r="A1051" t="s">
        <v>1636</v>
      </c>
      <c r="B1051" s="51" t="s">
        <v>3987</v>
      </c>
      <c r="J1051" s="55" t="s">
        <v>5350</v>
      </c>
      <c r="K1051" s="56" t="s">
        <v>3943</v>
      </c>
    </row>
    <row r="1052" spans="1:11" x14ac:dyDescent="0.25">
      <c r="A1052" t="s">
        <v>2003</v>
      </c>
      <c r="B1052" s="51" t="s">
        <v>3988</v>
      </c>
      <c r="J1052" s="55" t="s">
        <v>5351</v>
      </c>
      <c r="K1052" s="56" t="s">
        <v>3944</v>
      </c>
    </row>
    <row r="1053" spans="1:11" x14ac:dyDescent="0.25">
      <c r="A1053" t="s">
        <v>1440</v>
      </c>
      <c r="B1053" s="51" t="s">
        <v>3989</v>
      </c>
      <c r="J1053" s="55" t="s">
        <v>5352</v>
      </c>
      <c r="K1053" s="56" t="s">
        <v>3945</v>
      </c>
    </row>
    <row r="1054" spans="1:11" x14ac:dyDescent="0.25">
      <c r="A1054" t="s">
        <v>2068</v>
      </c>
      <c r="B1054" s="51" t="s">
        <v>3990</v>
      </c>
      <c r="J1054" s="55" t="s">
        <v>5353</v>
      </c>
      <c r="K1054" s="56" t="s">
        <v>4520</v>
      </c>
    </row>
    <row r="1055" spans="1:11" x14ac:dyDescent="0.25">
      <c r="A1055" t="s">
        <v>1853</v>
      </c>
      <c r="B1055" s="51" t="s">
        <v>3991</v>
      </c>
      <c r="J1055" s="55" t="s">
        <v>5354</v>
      </c>
      <c r="K1055" s="56" t="s">
        <v>3946</v>
      </c>
    </row>
    <row r="1056" spans="1:11" x14ac:dyDescent="0.25">
      <c r="A1056" t="s">
        <v>1739</v>
      </c>
      <c r="B1056" s="51" t="s">
        <v>3992</v>
      </c>
      <c r="J1056" s="55" t="s">
        <v>5355</v>
      </c>
      <c r="K1056" s="56" t="s">
        <v>3947</v>
      </c>
    </row>
    <row r="1057" spans="1:11" x14ac:dyDescent="0.25">
      <c r="A1057" t="s">
        <v>1578</v>
      </c>
      <c r="B1057" s="51" t="s">
        <v>3993</v>
      </c>
      <c r="J1057" s="55" t="s">
        <v>5356</v>
      </c>
      <c r="K1057" s="56" t="s">
        <v>3948</v>
      </c>
    </row>
    <row r="1058" spans="1:11" x14ac:dyDescent="0.25">
      <c r="A1058" t="s">
        <v>1970</v>
      </c>
      <c r="B1058" s="51" t="s">
        <v>3994</v>
      </c>
      <c r="J1058" s="55" t="s">
        <v>5357</v>
      </c>
      <c r="K1058" s="56" t="s">
        <v>3949</v>
      </c>
    </row>
    <row r="1059" spans="1:11" x14ac:dyDescent="0.25">
      <c r="A1059" t="s">
        <v>1767</v>
      </c>
      <c r="B1059" s="51" t="s">
        <v>3995</v>
      </c>
      <c r="J1059" s="55" t="s">
        <v>5358</v>
      </c>
      <c r="K1059" s="56" t="s">
        <v>4027</v>
      </c>
    </row>
    <row r="1060" spans="1:11" x14ac:dyDescent="0.25">
      <c r="A1060" t="s">
        <v>1768</v>
      </c>
      <c r="B1060" s="51" t="s">
        <v>3996</v>
      </c>
      <c r="J1060" s="55" t="s">
        <v>5359</v>
      </c>
      <c r="K1060" s="56" t="s">
        <v>3950</v>
      </c>
    </row>
    <row r="1061" spans="1:11" x14ac:dyDescent="0.25">
      <c r="A1061" t="s">
        <v>2109</v>
      </c>
      <c r="B1061" s="51" t="s">
        <v>3997</v>
      </c>
      <c r="J1061" s="55" t="s">
        <v>5360</v>
      </c>
      <c r="K1061" s="56" t="s">
        <v>3952</v>
      </c>
    </row>
    <row r="1062" spans="1:11" x14ac:dyDescent="0.25">
      <c r="A1062" t="s">
        <v>1441</v>
      </c>
      <c r="B1062" s="51" t="s">
        <v>3998</v>
      </c>
      <c r="J1062" s="55" t="s">
        <v>5361</v>
      </c>
      <c r="K1062" s="56" t="s">
        <v>3953</v>
      </c>
    </row>
    <row r="1063" spans="1:11" x14ac:dyDescent="0.25">
      <c r="A1063" t="s">
        <v>1769</v>
      </c>
      <c r="B1063" s="51" t="s">
        <v>3999</v>
      </c>
      <c r="J1063" s="55" t="s">
        <v>5362</v>
      </c>
      <c r="K1063" s="56" t="s">
        <v>3955</v>
      </c>
    </row>
    <row r="1064" spans="1:11" x14ac:dyDescent="0.25">
      <c r="A1064" t="s">
        <v>2111</v>
      </c>
      <c r="B1064" s="51" t="s">
        <v>4000</v>
      </c>
      <c r="J1064" s="55" t="s">
        <v>5363</v>
      </c>
      <c r="K1064" s="56" t="s">
        <v>3956</v>
      </c>
    </row>
    <row r="1065" spans="1:11" x14ac:dyDescent="0.25">
      <c r="A1065" t="s">
        <v>2223</v>
      </c>
      <c r="B1065" s="51" t="s">
        <v>4001</v>
      </c>
      <c r="J1065" s="55" t="s">
        <v>5364</v>
      </c>
      <c r="K1065" s="56" t="s">
        <v>3957</v>
      </c>
    </row>
    <row r="1066" spans="1:11" x14ac:dyDescent="0.25">
      <c r="A1066" t="s">
        <v>1676</v>
      </c>
      <c r="B1066" s="51" t="s">
        <v>4002</v>
      </c>
      <c r="J1066" s="55" t="s">
        <v>5365</v>
      </c>
      <c r="K1066" s="56" t="s">
        <v>3959</v>
      </c>
    </row>
    <row r="1067" spans="1:11" x14ac:dyDescent="0.25">
      <c r="A1067" t="s">
        <v>1799</v>
      </c>
      <c r="B1067" s="51" t="s">
        <v>4003</v>
      </c>
      <c r="J1067" s="55" t="s">
        <v>5366</v>
      </c>
      <c r="K1067" s="56" t="s">
        <v>3960</v>
      </c>
    </row>
    <row r="1068" spans="1:11" x14ac:dyDescent="0.25">
      <c r="A1068" t="s">
        <v>2269</v>
      </c>
      <c r="B1068" s="51" t="s">
        <v>4004</v>
      </c>
      <c r="J1068" s="55" t="s">
        <v>5367</v>
      </c>
      <c r="K1068" s="56" t="s">
        <v>3961</v>
      </c>
    </row>
    <row r="1069" spans="1:11" x14ac:dyDescent="0.25">
      <c r="A1069" t="s">
        <v>1569</v>
      </c>
      <c r="B1069" s="51" t="s">
        <v>4005</v>
      </c>
      <c r="J1069" s="55" t="s">
        <v>5368</v>
      </c>
      <c r="K1069" s="56" t="s">
        <v>3962</v>
      </c>
    </row>
    <row r="1070" spans="1:11" x14ac:dyDescent="0.25">
      <c r="A1070" t="s">
        <v>1930</v>
      </c>
      <c r="B1070" s="51" t="s">
        <v>4006</v>
      </c>
      <c r="J1070" s="55" t="s">
        <v>5369</v>
      </c>
      <c r="K1070" s="56" t="s">
        <v>3963</v>
      </c>
    </row>
    <row r="1071" spans="1:11" x14ac:dyDescent="0.25">
      <c r="A1071" t="s">
        <v>4160</v>
      </c>
      <c r="B1071" s="51" t="s">
        <v>4007</v>
      </c>
      <c r="J1071" s="55" t="s">
        <v>5370</v>
      </c>
      <c r="K1071" s="56" t="s">
        <v>3964</v>
      </c>
    </row>
    <row r="1072" spans="1:11" x14ac:dyDescent="0.25">
      <c r="A1072" t="s">
        <v>1631</v>
      </c>
      <c r="B1072" s="51" t="s">
        <v>4008</v>
      </c>
      <c r="J1072" s="55" t="s">
        <v>5371</v>
      </c>
      <c r="K1072" s="56" t="s">
        <v>3965</v>
      </c>
    </row>
    <row r="1073" spans="1:11" x14ac:dyDescent="0.25">
      <c r="A1073" t="s">
        <v>2245</v>
      </c>
      <c r="B1073" s="51" t="s">
        <v>4009</v>
      </c>
      <c r="J1073" s="55" t="s">
        <v>5372</v>
      </c>
      <c r="K1073" s="56" t="s">
        <v>3966</v>
      </c>
    </row>
    <row r="1074" spans="1:11" x14ac:dyDescent="0.25">
      <c r="A1074" t="s">
        <v>1983</v>
      </c>
      <c r="B1074" s="51" t="s">
        <v>4010</v>
      </c>
      <c r="J1074" s="55" t="s">
        <v>5373</v>
      </c>
      <c r="K1074" s="56" t="s">
        <v>3967</v>
      </c>
    </row>
    <row r="1075" spans="1:11" x14ac:dyDescent="0.25">
      <c r="A1075" t="s">
        <v>1618</v>
      </c>
      <c r="B1075" s="51" t="s">
        <v>4011</v>
      </c>
      <c r="J1075" s="55" t="s">
        <v>5374</v>
      </c>
      <c r="K1075" s="56" t="s">
        <v>4006</v>
      </c>
    </row>
    <row r="1076" spans="1:11" x14ac:dyDescent="0.25">
      <c r="A1076" t="s">
        <v>1620</v>
      </c>
      <c r="B1076" s="51" t="s">
        <v>4012</v>
      </c>
      <c r="J1076" s="55" t="s">
        <v>5375</v>
      </c>
      <c r="K1076" s="56" t="s">
        <v>4521</v>
      </c>
    </row>
    <row r="1077" spans="1:11" x14ac:dyDescent="0.25">
      <c r="A1077" t="s">
        <v>1943</v>
      </c>
      <c r="B1077" s="51" t="s">
        <v>4013</v>
      </c>
      <c r="J1077" s="55" t="s">
        <v>5376</v>
      </c>
      <c r="K1077" s="56" t="s">
        <v>4522</v>
      </c>
    </row>
    <row r="1078" spans="1:11" x14ac:dyDescent="0.25">
      <c r="A1078" t="s">
        <v>1884</v>
      </c>
      <c r="B1078" s="51" t="s">
        <v>4014</v>
      </c>
      <c r="J1078" s="55" t="s">
        <v>5377</v>
      </c>
      <c r="K1078" s="56" t="s">
        <v>4523</v>
      </c>
    </row>
    <row r="1079" spans="1:11" x14ac:dyDescent="0.25">
      <c r="A1079" t="s">
        <v>2001</v>
      </c>
      <c r="B1079" s="51" t="s">
        <v>4015</v>
      </c>
      <c r="J1079" s="55" t="s">
        <v>5378</v>
      </c>
      <c r="K1079" s="56" t="s">
        <v>4524</v>
      </c>
    </row>
    <row r="1080" spans="1:11" x14ac:dyDescent="0.25">
      <c r="A1080" t="s">
        <v>2105</v>
      </c>
      <c r="B1080" s="51" t="s">
        <v>4016</v>
      </c>
      <c r="J1080" s="55" t="s">
        <v>5379</v>
      </c>
      <c r="K1080" s="56" t="s">
        <v>4029</v>
      </c>
    </row>
    <row r="1081" spans="1:11" x14ac:dyDescent="0.25">
      <c r="A1081" t="s">
        <v>2215</v>
      </c>
      <c r="B1081" s="51" t="s">
        <v>4017</v>
      </c>
      <c r="J1081" s="55" t="s">
        <v>5380</v>
      </c>
      <c r="K1081" s="56" t="s">
        <v>3969</v>
      </c>
    </row>
    <row r="1082" spans="1:11" x14ac:dyDescent="0.25">
      <c r="A1082" t="s">
        <v>1789</v>
      </c>
      <c r="B1082" s="51" t="s">
        <v>4018</v>
      </c>
      <c r="J1082" s="55" t="s">
        <v>5381</v>
      </c>
      <c r="K1082" s="56" t="s">
        <v>4525</v>
      </c>
    </row>
    <row r="1083" spans="1:11" x14ac:dyDescent="0.25">
      <c r="A1083" t="s">
        <v>2247</v>
      </c>
      <c r="B1083" s="51" t="s">
        <v>4019</v>
      </c>
      <c r="J1083" s="55" t="s">
        <v>5382</v>
      </c>
      <c r="K1083" s="56" t="s">
        <v>4526</v>
      </c>
    </row>
    <row r="1084" spans="1:11" x14ac:dyDescent="0.25">
      <c r="A1084" t="s">
        <v>1668</v>
      </c>
      <c r="B1084" s="51" t="s">
        <v>4020</v>
      </c>
      <c r="J1084" s="55" t="s">
        <v>5383</v>
      </c>
      <c r="K1084" s="56" t="s">
        <v>4527</v>
      </c>
    </row>
    <row r="1085" spans="1:11" x14ac:dyDescent="0.25">
      <c r="A1085" t="s">
        <v>2023</v>
      </c>
      <c r="B1085" s="51" t="s">
        <v>4021</v>
      </c>
      <c r="J1085" s="55" t="s">
        <v>5384</v>
      </c>
      <c r="K1085" s="56" t="s">
        <v>4528</v>
      </c>
    </row>
    <row r="1086" spans="1:11" x14ac:dyDescent="0.25">
      <c r="A1086" t="s">
        <v>1491</v>
      </c>
      <c r="B1086" s="51" t="s">
        <v>4022</v>
      </c>
      <c r="J1086" s="55" t="s">
        <v>5385</v>
      </c>
      <c r="K1086" s="56" t="s">
        <v>4529</v>
      </c>
    </row>
    <row r="1087" spans="1:11" x14ac:dyDescent="0.25">
      <c r="A1087" t="s">
        <v>1455</v>
      </c>
      <c r="B1087" s="51" t="s">
        <v>4023</v>
      </c>
      <c r="J1087" s="55" t="s">
        <v>5386</v>
      </c>
      <c r="K1087" s="56" t="s">
        <v>4530</v>
      </c>
    </row>
    <row r="1088" spans="1:11" x14ac:dyDescent="0.25">
      <c r="A1088" t="s">
        <v>1790</v>
      </c>
      <c r="B1088" s="51" t="s">
        <v>4024</v>
      </c>
      <c r="J1088" s="55" t="s">
        <v>5387</v>
      </c>
      <c r="K1088" s="56" t="s">
        <v>4531</v>
      </c>
    </row>
    <row r="1089" spans="1:11" x14ac:dyDescent="0.25">
      <c r="A1089" t="s">
        <v>1667</v>
      </c>
      <c r="B1089" s="51" t="s">
        <v>4025</v>
      </c>
      <c r="J1089" s="55" t="s">
        <v>5388</v>
      </c>
      <c r="K1089" s="56" t="s">
        <v>4532</v>
      </c>
    </row>
    <row r="1090" spans="1:11" x14ac:dyDescent="0.25">
      <c r="A1090" t="s">
        <v>2024</v>
      </c>
      <c r="B1090" s="51" t="s">
        <v>4026</v>
      </c>
      <c r="J1090" s="55" t="s">
        <v>5389</v>
      </c>
      <c r="K1090" s="56" t="s">
        <v>4533</v>
      </c>
    </row>
    <row r="1091" spans="1:11" x14ac:dyDescent="0.25">
      <c r="A1091" t="s">
        <v>2246</v>
      </c>
      <c r="B1091" s="51" t="s">
        <v>4027</v>
      </c>
      <c r="J1091" s="55" t="s">
        <v>5390</v>
      </c>
      <c r="K1091" s="56" t="s">
        <v>4534</v>
      </c>
    </row>
    <row r="1092" spans="1:11" x14ac:dyDescent="0.25">
      <c r="A1092" t="s">
        <v>1844</v>
      </c>
      <c r="B1092" s="51" t="s">
        <v>4028</v>
      </c>
      <c r="J1092" s="55" t="s">
        <v>5391</v>
      </c>
      <c r="K1092" s="56" t="s">
        <v>4535</v>
      </c>
    </row>
    <row r="1093" spans="1:11" x14ac:dyDescent="0.25">
      <c r="A1093" t="s">
        <v>1738</v>
      </c>
      <c r="B1093" s="51" t="s">
        <v>4029</v>
      </c>
      <c r="J1093" s="55" t="s">
        <v>5392</v>
      </c>
      <c r="K1093" s="56" t="s">
        <v>4536</v>
      </c>
    </row>
    <row r="1094" spans="1:11" x14ac:dyDescent="0.25">
      <c r="A1094" t="s">
        <v>2007</v>
      </c>
      <c r="B1094" s="51" t="s">
        <v>4030</v>
      </c>
      <c r="J1094" s="55" t="s">
        <v>5393</v>
      </c>
      <c r="K1094" s="56" t="s">
        <v>4537</v>
      </c>
    </row>
    <row r="1095" spans="1:11" x14ac:dyDescent="0.25">
      <c r="A1095" t="s">
        <v>2222</v>
      </c>
      <c r="B1095" s="51" t="s">
        <v>4031</v>
      </c>
      <c r="J1095" s="55" t="s">
        <v>5394</v>
      </c>
      <c r="K1095" s="56" t="s">
        <v>4538</v>
      </c>
    </row>
    <row r="1096" spans="1:11" x14ac:dyDescent="0.25">
      <c r="A1096" t="s">
        <v>4161</v>
      </c>
      <c r="B1096" s="51" t="s">
        <v>4032</v>
      </c>
      <c r="J1096" s="55" t="s">
        <v>5395</v>
      </c>
      <c r="K1096" s="56" t="s">
        <v>4539</v>
      </c>
    </row>
    <row r="1097" spans="1:11" x14ac:dyDescent="0.25">
      <c r="A1097" t="s">
        <v>2142</v>
      </c>
      <c r="B1097" s="51" t="s">
        <v>4033</v>
      </c>
      <c r="J1097" s="55" t="s">
        <v>5396</v>
      </c>
      <c r="K1097" s="56" t="s">
        <v>4540</v>
      </c>
    </row>
    <row r="1098" spans="1:11" x14ac:dyDescent="0.25">
      <c r="A1098" t="s">
        <v>2160</v>
      </c>
      <c r="B1098" s="51" t="s">
        <v>4034</v>
      </c>
      <c r="J1098" s="55" t="s">
        <v>5397</v>
      </c>
      <c r="K1098" s="56" t="s">
        <v>4541</v>
      </c>
    </row>
    <row r="1099" spans="1:11" x14ac:dyDescent="0.25">
      <c r="A1099" t="s">
        <v>2158</v>
      </c>
      <c r="B1099" s="51" t="s">
        <v>4035</v>
      </c>
      <c r="J1099" s="55" t="s">
        <v>5398</v>
      </c>
      <c r="K1099" s="56" t="s">
        <v>4542</v>
      </c>
    </row>
    <row r="1100" spans="1:11" x14ac:dyDescent="0.25">
      <c r="A1100" t="s">
        <v>2095</v>
      </c>
      <c r="B1100" s="51" t="s">
        <v>4036</v>
      </c>
      <c r="J1100" s="55" t="s">
        <v>5399</v>
      </c>
      <c r="K1100" s="56" t="s">
        <v>4543</v>
      </c>
    </row>
    <row r="1101" spans="1:11" x14ac:dyDescent="0.25">
      <c r="A1101" t="s">
        <v>1872</v>
      </c>
      <c r="B1101" s="51" t="s">
        <v>4037</v>
      </c>
      <c r="J1101" s="55" t="s">
        <v>5400</v>
      </c>
      <c r="K1101" s="56" t="s">
        <v>4544</v>
      </c>
    </row>
    <row r="1102" spans="1:11" x14ac:dyDescent="0.25">
      <c r="A1102" t="s">
        <v>4162</v>
      </c>
      <c r="B1102" s="51" t="s">
        <v>4038</v>
      </c>
      <c r="J1102" s="55" t="s">
        <v>5401</v>
      </c>
      <c r="K1102" s="56" t="s">
        <v>4545</v>
      </c>
    </row>
    <row r="1103" spans="1:11" x14ac:dyDescent="0.25">
      <c r="A1103" t="s">
        <v>1814</v>
      </c>
      <c r="B1103" s="51" t="s">
        <v>4039</v>
      </c>
      <c r="J1103" s="55" t="s">
        <v>5402</v>
      </c>
      <c r="K1103" s="56" t="s">
        <v>4546</v>
      </c>
    </row>
    <row r="1104" spans="1:11" x14ac:dyDescent="0.25">
      <c r="A1104" t="s">
        <v>1838</v>
      </c>
      <c r="B1104" s="51" t="s">
        <v>4040</v>
      </c>
      <c r="J1104" s="55" t="s">
        <v>5403</v>
      </c>
      <c r="K1104" s="56" t="s">
        <v>3432</v>
      </c>
    </row>
    <row r="1105" spans="1:11" x14ac:dyDescent="0.25">
      <c r="A1105" t="s">
        <v>1391</v>
      </c>
      <c r="B1105" s="51" t="s">
        <v>4041</v>
      </c>
      <c r="J1105" s="55" t="s">
        <v>5404</v>
      </c>
      <c r="K1105" s="56" t="s">
        <v>3971</v>
      </c>
    </row>
    <row r="1106" spans="1:11" x14ac:dyDescent="0.25">
      <c r="A1106" t="s">
        <v>2179</v>
      </c>
      <c r="B1106" s="51" t="s">
        <v>4042</v>
      </c>
      <c r="J1106" s="55" t="s">
        <v>5405</v>
      </c>
      <c r="K1106" s="56" t="s">
        <v>3972</v>
      </c>
    </row>
    <row r="1107" spans="1:11" x14ac:dyDescent="0.25">
      <c r="A1107" t="s">
        <v>1924</v>
      </c>
      <c r="B1107" s="51" t="s">
        <v>4043</v>
      </c>
      <c r="J1107" s="55" t="s">
        <v>5406</v>
      </c>
      <c r="K1107" s="56" t="s">
        <v>3974</v>
      </c>
    </row>
    <row r="1108" spans="1:11" x14ac:dyDescent="0.25">
      <c r="A1108" t="s">
        <v>1681</v>
      </c>
      <c r="B1108" s="51" t="s">
        <v>4044</v>
      </c>
      <c r="J1108" s="55" t="s">
        <v>5407</v>
      </c>
      <c r="K1108" s="56" t="s">
        <v>3975</v>
      </c>
    </row>
    <row r="1109" spans="1:11" x14ac:dyDescent="0.25">
      <c r="A1109" t="s">
        <v>1387</v>
      </c>
      <c r="B1109" s="51" t="s">
        <v>4045</v>
      </c>
      <c r="J1109" s="55" t="s">
        <v>5408</v>
      </c>
      <c r="K1109" s="56" t="s">
        <v>3976</v>
      </c>
    </row>
    <row r="1110" spans="1:11" x14ac:dyDescent="0.25">
      <c r="A1110" t="s">
        <v>2154</v>
      </c>
      <c r="B1110" s="51" t="s">
        <v>4046</v>
      </c>
      <c r="J1110" s="55" t="s">
        <v>5409</v>
      </c>
      <c r="K1110" s="56" t="s">
        <v>3978</v>
      </c>
    </row>
    <row r="1111" spans="1:11" x14ac:dyDescent="0.25">
      <c r="A1111" t="s">
        <v>2047</v>
      </c>
      <c r="B1111" s="51" t="s">
        <v>4047</v>
      </c>
      <c r="J1111" s="55" t="s">
        <v>5410</v>
      </c>
      <c r="K1111" s="56" t="s">
        <v>3979</v>
      </c>
    </row>
    <row r="1112" spans="1:11" x14ac:dyDescent="0.25">
      <c r="A1112" t="s">
        <v>1425</v>
      </c>
      <c r="B1112" s="51" t="s">
        <v>4048</v>
      </c>
      <c r="J1112" s="55" t="s">
        <v>5411</v>
      </c>
      <c r="K1112" s="56" t="s">
        <v>3980</v>
      </c>
    </row>
    <row r="1113" spans="1:11" x14ac:dyDescent="0.25">
      <c r="A1113" t="s">
        <v>1584</v>
      </c>
      <c r="B1113" s="51" t="s">
        <v>4049</v>
      </c>
      <c r="J1113" s="55" t="s">
        <v>5412</v>
      </c>
      <c r="K1113" s="56" t="s">
        <v>3981</v>
      </c>
    </row>
    <row r="1114" spans="1:11" x14ac:dyDescent="0.25">
      <c r="A1114" t="s">
        <v>1585</v>
      </c>
      <c r="B1114" s="51" t="s">
        <v>4050</v>
      </c>
      <c r="J1114" s="55" t="s">
        <v>5413</v>
      </c>
      <c r="K1114" s="56" t="s">
        <v>3476</v>
      </c>
    </row>
    <row r="1115" spans="1:11" x14ac:dyDescent="0.25">
      <c r="A1115" t="s">
        <v>1755</v>
      </c>
      <c r="B1115" s="51" t="s">
        <v>4051</v>
      </c>
      <c r="J1115" s="55" t="s">
        <v>5414</v>
      </c>
      <c r="K1115" s="56" t="s">
        <v>3982</v>
      </c>
    </row>
    <row r="1116" spans="1:11" x14ac:dyDescent="0.25">
      <c r="A1116" t="s">
        <v>1843</v>
      </c>
      <c r="B1116" s="51" t="s">
        <v>4052</v>
      </c>
      <c r="J1116" s="55" t="s">
        <v>5415</v>
      </c>
      <c r="K1116" s="56" t="s">
        <v>3983</v>
      </c>
    </row>
    <row r="1117" spans="1:11" x14ac:dyDescent="0.25">
      <c r="A1117" t="s">
        <v>2162</v>
      </c>
      <c r="B1117" s="51" t="s">
        <v>4053</v>
      </c>
      <c r="J1117" s="55" t="s">
        <v>5416</v>
      </c>
      <c r="K1117" s="56" t="s">
        <v>3984</v>
      </c>
    </row>
    <row r="1118" spans="1:11" x14ac:dyDescent="0.25">
      <c r="A1118" t="s">
        <v>1605</v>
      </c>
      <c r="B1118" s="51" t="s">
        <v>4054</v>
      </c>
      <c r="J1118" s="55" t="s">
        <v>5417</v>
      </c>
      <c r="K1118" s="56" t="s">
        <v>3985</v>
      </c>
    </row>
    <row r="1119" spans="1:11" x14ac:dyDescent="0.25">
      <c r="A1119" t="s">
        <v>1414</v>
      </c>
      <c r="B1119" s="51" t="s">
        <v>4055</v>
      </c>
      <c r="J1119" s="55" t="s">
        <v>5418</v>
      </c>
      <c r="K1119" s="56" t="s">
        <v>3986</v>
      </c>
    </row>
    <row r="1120" spans="1:11" x14ac:dyDescent="0.25">
      <c r="A1120" t="s">
        <v>1742</v>
      </c>
      <c r="B1120" s="51" t="s">
        <v>4056</v>
      </c>
      <c r="J1120" s="55" t="s">
        <v>5419</v>
      </c>
      <c r="K1120" s="56" t="s">
        <v>3988</v>
      </c>
    </row>
    <row r="1121" spans="1:11" x14ac:dyDescent="0.25">
      <c r="A1121" t="s">
        <v>1956</v>
      </c>
      <c r="B1121" s="51" t="s">
        <v>4057</v>
      </c>
      <c r="J1121" s="55" t="s">
        <v>5420</v>
      </c>
      <c r="K1121" s="56" t="s">
        <v>3989</v>
      </c>
    </row>
    <row r="1122" spans="1:11" x14ac:dyDescent="0.25">
      <c r="A1122" t="s">
        <v>2189</v>
      </c>
      <c r="B1122" s="51" t="s">
        <v>4058</v>
      </c>
      <c r="J1122" s="55" t="s">
        <v>5421</v>
      </c>
      <c r="K1122" s="56" t="s">
        <v>3990</v>
      </c>
    </row>
    <row r="1123" spans="1:11" x14ac:dyDescent="0.25">
      <c r="A1123" t="s">
        <v>2211</v>
      </c>
      <c r="B1123" s="51" t="s">
        <v>4059</v>
      </c>
      <c r="J1123" s="55" t="s">
        <v>5422</v>
      </c>
      <c r="K1123" s="56" t="s">
        <v>3638</v>
      </c>
    </row>
    <row r="1124" spans="1:11" x14ac:dyDescent="0.25">
      <c r="A1124" t="s">
        <v>2230</v>
      </c>
      <c r="B1124" s="51" t="s">
        <v>4060</v>
      </c>
      <c r="J1124" s="55" t="s">
        <v>5423</v>
      </c>
      <c r="K1124" s="56" t="s">
        <v>3991</v>
      </c>
    </row>
    <row r="1125" spans="1:11" x14ac:dyDescent="0.25">
      <c r="A1125" t="s">
        <v>2088</v>
      </c>
      <c r="B1125" s="51" t="s">
        <v>4061</v>
      </c>
      <c r="J1125" s="55" t="s">
        <v>5424</v>
      </c>
      <c r="K1125" s="56" t="s">
        <v>3992</v>
      </c>
    </row>
    <row r="1126" spans="1:11" x14ac:dyDescent="0.25">
      <c r="A1126" t="s">
        <v>1972</v>
      </c>
      <c r="B1126" s="51" t="s">
        <v>4062</v>
      </c>
      <c r="J1126" s="55" t="s">
        <v>5425</v>
      </c>
      <c r="K1126" s="56" t="s">
        <v>3993</v>
      </c>
    </row>
    <row r="1127" spans="1:11" x14ac:dyDescent="0.25">
      <c r="A1127" t="s">
        <v>1609</v>
      </c>
      <c r="B1127" s="51" t="s">
        <v>4063</v>
      </c>
      <c r="J1127" s="55" t="s">
        <v>5426</v>
      </c>
      <c r="K1127" s="56" t="s">
        <v>3995</v>
      </c>
    </row>
    <row r="1128" spans="1:11" x14ac:dyDescent="0.25">
      <c r="A1128" t="s">
        <v>2086</v>
      </c>
      <c r="B1128" s="51" t="s">
        <v>4064</v>
      </c>
      <c r="J1128" s="55" t="s">
        <v>5427</v>
      </c>
      <c r="K1128" s="56" t="s">
        <v>3996</v>
      </c>
    </row>
    <row r="1129" spans="1:11" x14ac:dyDescent="0.25">
      <c r="A1129" t="s">
        <v>1729</v>
      </c>
      <c r="B1129" s="51" t="s">
        <v>4065</v>
      </c>
      <c r="J1129" s="55" t="s">
        <v>5428</v>
      </c>
      <c r="K1129" s="56" t="s">
        <v>3997</v>
      </c>
    </row>
    <row r="1130" spans="1:11" x14ac:dyDescent="0.25">
      <c r="A1130" t="s">
        <v>2092</v>
      </c>
      <c r="B1130" s="51" t="s">
        <v>4066</v>
      </c>
      <c r="J1130" s="55" t="s">
        <v>5429</v>
      </c>
      <c r="K1130" s="56" t="s">
        <v>3998</v>
      </c>
    </row>
    <row r="1131" spans="1:11" x14ac:dyDescent="0.25">
      <c r="A1131" t="s">
        <v>2203</v>
      </c>
      <c r="B1131" s="51" t="s">
        <v>4067</v>
      </c>
      <c r="J1131" s="55" t="s">
        <v>5430</v>
      </c>
      <c r="K1131" s="56" t="s">
        <v>3999</v>
      </c>
    </row>
    <row r="1132" spans="1:11" x14ac:dyDescent="0.25">
      <c r="A1132" t="s">
        <v>1428</v>
      </c>
      <c r="B1132" s="51" t="s">
        <v>4068</v>
      </c>
      <c r="J1132" s="55" t="s">
        <v>5431</v>
      </c>
      <c r="K1132" s="56" t="s">
        <v>4000</v>
      </c>
    </row>
    <row r="1133" spans="1:11" x14ac:dyDescent="0.25">
      <c r="A1133" t="s">
        <v>1524</v>
      </c>
      <c r="B1133" s="51" t="s">
        <v>4069</v>
      </c>
      <c r="J1133" s="55" t="s">
        <v>5432</v>
      </c>
      <c r="K1133" s="56" t="s">
        <v>4001</v>
      </c>
    </row>
    <row r="1134" spans="1:11" x14ac:dyDescent="0.25">
      <c r="A1134" t="s">
        <v>1430</v>
      </c>
      <c r="B1134" s="51" t="s">
        <v>4070</v>
      </c>
      <c r="J1134" s="55" t="s">
        <v>5433</v>
      </c>
      <c r="K1134" s="56" t="s">
        <v>4002</v>
      </c>
    </row>
    <row r="1135" spans="1:11" x14ac:dyDescent="0.25">
      <c r="A1135" t="s">
        <v>1589</v>
      </c>
      <c r="B1135" s="51" t="s">
        <v>4071</v>
      </c>
      <c r="J1135" s="55" t="s">
        <v>5434</v>
      </c>
      <c r="K1135" s="56" t="s">
        <v>4003</v>
      </c>
    </row>
    <row r="1136" spans="1:11" x14ac:dyDescent="0.25">
      <c r="A1136" t="s">
        <v>1438</v>
      </c>
      <c r="B1136" s="51" t="s">
        <v>4072</v>
      </c>
      <c r="J1136" s="55" t="s">
        <v>5435</v>
      </c>
      <c r="K1136" s="56" t="s">
        <v>4004</v>
      </c>
    </row>
    <row r="1137" spans="1:11" x14ac:dyDescent="0.25">
      <c r="A1137" t="s">
        <v>1644</v>
      </c>
      <c r="B1137" s="51" t="s">
        <v>4073</v>
      </c>
      <c r="J1137" s="55" t="s">
        <v>5436</v>
      </c>
      <c r="K1137" s="56" t="s">
        <v>4005</v>
      </c>
    </row>
    <row r="1138" spans="1:11" x14ac:dyDescent="0.25">
      <c r="A1138" t="s">
        <v>1606</v>
      </c>
      <c r="B1138" s="51" t="s">
        <v>4074</v>
      </c>
      <c r="J1138" s="55" t="s">
        <v>5437</v>
      </c>
      <c r="K1138" s="56" t="s">
        <v>3930</v>
      </c>
    </row>
    <row r="1139" spans="1:11" x14ac:dyDescent="0.25">
      <c r="A1139" t="s">
        <v>1612</v>
      </c>
      <c r="B1139" s="51" t="s">
        <v>4075</v>
      </c>
      <c r="J1139" s="55" t="s">
        <v>5438</v>
      </c>
      <c r="K1139" s="56" t="s">
        <v>4037</v>
      </c>
    </row>
    <row r="1140" spans="1:11" x14ac:dyDescent="0.25">
      <c r="A1140" t="s">
        <v>1866</v>
      </c>
      <c r="B1140" s="51" t="s">
        <v>4076</v>
      </c>
      <c r="J1140" s="55" t="s">
        <v>5439</v>
      </c>
      <c r="K1140" s="56" t="s">
        <v>3933</v>
      </c>
    </row>
    <row r="1141" spans="1:11" x14ac:dyDescent="0.25">
      <c r="A1141" t="s">
        <v>1511</v>
      </c>
      <c r="B1141" s="51" t="s">
        <v>4077</v>
      </c>
      <c r="J1141" s="55" t="s">
        <v>5440</v>
      </c>
      <c r="K1141" s="56" t="s">
        <v>3934</v>
      </c>
    </row>
    <row r="1142" spans="1:11" x14ac:dyDescent="0.25">
      <c r="A1142" t="s">
        <v>1865</v>
      </c>
      <c r="B1142" s="51" t="s">
        <v>4078</v>
      </c>
      <c r="J1142" s="55" t="s">
        <v>5441</v>
      </c>
      <c r="K1142" s="56" t="s">
        <v>4547</v>
      </c>
    </row>
    <row r="1143" spans="1:11" x14ac:dyDescent="0.25">
      <c r="A1143" t="s">
        <v>2077</v>
      </c>
      <c r="B1143" s="51" t="s">
        <v>4079</v>
      </c>
      <c r="J1143" s="55" t="s">
        <v>5442</v>
      </c>
      <c r="K1143" s="56" t="s">
        <v>4548</v>
      </c>
    </row>
    <row r="1144" spans="1:11" x14ac:dyDescent="0.25">
      <c r="A1144" t="s">
        <v>2181</v>
      </c>
      <c r="B1144" s="51" t="s">
        <v>4080</v>
      </c>
      <c r="J1144" s="55" t="s">
        <v>5443</v>
      </c>
      <c r="K1144" s="56" t="s">
        <v>4549</v>
      </c>
    </row>
    <row r="1145" spans="1:11" x14ac:dyDescent="0.25">
      <c r="A1145" t="s">
        <v>1987</v>
      </c>
      <c r="B1145" s="51" t="s">
        <v>4081</v>
      </c>
      <c r="J1145" s="55" t="s">
        <v>5444</v>
      </c>
      <c r="K1145" s="56" t="s">
        <v>4550</v>
      </c>
    </row>
    <row r="1146" spans="1:11" x14ac:dyDescent="0.25">
      <c r="A1146" t="s">
        <v>1749</v>
      </c>
      <c r="B1146" s="51" t="s">
        <v>4082</v>
      </c>
      <c r="J1146" s="55" t="s">
        <v>5445</v>
      </c>
      <c r="K1146" s="56" t="s">
        <v>4551</v>
      </c>
    </row>
    <row r="1147" spans="1:11" x14ac:dyDescent="0.25">
      <c r="A1147" t="s">
        <v>1420</v>
      </c>
      <c r="B1147" s="51" t="s">
        <v>4083</v>
      </c>
      <c r="J1147" s="55" t="s">
        <v>5446</v>
      </c>
      <c r="K1147" s="56" t="s">
        <v>4552</v>
      </c>
    </row>
    <row r="1148" spans="1:11" x14ac:dyDescent="0.25">
      <c r="A1148" t="s">
        <v>2200</v>
      </c>
      <c r="B1148" s="51" t="s">
        <v>4084</v>
      </c>
      <c r="J1148" s="55" t="s">
        <v>5447</v>
      </c>
      <c r="K1148" s="56" t="s">
        <v>4553</v>
      </c>
    </row>
    <row r="1149" spans="1:11" x14ac:dyDescent="0.25">
      <c r="A1149" t="s">
        <v>2093</v>
      </c>
      <c r="B1149" s="51" t="s">
        <v>4085</v>
      </c>
      <c r="J1149" s="55" t="s">
        <v>5448</v>
      </c>
      <c r="K1149" s="56" t="s">
        <v>4554</v>
      </c>
    </row>
    <row r="1150" spans="1:11" x14ac:dyDescent="0.25">
      <c r="A1150" t="s">
        <v>1989</v>
      </c>
      <c r="B1150" s="51" t="s">
        <v>4086</v>
      </c>
      <c r="J1150" s="55" t="s">
        <v>5449</v>
      </c>
      <c r="K1150" s="56" t="s">
        <v>4555</v>
      </c>
    </row>
    <row r="1151" spans="1:11" x14ac:dyDescent="0.25">
      <c r="A1151" t="s">
        <v>1429</v>
      </c>
      <c r="B1151" s="51" t="s">
        <v>4087</v>
      </c>
      <c r="J1151" s="55" t="s">
        <v>5450</v>
      </c>
      <c r="K1151" s="56" t="s">
        <v>4556</v>
      </c>
    </row>
    <row r="1152" spans="1:11" x14ac:dyDescent="0.25">
      <c r="A1152" t="s">
        <v>1753</v>
      </c>
      <c r="B1152" s="51" t="s">
        <v>4088</v>
      </c>
      <c r="J1152" s="55" t="s">
        <v>5451</v>
      </c>
      <c r="K1152" s="56" t="s">
        <v>4007</v>
      </c>
    </row>
    <row r="1153" spans="1:11" x14ac:dyDescent="0.25">
      <c r="A1153" t="s">
        <v>1938</v>
      </c>
      <c r="B1153" s="51" t="s">
        <v>4089</v>
      </c>
      <c r="J1153" s="55" t="s">
        <v>5452</v>
      </c>
      <c r="K1153" s="56" t="s">
        <v>4035</v>
      </c>
    </row>
    <row r="1154" spans="1:11" x14ac:dyDescent="0.25">
      <c r="A1154" t="s">
        <v>1616</v>
      </c>
      <c r="B1154" s="51" t="s">
        <v>4090</v>
      </c>
      <c r="J1154" s="55" t="s">
        <v>5453</v>
      </c>
      <c r="K1154" s="56" t="s">
        <v>4008</v>
      </c>
    </row>
    <row r="1155" spans="1:11" x14ac:dyDescent="0.25">
      <c r="A1155" t="s">
        <v>2155</v>
      </c>
      <c r="B1155" s="51" t="s">
        <v>4091</v>
      </c>
      <c r="J1155" s="55" t="s">
        <v>5454</v>
      </c>
      <c r="K1155" s="56" t="s">
        <v>4009</v>
      </c>
    </row>
    <row r="1156" spans="1:11" x14ac:dyDescent="0.25">
      <c r="A1156" t="s">
        <v>1454</v>
      </c>
      <c r="B1156" s="51" t="s">
        <v>4092</v>
      </c>
      <c r="J1156" s="55" t="s">
        <v>5455</v>
      </c>
      <c r="K1156" s="56" t="s">
        <v>4036</v>
      </c>
    </row>
    <row r="1157" spans="1:11" x14ac:dyDescent="0.25">
      <c r="A1157" t="s">
        <v>2030</v>
      </c>
      <c r="B1157" s="51" t="s">
        <v>4093</v>
      </c>
      <c r="J1157" s="55" t="s">
        <v>5456</v>
      </c>
      <c r="K1157" s="56" t="s">
        <v>4010</v>
      </c>
    </row>
    <row r="1158" spans="1:11" x14ac:dyDescent="0.25">
      <c r="A1158" t="s">
        <v>2176</v>
      </c>
      <c r="B1158" s="51" t="s">
        <v>4094</v>
      </c>
      <c r="J1158" s="55" t="s">
        <v>5457</v>
      </c>
      <c r="K1158" s="56" t="s">
        <v>4011</v>
      </c>
    </row>
    <row r="1159" spans="1:11" x14ac:dyDescent="0.25">
      <c r="A1159" t="s">
        <v>1958</v>
      </c>
      <c r="B1159" s="51" t="s">
        <v>4095</v>
      </c>
      <c r="J1159" s="55" t="s">
        <v>5458</v>
      </c>
      <c r="K1159" s="56" t="s">
        <v>4012</v>
      </c>
    </row>
    <row r="1160" spans="1:11" x14ac:dyDescent="0.25">
      <c r="A1160" t="s">
        <v>1603</v>
      </c>
      <c r="B1160" s="51" t="s">
        <v>4096</v>
      </c>
      <c r="J1160" s="55" t="s">
        <v>5459</v>
      </c>
      <c r="K1160" s="56" t="s">
        <v>4013</v>
      </c>
    </row>
    <row r="1161" spans="1:11" x14ac:dyDescent="0.25">
      <c r="A1161" t="s">
        <v>1623</v>
      </c>
      <c r="B1161" s="51" t="s">
        <v>4097</v>
      </c>
      <c r="J1161" s="55" t="s">
        <v>5460</v>
      </c>
      <c r="K1161" s="56" t="s">
        <v>4014</v>
      </c>
    </row>
    <row r="1162" spans="1:11" x14ac:dyDescent="0.25">
      <c r="A1162" t="s">
        <v>2069</v>
      </c>
      <c r="B1162" s="51" t="s">
        <v>4098</v>
      </c>
      <c r="J1162" s="55" t="s">
        <v>5461</v>
      </c>
      <c r="K1162" s="56" t="s">
        <v>4015</v>
      </c>
    </row>
    <row r="1163" spans="1:11" x14ac:dyDescent="0.25">
      <c r="A1163" t="s">
        <v>1518</v>
      </c>
      <c r="B1163" s="51" t="s">
        <v>4099</v>
      </c>
      <c r="J1163" s="55" t="s">
        <v>5462</v>
      </c>
      <c r="K1163" s="56" t="s">
        <v>4016</v>
      </c>
    </row>
    <row r="1164" spans="1:11" x14ac:dyDescent="0.25">
      <c r="A1164" t="s">
        <v>1597</v>
      </c>
      <c r="B1164" s="51" t="s">
        <v>4100</v>
      </c>
      <c r="J1164" s="55" t="s">
        <v>5463</v>
      </c>
      <c r="K1164" s="56" t="s">
        <v>4017</v>
      </c>
    </row>
    <row r="1165" spans="1:11" x14ac:dyDescent="0.25">
      <c r="A1165" t="s">
        <v>1720</v>
      </c>
      <c r="B1165" s="51" t="s">
        <v>4101</v>
      </c>
      <c r="J1165" s="55" t="s">
        <v>5464</v>
      </c>
      <c r="K1165" s="56" t="s">
        <v>4018</v>
      </c>
    </row>
    <row r="1166" spans="1:11" x14ac:dyDescent="0.25">
      <c r="A1166" t="s">
        <v>1878</v>
      </c>
      <c r="B1166" s="51" t="s">
        <v>4102</v>
      </c>
      <c r="J1166" s="55" t="s">
        <v>5465</v>
      </c>
      <c r="K1166" s="56" t="s">
        <v>4557</v>
      </c>
    </row>
    <row r="1167" spans="1:11" x14ac:dyDescent="0.25">
      <c r="A1167" t="s">
        <v>1993</v>
      </c>
      <c r="B1167" s="51" t="s">
        <v>4103</v>
      </c>
      <c r="J1167" s="55" t="s">
        <v>5466</v>
      </c>
      <c r="K1167" s="56" t="s">
        <v>4019</v>
      </c>
    </row>
    <row r="1168" spans="1:11" x14ac:dyDescent="0.25">
      <c r="A1168" t="s">
        <v>2070</v>
      </c>
      <c r="B1168" s="51" t="s">
        <v>4104</v>
      </c>
      <c r="J1168" s="55" t="s">
        <v>5467</v>
      </c>
      <c r="K1168" s="56" t="s">
        <v>4024</v>
      </c>
    </row>
    <row r="1169" spans="1:11" x14ac:dyDescent="0.25">
      <c r="A1169" t="s">
        <v>1721</v>
      </c>
      <c r="B1169" s="51" t="s">
        <v>4105</v>
      </c>
      <c r="J1169" s="55" t="s">
        <v>5468</v>
      </c>
      <c r="K1169" s="56" t="s">
        <v>4025</v>
      </c>
    </row>
    <row r="1170" spans="1:11" x14ac:dyDescent="0.25">
      <c r="A1170" t="s">
        <v>2091</v>
      </c>
      <c r="B1170" s="51" t="s">
        <v>4106</v>
      </c>
      <c r="J1170" s="55" t="s">
        <v>5469</v>
      </c>
      <c r="K1170" s="56" t="s">
        <v>4026</v>
      </c>
    </row>
    <row r="1171" spans="1:11" x14ac:dyDescent="0.25">
      <c r="A1171" t="s">
        <v>2212</v>
      </c>
      <c r="B1171" s="51" t="s">
        <v>4107</v>
      </c>
      <c r="J1171" s="55" t="s">
        <v>5470</v>
      </c>
      <c r="K1171" s="56" t="s">
        <v>4028</v>
      </c>
    </row>
    <row r="1172" spans="1:11" x14ac:dyDescent="0.25">
      <c r="A1172" t="s">
        <v>1951</v>
      </c>
      <c r="B1172" s="51" t="s">
        <v>4108</v>
      </c>
      <c r="J1172" s="55" t="s">
        <v>5471</v>
      </c>
      <c r="K1172" s="56" t="s">
        <v>3625</v>
      </c>
    </row>
    <row r="1173" spans="1:11" x14ac:dyDescent="0.25">
      <c r="A1173" t="s">
        <v>2151</v>
      </c>
      <c r="B1173" s="51" t="s">
        <v>4109</v>
      </c>
      <c r="J1173" s="55" t="s">
        <v>5472</v>
      </c>
      <c r="K1173" s="56" t="s">
        <v>4030</v>
      </c>
    </row>
    <row r="1174" spans="1:11" x14ac:dyDescent="0.25">
      <c r="A1174" t="s">
        <v>1942</v>
      </c>
      <c r="B1174" s="51" t="s">
        <v>4110</v>
      </c>
      <c r="J1174" s="55" t="s">
        <v>5473</v>
      </c>
      <c r="K1174" s="56" t="s">
        <v>3626</v>
      </c>
    </row>
    <row r="1175" spans="1:11" x14ac:dyDescent="0.25">
      <c r="A1175" t="s">
        <v>1598</v>
      </c>
      <c r="B1175" s="51" t="s">
        <v>4111</v>
      </c>
      <c r="J1175" s="55" t="s">
        <v>5474</v>
      </c>
      <c r="K1175" s="56" t="s">
        <v>4031</v>
      </c>
    </row>
    <row r="1176" spans="1:11" x14ac:dyDescent="0.25">
      <c r="A1176" t="s">
        <v>2268</v>
      </c>
      <c r="B1176" s="51" t="s">
        <v>4112</v>
      </c>
      <c r="J1176" s="55" t="s">
        <v>5475</v>
      </c>
      <c r="K1176" s="56" t="s">
        <v>4032</v>
      </c>
    </row>
    <row r="1177" spans="1:11" x14ac:dyDescent="0.25">
      <c r="A1177" t="s">
        <v>1501</v>
      </c>
      <c r="B1177" s="51" t="s">
        <v>4113</v>
      </c>
      <c r="J1177" s="55" t="s">
        <v>5476</v>
      </c>
      <c r="K1177" s="56" t="s">
        <v>4033</v>
      </c>
    </row>
    <row r="1178" spans="1:11" x14ac:dyDescent="0.25">
      <c r="A1178" t="s">
        <v>1937</v>
      </c>
      <c r="B1178" s="51" t="s">
        <v>4114</v>
      </c>
      <c r="J1178" s="55" t="s">
        <v>5477</v>
      </c>
      <c r="K1178" s="56" t="s">
        <v>4034</v>
      </c>
    </row>
    <row r="1179" spans="1:11" x14ac:dyDescent="0.25">
      <c r="A1179" t="s">
        <v>1724</v>
      </c>
      <c r="B1179" s="51" t="s">
        <v>4115</v>
      </c>
      <c r="J1179" s="55" t="s">
        <v>5478</v>
      </c>
      <c r="K1179" s="56" t="s">
        <v>4038</v>
      </c>
    </row>
    <row r="1180" spans="1:11" x14ac:dyDescent="0.25">
      <c r="A1180" t="s">
        <v>2150</v>
      </c>
      <c r="B1180" s="51" t="s">
        <v>4116</v>
      </c>
      <c r="J1180" s="55" t="s">
        <v>5479</v>
      </c>
      <c r="K1180" s="56" t="s">
        <v>4039</v>
      </c>
    </row>
    <row r="1181" spans="1:11" x14ac:dyDescent="0.25">
      <c r="A1181" t="s">
        <v>4163</v>
      </c>
      <c r="B1181" s="51" t="s">
        <v>4117</v>
      </c>
      <c r="J1181" s="55" t="s">
        <v>5480</v>
      </c>
      <c r="K1181" s="56" t="s">
        <v>4040</v>
      </c>
    </row>
    <row r="1182" spans="1:11" x14ac:dyDescent="0.25">
      <c r="A1182" t="s">
        <v>1842</v>
      </c>
      <c r="B1182" s="51" t="s">
        <v>4118</v>
      </c>
      <c r="J1182" s="55" t="s">
        <v>5481</v>
      </c>
      <c r="K1182" s="56" t="s">
        <v>4558</v>
      </c>
    </row>
    <row r="1183" spans="1:11" x14ac:dyDescent="0.25">
      <c r="A1183" t="s">
        <v>2241</v>
      </c>
      <c r="B1183" s="51" t="s">
        <v>4119</v>
      </c>
      <c r="J1183" s="55" t="s">
        <v>5482</v>
      </c>
      <c r="K1183" s="56" t="s">
        <v>4559</v>
      </c>
    </row>
    <row r="1184" spans="1:11" x14ac:dyDescent="0.25">
      <c r="A1184" t="s">
        <v>2128</v>
      </c>
      <c r="B1184" s="51" t="s">
        <v>4120</v>
      </c>
      <c r="J1184" s="55" t="s">
        <v>5483</v>
      </c>
      <c r="K1184" s="56" t="s">
        <v>4042</v>
      </c>
    </row>
    <row r="1185" spans="1:11" x14ac:dyDescent="0.25">
      <c r="A1185" t="s">
        <v>2272</v>
      </c>
      <c r="B1185" s="51" t="s">
        <v>4121</v>
      </c>
      <c r="J1185" s="55" t="s">
        <v>5484</v>
      </c>
      <c r="K1185" s="56" t="s">
        <v>4043</v>
      </c>
    </row>
    <row r="1186" spans="1:11" x14ac:dyDescent="0.25">
      <c r="A1186" t="s">
        <v>1712</v>
      </c>
      <c r="B1186" s="51" t="s">
        <v>4122</v>
      </c>
      <c r="J1186" s="55" t="s">
        <v>5485</v>
      </c>
      <c r="K1186" s="56" t="s">
        <v>4044</v>
      </c>
    </row>
    <row r="1187" spans="1:11" x14ac:dyDescent="0.25">
      <c r="A1187" t="s">
        <v>1717</v>
      </c>
      <c r="B1187" s="51" t="s">
        <v>4123</v>
      </c>
      <c r="J1187" s="55" t="s">
        <v>5486</v>
      </c>
      <c r="K1187" s="56" t="s">
        <v>4045</v>
      </c>
    </row>
    <row r="1188" spans="1:11" x14ac:dyDescent="0.25">
      <c r="A1188" t="s">
        <v>2148</v>
      </c>
      <c r="B1188" s="51" t="s">
        <v>4124</v>
      </c>
      <c r="J1188" s="55" t="s">
        <v>5487</v>
      </c>
      <c r="K1188" s="56" t="s">
        <v>4046</v>
      </c>
    </row>
    <row r="1189" spans="1:11" x14ac:dyDescent="0.25">
      <c r="A1189" t="s">
        <v>1700</v>
      </c>
      <c r="B1189" s="51" t="s">
        <v>4125</v>
      </c>
      <c r="J1189" s="55" t="s">
        <v>5488</v>
      </c>
      <c r="K1189" s="56" t="s">
        <v>4047</v>
      </c>
    </row>
    <row r="1190" spans="1:11" x14ac:dyDescent="0.25">
      <c r="A1190" t="s">
        <v>1927</v>
      </c>
      <c r="B1190" s="51" t="s">
        <v>4126</v>
      </c>
      <c r="J1190" s="55" t="s">
        <v>5489</v>
      </c>
      <c r="K1190" s="56" t="s">
        <v>4048</v>
      </c>
    </row>
    <row r="1191" spans="1:11" x14ac:dyDescent="0.25">
      <c r="A1191" t="s">
        <v>2243</v>
      </c>
      <c r="B1191" s="51" t="s">
        <v>4127</v>
      </c>
      <c r="J1191" s="55" t="s">
        <v>5490</v>
      </c>
      <c r="K1191" s="56" t="s">
        <v>4049</v>
      </c>
    </row>
    <row r="1192" spans="1:11" x14ac:dyDescent="0.25">
      <c r="A1192" t="s">
        <v>2046</v>
      </c>
      <c r="B1192" s="51">
        <v>190002</v>
      </c>
      <c r="J1192" s="55" t="s">
        <v>5491</v>
      </c>
      <c r="K1192" s="56" t="s">
        <v>4051</v>
      </c>
    </row>
    <row r="1193" spans="1:11" x14ac:dyDescent="0.25">
      <c r="A1193" t="s">
        <v>2228</v>
      </c>
      <c r="B1193" s="51">
        <v>261421</v>
      </c>
      <c r="J1193" s="55" t="s">
        <v>5492</v>
      </c>
      <c r="K1193" s="56" t="s">
        <v>4560</v>
      </c>
    </row>
    <row r="1194" spans="1:11" x14ac:dyDescent="0.25">
      <c r="A1194" t="s">
        <v>2229</v>
      </c>
      <c r="B1194" s="51">
        <v>256173</v>
      </c>
      <c r="J1194" s="55" t="s">
        <v>5493</v>
      </c>
      <c r="K1194" s="56" t="s">
        <v>4052</v>
      </c>
    </row>
    <row r="1195" spans="1:11" x14ac:dyDescent="0.25">
      <c r="A1195" t="s">
        <v>2230</v>
      </c>
      <c r="B1195" s="51">
        <v>353047</v>
      </c>
      <c r="J1195" s="55" t="s">
        <v>5494</v>
      </c>
      <c r="K1195" s="56" t="s">
        <v>4561</v>
      </c>
    </row>
    <row r="1196" spans="1:11" x14ac:dyDescent="0.25">
      <c r="A1196" t="s">
        <v>2231</v>
      </c>
      <c r="B1196" s="51">
        <v>311089</v>
      </c>
      <c r="J1196" s="55" t="s">
        <v>5495</v>
      </c>
      <c r="K1196" s="56" t="s">
        <v>4053</v>
      </c>
    </row>
    <row r="1197" spans="1:11" x14ac:dyDescent="0.25">
      <c r="A1197" t="s">
        <v>2232</v>
      </c>
      <c r="B1197" s="51">
        <v>318318</v>
      </c>
      <c r="J1197" s="55" t="s">
        <v>5496</v>
      </c>
      <c r="K1197" s="56" t="s">
        <v>4054</v>
      </c>
    </row>
    <row r="1198" spans="1:11" x14ac:dyDescent="0.25">
      <c r="A1198" t="s">
        <v>2233</v>
      </c>
      <c r="B1198" s="51">
        <v>329671</v>
      </c>
      <c r="J1198" s="55" t="s">
        <v>5497</v>
      </c>
      <c r="K1198" s="56" t="s">
        <v>4055</v>
      </c>
    </row>
    <row r="1199" spans="1:11" x14ac:dyDescent="0.25">
      <c r="A1199" t="s">
        <v>2234</v>
      </c>
      <c r="B1199" s="51">
        <v>330199</v>
      </c>
      <c r="J1199" s="55" t="s">
        <v>5498</v>
      </c>
      <c r="K1199" s="56" t="s">
        <v>4562</v>
      </c>
    </row>
    <row r="1200" spans="1:11" x14ac:dyDescent="0.25">
      <c r="A1200" t="s">
        <v>2235</v>
      </c>
      <c r="B1200" s="51">
        <v>332424</v>
      </c>
      <c r="J1200" s="55" t="s">
        <v>5499</v>
      </c>
      <c r="K1200" s="56" t="s">
        <v>4057</v>
      </c>
    </row>
    <row r="1201" spans="1:11" x14ac:dyDescent="0.25">
      <c r="A1201" t="s">
        <v>2236</v>
      </c>
      <c r="B1201" s="51">
        <v>336662</v>
      </c>
      <c r="J1201" s="55" t="s">
        <v>5500</v>
      </c>
      <c r="K1201" s="56" t="s">
        <v>4058</v>
      </c>
    </row>
    <row r="1202" spans="1:11" x14ac:dyDescent="0.25">
      <c r="A1202" t="s">
        <v>2237</v>
      </c>
      <c r="B1202" s="51">
        <v>353125</v>
      </c>
      <c r="J1202" s="55" t="s">
        <v>5501</v>
      </c>
      <c r="K1202" s="56" t="s">
        <v>4059</v>
      </c>
    </row>
    <row r="1203" spans="1:11" x14ac:dyDescent="0.25">
      <c r="A1203" t="s">
        <v>2238</v>
      </c>
      <c r="B1203" s="51">
        <v>353214</v>
      </c>
      <c r="J1203" s="55" t="s">
        <v>5502</v>
      </c>
      <c r="K1203" s="56" t="s">
        <v>4060</v>
      </c>
    </row>
    <row r="1204" spans="1:11" x14ac:dyDescent="0.25">
      <c r="A1204" t="s">
        <v>2239</v>
      </c>
      <c r="B1204" s="51">
        <v>353298</v>
      </c>
      <c r="J1204" s="55" t="s">
        <v>5503</v>
      </c>
      <c r="K1204" s="56" t="s">
        <v>4061</v>
      </c>
    </row>
    <row r="1205" spans="1:11" x14ac:dyDescent="0.25">
      <c r="A1205" t="s">
        <v>2240</v>
      </c>
      <c r="B1205" s="51">
        <v>349108</v>
      </c>
      <c r="J1205" s="55" t="s">
        <v>5504</v>
      </c>
      <c r="K1205" s="56" t="s">
        <v>4062</v>
      </c>
    </row>
    <row r="1206" spans="1:11" x14ac:dyDescent="0.25">
      <c r="A1206" t="s">
        <v>2241</v>
      </c>
      <c r="B1206" s="51">
        <v>353399</v>
      </c>
      <c r="J1206" s="55" t="s">
        <v>5505</v>
      </c>
      <c r="K1206" s="56" t="s">
        <v>4063</v>
      </c>
    </row>
    <row r="1207" spans="1:11" x14ac:dyDescent="0.25">
      <c r="A1207" t="s">
        <v>2242</v>
      </c>
      <c r="B1207" s="51">
        <v>353507</v>
      </c>
      <c r="J1207" s="55" t="s">
        <v>5506</v>
      </c>
      <c r="K1207" s="56" t="s">
        <v>4064</v>
      </c>
    </row>
    <row r="1208" spans="1:11" x14ac:dyDescent="0.25">
      <c r="A1208" t="s">
        <v>2243</v>
      </c>
      <c r="B1208" s="51">
        <v>353526</v>
      </c>
      <c r="J1208" s="55" t="s">
        <v>5507</v>
      </c>
      <c r="K1208" s="56" t="s">
        <v>4065</v>
      </c>
    </row>
    <row r="1209" spans="1:11" x14ac:dyDescent="0.25">
      <c r="A1209" t="s">
        <v>2244</v>
      </c>
      <c r="B1209" s="51">
        <v>344854</v>
      </c>
      <c r="J1209" s="55" t="s">
        <v>5508</v>
      </c>
      <c r="K1209" s="56" t="s">
        <v>4066</v>
      </c>
    </row>
    <row r="1210" spans="1:11" x14ac:dyDescent="0.25">
      <c r="A1210" t="s">
        <v>2245</v>
      </c>
      <c r="B1210" s="51">
        <v>350535</v>
      </c>
      <c r="J1210" s="55" t="s">
        <v>5509</v>
      </c>
      <c r="K1210" s="56" t="s">
        <v>4067</v>
      </c>
    </row>
    <row r="1211" spans="1:11" x14ac:dyDescent="0.25">
      <c r="A1211" t="s">
        <v>2246</v>
      </c>
      <c r="B1211" s="51">
        <v>350368</v>
      </c>
      <c r="J1211" s="55" t="s">
        <v>5510</v>
      </c>
      <c r="K1211" s="56" t="s">
        <v>4068</v>
      </c>
    </row>
    <row r="1212" spans="1:11" x14ac:dyDescent="0.25">
      <c r="A1212" t="s">
        <v>2247</v>
      </c>
      <c r="B1212" s="51">
        <v>266670</v>
      </c>
      <c r="J1212" s="55" t="s">
        <v>5511</v>
      </c>
      <c r="K1212" s="56" t="s">
        <v>4088</v>
      </c>
    </row>
    <row r="1213" spans="1:11" x14ac:dyDescent="0.25">
      <c r="A1213" t="s">
        <v>2248</v>
      </c>
      <c r="B1213" s="51">
        <v>353572</v>
      </c>
      <c r="J1213" s="55" t="s">
        <v>5512</v>
      </c>
      <c r="K1213" s="56" t="s">
        <v>4069</v>
      </c>
    </row>
    <row r="1214" spans="1:11" x14ac:dyDescent="0.25">
      <c r="A1214" t="s">
        <v>2249</v>
      </c>
      <c r="B1214" s="51">
        <v>333225</v>
      </c>
      <c r="J1214" s="55" t="s">
        <v>5513</v>
      </c>
      <c r="K1214" s="56" t="s">
        <v>4070</v>
      </c>
    </row>
    <row r="1215" spans="1:11" x14ac:dyDescent="0.25">
      <c r="A1215" t="s">
        <v>2250</v>
      </c>
      <c r="B1215" s="51">
        <v>344546</v>
      </c>
      <c r="J1215" s="55" t="s">
        <v>5514</v>
      </c>
      <c r="K1215" s="56" t="s">
        <v>4071</v>
      </c>
    </row>
    <row r="1216" spans="1:11" x14ac:dyDescent="0.25">
      <c r="A1216" t="s">
        <v>2251</v>
      </c>
      <c r="B1216" s="51">
        <v>353664</v>
      </c>
      <c r="J1216" s="55" t="s">
        <v>5515</v>
      </c>
      <c r="K1216" s="56" t="s">
        <v>4090</v>
      </c>
    </row>
    <row r="1217" spans="1:11" x14ac:dyDescent="0.25">
      <c r="A1217" t="s">
        <v>2252</v>
      </c>
      <c r="B1217" s="51">
        <v>353761</v>
      </c>
      <c r="J1217" s="55" t="s">
        <v>5516</v>
      </c>
      <c r="K1217" s="56" t="s">
        <v>4056</v>
      </c>
    </row>
    <row r="1218" spans="1:11" x14ac:dyDescent="0.25">
      <c r="A1218" t="s">
        <v>2253</v>
      </c>
      <c r="B1218" s="51">
        <v>327843</v>
      </c>
      <c r="J1218" s="55" t="s">
        <v>5517</v>
      </c>
      <c r="K1218" s="56" t="s">
        <v>4073</v>
      </c>
    </row>
    <row r="1219" spans="1:11" x14ac:dyDescent="0.25">
      <c r="A1219" t="s">
        <v>2254</v>
      </c>
      <c r="B1219" s="51">
        <v>322004</v>
      </c>
      <c r="J1219" s="55" t="s">
        <v>5518</v>
      </c>
      <c r="K1219" s="56" t="s">
        <v>4074</v>
      </c>
    </row>
    <row r="1220" spans="1:11" x14ac:dyDescent="0.25">
      <c r="A1220" t="s">
        <v>2255</v>
      </c>
      <c r="B1220" s="51">
        <v>193486</v>
      </c>
      <c r="J1220" s="55" t="s">
        <v>5519</v>
      </c>
      <c r="K1220" s="56" t="s">
        <v>4075</v>
      </c>
    </row>
    <row r="1221" spans="1:11" x14ac:dyDescent="0.25">
      <c r="A1221" t="s">
        <v>2256</v>
      </c>
      <c r="B1221" s="51">
        <v>331724</v>
      </c>
      <c r="J1221" s="55" t="s">
        <v>5520</v>
      </c>
      <c r="K1221" s="56" t="s">
        <v>4077</v>
      </c>
    </row>
    <row r="1222" spans="1:11" x14ac:dyDescent="0.25">
      <c r="A1222" t="s">
        <v>2257</v>
      </c>
      <c r="B1222" s="51">
        <v>346996</v>
      </c>
      <c r="J1222" s="55" t="s">
        <v>5521</v>
      </c>
      <c r="K1222" s="56" t="s">
        <v>4078</v>
      </c>
    </row>
    <row r="1223" spans="1:11" x14ac:dyDescent="0.25">
      <c r="A1223" t="s">
        <v>2258</v>
      </c>
      <c r="B1223" s="51">
        <v>334915</v>
      </c>
      <c r="J1223" s="55" t="s">
        <v>5522</v>
      </c>
      <c r="K1223" s="56" t="s">
        <v>4079</v>
      </c>
    </row>
    <row r="1224" spans="1:11" x14ac:dyDescent="0.25">
      <c r="A1224" t="s">
        <v>2259</v>
      </c>
      <c r="B1224" s="51">
        <v>333994</v>
      </c>
      <c r="J1224" s="55" t="s">
        <v>5523</v>
      </c>
      <c r="K1224" s="56" t="s">
        <v>4080</v>
      </c>
    </row>
    <row r="1225" spans="1:11" x14ac:dyDescent="0.25">
      <c r="A1225" t="s">
        <v>2260</v>
      </c>
      <c r="B1225" s="51">
        <v>321437</v>
      </c>
      <c r="J1225" s="55" t="s">
        <v>5524</v>
      </c>
      <c r="K1225" s="56" t="s">
        <v>4081</v>
      </c>
    </row>
    <row r="1226" spans="1:11" x14ac:dyDescent="0.25">
      <c r="A1226" t="s">
        <v>2261</v>
      </c>
      <c r="B1226" s="51">
        <v>193368</v>
      </c>
      <c r="J1226" s="55" t="s">
        <v>5525</v>
      </c>
      <c r="K1226" s="56" t="s">
        <v>4082</v>
      </c>
    </row>
    <row r="1227" spans="1:11" x14ac:dyDescent="0.25">
      <c r="A1227" t="s">
        <v>2262</v>
      </c>
      <c r="B1227" s="51">
        <v>195947</v>
      </c>
      <c r="J1227" s="55" t="s">
        <v>5526</v>
      </c>
      <c r="K1227" s="56" t="s">
        <v>4083</v>
      </c>
    </row>
    <row r="1228" spans="1:11" x14ac:dyDescent="0.25">
      <c r="A1228" t="s">
        <v>2263</v>
      </c>
      <c r="B1228" s="51">
        <v>352835</v>
      </c>
      <c r="J1228" s="55" t="s">
        <v>5527</v>
      </c>
      <c r="K1228" s="56" t="s">
        <v>4084</v>
      </c>
    </row>
    <row r="1229" spans="1:11" x14ac:dyDescent="0.25">
      <c r="A1229" t="s">
        <v>2264</v>
      </c>
      <c r="B1229" s="51">
        <v>353300</v>
      </c>
      <c r="J1229" s="55" t="s">
        <v>5528</v>
      </c>
      <c r="K1229" s="56" t="s">
        <v>4085</v>
      </c>
    </row>
    <row r="1230" spans="1:11" x14ac:dyDescent="0.25">
      <c r="A1230" t="s">
        <v>2265</v>
      </c>
      <c r="B1230" s="51">
        <v>354119</v>
      </c>
      <c r="J1230" s="55" t="s">
        <v>5529</v>
      </c>
      <c r="K1230" s="56" t="s">
        <v>4086</v>
      </c>
    </row>
    <row r="1231" spans="1:11" x14ac:dyDescent="0.25">
      <c r="A1231" t="s">
        <v>2266</v>
      </c>
      <c r="B1231" s="51">
        <v>342442</v>
      </c>
      <c r="J1231" s="55" t="s">
        <v>5530</v>
      </c>
      <c r="K1231" s="56" t="s">
        <v>4087</v>
      </c>
    </row>
    <row r="1232" spans="1:11" x14ac:dyDescent="0.25">
      <c r="A1232" t="s">
        <v>2267</v>
      </c>
      <c r="B1232" s="51">
        <v>354249</v>
      </c>
      <c r="J1232" s="55" t="s">
        <v>5531</v>
      </c>
      <c r="K1232" s="56" t="s">
        <v>4089</v>
      </c>
    </row>
    <row r="1233" spans="1:11" x14ac:dyDescent="0.25">
      <c r="A1233" t="s">
        <v>2268</v>
      </c>
      <c r="B1233" s="51">
        <v>354237</v>
      </c>
      <c r="J1233" s="55" t="s">
        <v>5532</v>
      </c>
      <c r="K1233" s="56" t="s">
        <v>4091</v>
      </c>
    </row>
    <row r="1234" spans="1:11" x14ac:dyDescent="0.25">
      <c r="A1234" t="s">
        <v>2269</v>
      </c>
      <c r="B1234" s="51">
        <v>325728</v>
      </c>
      <c r="J1234" s="55" t="s">
        <v>5533</v>
      </c>
      <c r="K1234" s="56" t="s">
        <v>4092</v>
      </c>
    </row>
    <row r="1235" spans="1:11" x14ac:dyDescent="0.25">
      <c r="A1235" t="s">
        <v>2270</v>
      </c>
      <c r="B1235" s="51">
        <v>342551</v>
      </c>
      <c r="J1235" s="55" t="s">
        <v>5534</v>
      </c>
      <c r="K1235" s="56" t="s">
        <v>4093</v>
      </c>
    </row>
    <row r="1236" spans="1:11" x14ac:dyDescent="0.25">
      <c r="A1236" t="s">
        <v>2271</v>
      </c>
      <c r="B1236" s="51">
        <v>353652</v>
      </c>
      <c r="J1236" s="55" t="s">
        <v>5535</v>
      </c>
      <c r="K1236" s="56" t="s">
        <v>4094</v>
      </c>
    </row>
    <row r="1237" spans="1:11" x14ac:dyDescent="0.25">
      <c r="A1237" t="s">
        <v>2272</v>
      </c>
      <c r="B1237" s="51">
        <v>354506</v>
      </c>
      <c r="J1237" s="55" t="s">
        <v>5536</v>
      </c>
      <c r="K1237" s="56" t="s">
        <v>4095</v>
      </c>
    </row>
    <row r="1238" spans="1:11" x14ac:dyDescent="0.25">
      <c r="A1238" t="s">
        <v>2273</v>
      </c>
      <c r="B1238" s="51">
        <v>348667</v>
      </c>
      <c r="J1238" s="55" t="s">
        <v>5537</v>
      </c>
      <c r="K1238" s="56" t="s">
        <v>4096</v>
      </c>
    </row>
    <row r="1239" spans="1:11" x14ac:dyDescent="0.25">
      <c r="A1239" t="s">
        <v>2274</v>
      </c>
      <c r="B1239" s="51">
        <v>354206</v>
      </c>
      <c r="J1239" s="55" t="s">
        <v>5538</v>
      </c>
      <c r="K1239" s="56" t="s">
        <v>4097</v>
      </c>
    </row>
    <row r="1240" spans="1:11" x14ac:dyDescent="0.25">
      <c r="A1240" t="s">
        <v>2275</v>
      </c>
      <c r="B1240" s="51">
        <v>354670</v>
      </c>
      <c r="J1240" s="55" t="s">
        <v>5539</v>
      </c>
      <c r="K1240" s="56" t="s">
        <v>4098</v>
      </c>
    </row>
    <row r="1241" spans="1:11" x14ac:dyDescent="0.25">
      <c r="A1241" t="s">
        <v>2276</v>
      </c>
      <c r="B1241" s="51">
        <v>345795</v>
      </c>
      <c r="J1241" s="55" t="s">
        <v>5540</v>
      </c>
      <c r="K1241" s="56" t="s">
        <v>4099</v>
      </c>
    </row>
    <row r="1242" spans="1:11" x14ac:dyDescent="0.25">
      <c r="A1242" t="s">
        <v>2277</v>
      </c>
      <c r="B1242" s="51">
        <v>344158</v>
      </c>
      <c r="J1242" s="55" t="s">
        <v>5541</v>
      </c>
      <c r="K1242" s="56" t="s">
        <v>4100</v>
      </c>
    </row>
    <row r="1243" spans="1:11" x14ac:dyDescent="0.25">
      <c r="A1243" t="s">
        <v>2278</v>
      </c>
      <c r="B1243" s="51">
        <v>353079</v>
      </c>
      <c r="J1243" s="55" t="s">
        <v>5542</v>
      </c>
      <c r="K1243" s="56" t="s">
        <v>4101</v>
      </c>
    </row>
    <row r="1244" spans="1:11" x14ac:dyDescent="0.25">
      <c r="A1244" t="s">
        <v>2279</v>
      </c>
      <c r="B1244" s="51">
        <v>321618</v>
      </c>
      <c r="J1244" s="55" t="s">
        <v>5543</v>
      </c>
      <c r="K1244" s="56" t="s">
        <v>4102</v>
      </c>
    </row>
    <row r="1245" spans="1:11" x14ac:dyDescent="0.25">
      <c r="A1245" t="s">
        <v>2280</v>
      </c>
      <c r="B1245" s="51">
        <v>353397</v>
      </c>
      <c r="J1245" s="55" t="s">
        <v>5544</v>
      </c>
      <c r="K1245" s="56" t="s">
        <v>4103</v>
      </c>
    </row>
    <row r="1246" spans="1:11" x14ac:dyDescent="0.25">
      <c r="A1246" t="s">
        <v>2281</v>
      </c>
      <c r="B1246" s="51">
        <v>147792</v>
      </c>
      <c r="J1246" s="55" t="s">
        <v>5545</v>
      </c>
      <c r="K1246" s="56" t="s">
        <v>4104</v>
      </c>
    </row>
    <row r="1247" spans="1:11" x14ac:dyDescent="0.25">
      <c r="A1247" t="s">
        <v>2282</v>
      </c>
      <c r="J1247" s="55" t="s">
        <v>5546</v>
      </c>
      <c r="K1247" s="56" t="s">
        <v>4105</v>
      </c>
    </row>
    <row r="1248" spans="1:11" x14ac:dyDescent="0.25">
      <c r="J1248" s="55" t="s">
        <v>5547</v>
      </c>
      <c r="K1248" s="56" t="s">
        <v>4107</v>
      </c>
    </row>
    <row r="1249" spans="1:11" x14ac:dyDescent="0.25">
      <c r="B1249" t="s">
        <v>136</v>
      </c>
      <c r="C1249" t="s">
        <v>4367</v>
      </c>
      <c r="J1249" s="55" t="s">
        <v>5548</v>
      </c>
      <c r="K1249" s="56" t="s">
        <v>4108</v>
      </c>
    </row>
    <row r="1250" spans="1:11" x14ac:dyDescent="0.25">
      <c r="A1250" t="s">
        <v>136</v>
      </c>
      <c r="B1250" t="s">
        <v>898</v>
      </c>
      <c r="C1250" t="s">
        <v>168</v>
      </c>
      <c r="E1250" t="s">
        <v>136</v>
      </c>
      <c r="J1250" s="55" t="s">
        <v>5549</v>
      </c>
      <c r="K1250" s="56" t="s">
        <v>4109</v>
      </c>
    </row>
    <row r="1251" spans="1:11" x14ac:dyDescent="0.25">
      <c r="A1251" t="s">
        <v>4185</v>
      </c>
      <c r="B1251" t="s">
        <v>898</v>
      </c>
      <c r="C1251" t="s">
        <v>101</v>
      </c>
      <c r="E1251" s="195" t="s">
        <v>4325</v>
      </c>
      <c r="F1251" s="196" t="s">
        <v>898</v>
      </c>
      <c r="J1251" s="55" t="s">
        <v>5550</v>
      </c>
      <c r="K1251" s="56" t="s">
        <v>4112</v>
      </c>
    </row>
    <row r="1252" spans="1:11" x14ac:dyDescent="0.25">
      <c r="A1252" t="s">
        <v>4245</v>
      </c>
      <c r="B1252" t="s">
        <v>898</v>
      </c>
      <c r="C1252" t="s">
        <v>168</v>
      </c>
      <c r="E1252" t="s">
        <v>4326</v>
      </c>
      <c r="F1252" s="186" t="s">
        <v>898</v>
      </c>
      <c r="J1252" s="55" t="s">
        <v>5551</v>
      </c>
      <c r="K1252" s="56" t="s">
        <v>4111</v>
      </c>
    </row>
    <row r="1253" spans="1:11" x14ac:dyDescent="0.25">
      <c r="A1253" t="s">
        <v>4246</v>
      </c>
      <c r="B1253" t="s">
        <v>898</v>
      </c>
      <c r="C1253" t="s">
        <v>101</v>
      </c>
      <c r="E1253" t="s">
        <v>4327</v>
      </c>
      <c r="F1253" s="186" t="s">
        <v>898</v>
      </c>
      <c r="J1253" s="55" t="s">
        <v>5552</v>
      </c>
      <c r="K1253" s="56" t="s">
        <v>4113</v>
      </c>
    </row>
    <row r="1254" spans="1:11" x14ac:dyDescent="0.25">
      <c r="A1254" t="s">
        <v>4247</v>
      </c>
      <c r="B1254" t="s">
        <v>898</v>
      </c>
      <c r="C1254" t="s">
        <v>101</v>
      </c>
      <c r="E1254" t="s">
        <v>5570</v>
      </c>
      <c r="F1254" s="186" t="s">
        <v>901</v>
      </c>
      <c r="J1254" s="55" t="s">
        <v>5553</v>
      </c>
      <c r="K1254" s="56" t="s">
        <v>4563</v>
      </c>
    </row>
    <row r="1255" spans="1:11" x14ac:dyDescent="0.25">
      <c r="A1255" t="s">
        <v>4248</v>
      </c>
      <c r="B1255" t="s">
        <v>905</v>
      </c>
      <c r="C1255" t="s">
        <v>168</v>
      </c>
      <c r="E1255" t="s">
        <v>4328</v>
      </c>
      <c r="F1255" s="186" t="s">
        <v>898</v>
      </c>
      <c r="J1255" s="55" t="s">
        <v>5554</v>
      </c>
      <c r="K1255" s="56" t="s">
        <v>4114</v>
      </c>
    </row>
    <row r="1256" spans="1:11" x14ac:dyDescent="0.25">
      <c r="A1256" t="s">
        <v>4186</v>
      </c>
      <c r="B1256" t="s">
        <v>905</v>
      </c>
      <c r="E1256" t="s">
        <v>4329</v>
      </c>
      <c r="F1256" s="186" t="s">
        <v>898</v>
      </c>
      <c r="J1256" s="55" t="s">
        <v>5555</v>
      </c>
      <c r="K1256" s="56" t="s">
        <v>4564</v>
      </c>
    </row>
    <row r="1257" spans="1:11" x14ac:dyDescent="0.25">
      <c r="A1257" t="s">
        <v>4187</v>
      </c>
      <c r="B1257" t="s">
        <v>898</v>
      </c>
      <c r="E1257" t="s">
        <v>4330</v>
      </c>
      <c r="F1257" s="186" t="s">
        <v>898</v>
      </c>
      <c r="J1257" s="55" t="s">
        <v>5556</v>
      </c>
      <c r="K1257" s="56" t="s">
        <v>4118</v>
      </c>
    </row>
    <row r="1258" spans="1:11" x14ac:dyDescent="0.25">
      <c r="A1258" t="s">
        <v>4249</v>
      </c>
      <c r="B1258" t="s">
        <v>898</v>
      </c>
      <c r="C1258" t="s">
        <v>4367</v>
      </c>
      <c r="E1258" t="s">
        <v>4331</v>
      </c>
      <c r="F1258" s="186" t="s">
        <v>898</v>
      </c>
      <c r="J1258" s="55" t="s">
        <v>5557</v>
      </c>
      <c r="K1258" s="56" t="s">
        <v>4119</v>
      </c>
    </row>
    <row r="1259" spans="1:11" x14ac:dyDescent="0.25">
      <c r="A1259" t="s">
        <v>4250</v>
      </c>
      <c r="B1259" t="s">
        <v>905</v>
      </c>
      <c r="C1259" t="s">
        <v>5577</v>
      </c>
      <c r="E1259" t="s">
        <v>4332</v>
      </c>
      <c r="F1259" s="186" t="s">
        <v>898</v>
      </c>
      <c r="J1259" s="55" t="s">
        <v>5558</v>
      </c>
      <c r="K1259" s="56" t="s">
        <v>4120</v>
      </c>
    </row>
    <row r="1260" spans="1:11" x14ac:dyDescent="0.25">
      <c r="A1260" t="s">
        <v>4188</v>
      </c>
      <c r="B1260" t="s">
        <v>905</v>
      </c>
      <c r="C1260" t="s">
        <v>5572</v>
      </c>
      <c r="E1260" t="s">
        <v>4333</v>
      </c>
      <c r="F1260" s="186" t="s">
        <v>898</v>
      </c>
      <c r="J1260" s="55" t="s">
        <v>5559</v>
      </c>
      <c r="K1260" s="56" t="s">
        <v>4122</v>
      </c>
    </row>
    <row r="1261" spans="1:11" x14ac:dyDescent="0.25">
      <c r="A1261" t="s">
        <v>4189</v>
      </c>
      <c r="B1261" t="s">
        <v>905</v>
      </c>
      <c r="C1261" t="s">
        <v>5573</v>
      </c>
      <c r="E1261" t="s">
        <v>4334</v>
      </c>
      <c r="F1261" s="186" t="s">
        <v>898</v>
      </c>
      <c r="J1261" s="55" t="s">
        <v>5560</v>
      </c>
      <c r="K1261" s="56" t="s">
        <v>4123</v>
      </c>
    </row>
    <row r="1262" spans="1:11" x14ac:dyDescent="0.25">
      <c r="A1262" t="s">
        <v>4251</v>
      </c>
      <c r="B1262" t="s">
        <v>905</v>
      </c>
      <c r="C1262" t="s">
        <v>5574</v>
      </c>
      <c r="E1262" t="s">
        <v>6081</v>
      </c>
      <c r="F1262" s="186" t="s">
        <v>905</v>
      </c>
      <c r="J1262" s="55" t="s">
        <v>5561</v>
      </c>
      <c r="K1262" s="56" t="s">
        <v>4116</v>
      </c>
    </row>
    <row r="1263" spans="1:11" x14ac:dyDescent="0.25">
      <c r="A1263" t="s">
        <v>4252</v>
      </c>
      <c r="B1263" t="s">
        <v>898</v>
      </c>
      <c r="E1263" t="s">
        <v>4335</v>
      </c>
      <c r="F1263" s="186" t="s">
        <v>898</v>
      </c>
      <c r="J1263" s="55" t="s">
        <v>5562</v>
      </c>
      <c r="K1263" s="56" t="s">
        <v>4117</v>
      </c>
    </row>
    <row r="1264" spans="1:11" x14ac:dyDescent="0.25">
      <c r="A1264" t="s">
        <v>4253</v>
      </c>
      <c r="B1264" t="s">
        <v>905</v>
      </c>
      <c r="E1264" t="s">
        <v>4336</v>
      </c>
      <c r="F1264" s="186" t="s">
        <v>898</v>
      </c>
      <c r="J1264" s="55" t="s">
        <v>5563</v>
      </c>
      <c r="K1264" s="56" t="s">
        <v>4124</v>
      </c>
    </row>
    <row r="1265" spans="1:11" x14ac:dyDescent="0.25">
      <c r="A1265" t="s">
        <v>4254</v>
      </c>
      <c r="C1265" t="s">
        <v>4367</v>
      </c>
      <c r="E1265" t="s">
        <v>4337</v>
      </c>
      <c r="F1265" s="186" t="s">
        <v>898</v>
      </c>
      <c r="J1265" s="55" t="s">
        <v>5564</v>
      </c>
      <c r="K1265" s="56" t="s">
        <v>4125</v>
      </c>
    </row>
    <row r="1266" spans="1:11" x14ac:dyDescent="0.25">
      <c r="A1266" t="s">
        <v>4255</v>
      </c>
      <c r="C1266" t="s">
        <v>5982</v>
      </c>
      <c r="E1266" t="s">
        <v>4338</v>
      </c>
      <c r="F1266" s="186" t="s">
        <v>905</v>
      </c>
      <c r="J1266" s="55" t="s">
        <v>5565</v>
      </c>
      <c r="K1266" s="56" t="s">
        <v>4127</v>
      </c>
    </row>
    <row r="1267" spans="1:11" x14ac:dyDescent="0.25">
      <c r="A1267" t="s">
        <v>4256</v>
      </c>
      <c r="C1267" t="s">
        <v>5983</v>
      </c>
      <c r="E1267" t="s">
        <v>4339</v>
      </c>
      <c r="F1267" s="186" t="s">
        <v>905</v>
      </c>
    </row>
    <row r="1268" spans="1:11" x14ac:dyDescent="0.25">
      <c r="A1268" t="s">
        <v>4257</v>
      </c>
      <c r="C1268" t="s">
        <v>5984</v>
      </c>
      <c r="E1268" t="s">
        <v>4340</v>
      </c>
      <c r="F1268" s="186" t="s">
        <v>905</v>
      </c>
    </row>
    <row r="1269" spans="1:11" x14ac:dyDescent="0.25">
      <c r="A1269" t="s">
        <v>4258</v>
      </c>
      <c r="B1269" t="s">
        <v>905</v>
      </c>
      <c r="C1269" t="s">
        <v>5985</v>
      </c>
      <c r="E1269" t="s">
        <v>4341</v>
      </c>
      <c r="F1269" s="186" t="s">
        <v>898</v>
      </c>
    </row>
    <row r="1270" spans="1:11" x14ac:dyDescent="0.25">
      <c r="A1270" t="s">
        <v>4190</v>
      </c>
      <c r="B1270" t="s">
        <v>905</v>
      </c>
      <c r="C1270" t="s">
        <v>5986</v>
      </c>
      <c r="E1270" t="s">
        <v>4342</v>
      </c>
      <c r="F1270" s="186" t="s">
        <v>898</v>
      </c>
    </row>
    <row r="1271" spans="1:11" x14ac:dyDescent="0.25">
      <c r="A1271" t="s">
        <v>4191</v>
      </c>
      <c r="B1271" t="s">
        <v>901</v>
      </c>
      <c r="C1271" t="s">
        <v>5987</v>
      </c>
      <c r="E1271" t="s">
        <v>6082</v>
      </c>
      <c r="F1271" s="186" t="s">
        <v>905</v>
      </c>
    </row>
    <row r="1272" spans="1:11" x14ac:dyDescent="0.25">
      <c r="A1272" t="s">
        <v>4192</v>
      </c>
      <c r="B1272" t="s">
        <v>901</v>
      </c>
      <c r="C1272" t="s">
        <v>5988</v>
      </c>
      <c r="E1272" t="s">
        <v>6083</v>
      </c>
      <c r="F1272" s="186" t="s">
        <v>905</v>
      </c>
    </row>
    <row r="1273" spans="1:11" x14ac:dyDescent="0.25">
      <c r="A1273" t="s">
        <v>4193</v>
      </c>
      <c r="B1273" t="s">
        <v>901</v>
      </c>
      <c r="C1273" t="s">
        <v>5989</v>
      </c>
      <c r="E1273" t="s">
        <v>6084</v>
      </c>
      <c r="F1273" s="186" t="s">
        <v>905</v>
      </c>
    </row>
    <row r="1274" spans="1:11" x14ac:dyDescent="0.25">
      <c r="A1274" t="s">
        <v>4194</v>
      </c>
      <c r="B1274" t="s">
        <v>901</v>
      </c>
      <c r="C1274" t="s">
        <v>5990</v>
      </c>
      <c r="E1274" t="s">
        <v>4343</v>
      </c>
      <c r="F1274" s="186" t="s">
        <v>905</v>
      </c>
    </row>
    <row r="1275" spans="1:11" x14ac:dyDescent="0.25">
      <c r="A1275" s="185" t="s">
        <v>4324</v>
      </c>
      <c r="C1275" t="s">
        <v>5991</v>
      </c>
      <c r="E1275" t="s">
        <v>4344</v>
      </c>
      <c r="F1275" s="186" t="s">
        <v>905</v>
      </c>
    </row>
    <row r="1276" spans="1:11" x14ac:dyDescent="0.25">
      <c r="E1276" t="s">
        <v>6085</v>
      </c>
      <c r="F1276" s="186" t="s">
        <v>905</v>
      </c>
    </row>
    <row r="1277" spans="1:11" x14ac:dyDescent="0.25">
      <c r="B1277" t="s">
        <v>895</v>
      </c>
      <c r="C1277" t="s">
        <v>896</v>
      </c>
      <c r="E1277" t="s">
        <v>4345</v>
      </c>
      <c r="F1277" s="186" t="s">
        <v>905</v>
      </c>
    </row>
    <row r="1278" spans="1:11" x14ac:dyDescent="0.25">
      <c r="A1278" t="s">
        <v>894</v>
      </c>
      <c r="B1278" t="s">
        <v>136</v>
      </c>
      <c r="C1278" t="s">
        <v>136</v>
      </c>
      <c r="E1278" t="s">
        <v>4346</v>
      </c>
      <c r="F1278" s="186" t="s">
        <v>898</v>
      </c>
    </row>
    <row r="1279" spans="1:11" x14ac:dyDescent="0.25">
      <c r="A1279" t="s">
        <v>136</v>
      </c>
      <c r="B1279" t="s">
        <v>898</v>
      </c>
      <c r="C1279" t="s">
        <v>899</v>
      </c>
      <c r="E1279" t="s">
        <v>4347</v>
      </c>
      <c r="F1279" s="186" t="s">
        <v>898</v>
      </c>
    </row>
    <row r="1280" spans="1:11" x14ac:dyDescent="0.25">
      <c r="A1280" t="s">
        <v>897</v>
      </c>
      <c r="B1280" t="s">
        <v>901</v>
      </c>
      <c r="C1280" t="s">
        <v>902</v>
      </c>
      <c r="E1280" t="s">
        <v>4348</v>
      </c>
      <c r="F1280" s="186" t="s">
        <v>905</v>
      </c>
    </row>
    <row r="1281" spans="1:6" x14ac:dyDescent="0.25">
      <c r="A1281" t="s">
        <v>900</v>
      </c>
      <c r="B1281" t="s">
        <v>898</v>
      </c>
      <c r="C1281" t="s">
        <v>899</v>
      </c>
      <c r="E1281" t="s">
        <v>4349</v>
      </c>
      <c r="F1281" s="186" t="s">
        <v>905</v>
      </c>
    </row>
    <row r="1282" spans="1:6" x14ac:dyDescent="0.25">
      <c r="A1282" t="s">
        <v>903</v>
      </c>
      <c r="B1282" t="s">
        <v>905</v>
      </c>
      <c r="C1282" t="s">
        <v>902</v>
      </c>
      <c r="E1282" t="s">
        <v>4350</v>
      </c>
      <c r="F1282" s="186" t="s">
        <v>905</v>
      </c>
    </row>
    <row r="1283" spans="1:6" x14ac:dyDescent="0.25">
      <c r="A1283" t="s">
        <v>904</v>
      </c>
      <c r="B1283" t="s">
        <v>898</v>
      </c>
      <c r="C1283" t="s">
        <v>899</v>
      </c>
      <c r="E1283" t="s">
        <v>4351</v>
      </c>
      <c r="F1283" s="186" t="s">
        <v>905</v>
      </c>
    </row>
    <row r="1284" spans="1:6" x14ac:dyDescent="0.25">
      <c r="A1284" t="s">
        <v>906</v>
      </c>
      <c r="B1284" t="s">
        <v>905</v>
      </c>
      <c r="C1284" t="s">
        <v>902</v>
      </c>
      <c r="E1284" t="s">
        <v>4352</v>
      </c>
      <c r="F1284" s="186" t="s">
        <v>905</v>
      </c>
    </row>
    <row r="1285" spans="1:6" x14ac:dyDescent="0.25">
      <c r="A1285" t="s">
        <v>907</v>
      </c>
      <c r="B1285" t="s">
        <v>905</v>
      </c>
      <c r="C1285" t="s">
        <v>902</v>
      </c>
      <c r="E1285" t="s">
        <v>4353</v>
      </c>
      <c r="F1285" s="186" t="s">
        <v>905</v>
      </c>
    </row>
    <row r="1286" spans="1:6" x14ac:dyDescent="0.25">
      <c r="A1286" t="s">
        <v>908</v>
      </c>
      <c r="B1286" t="s">
        <v>898</v>
      </c>
      <c r="C1286" t="s">
        <v>899</v>
      </c>
      <c r="E1286" t="s">
        <v>4354</v>
      </c>
      <c r="F1286" s="186" t="s">
        <v>905</v>
      </c>
    </row>
    <row r="1287" spans="1:6" x14ac:dyDescent="0.25">
      <c r="A1287" t="s">
        <v>909</v>
      </c>
      <c r="E1287" t="s">
        <v>6086</v>
      </c>
      <c r="F1287" s="186" t="s">
        <v>905</v>
      </c>
    </row>
    <row r="1288" spans="1:6" x14ac:dyDescent="0.25">
      <c r="E1288" t="s">
        <v>6087</v>
      </c>
      <c r="F1288" s="186" t="s">
        <v>905</v>
      </c>
    </row>
    <row r="1289" spans="1:6" x14ac:dyDescent="0.25">
      <c r="E1289" t="s">
        <v>4355</v>
      </c>
      <c r="F1289" s="186" t="s">
        <v>905</v>
      </c>
    </row>
    <row r="1290" spans="1:6" x14ac:dyDescent="0.25">
      <c r="E1290" t="s">
        <v>6088</v>
      </c>
      <c r="F1290" s="186" t="s">
        <v>905</v>
      </c>
    </row>
    <row r="1291" spans="1:6" x14ac:dyDescent="0.25">
      <c r="E1291" t="s">
        <v>4356</v>
      </c>
      <c r="F1291" s="186" t="s">
        <v>905</v>
      </c>
    </row>
    <row r="1292" spans="1:6" x14ac:dyDescent="0.25">
      <c r="E1292" t="s">
        <v>4357</v>
      </c>
      <c r="F1292" s="186" t="s">
        <v>905</v>
      </c>
    </row>
    <row r="1293" spans="1:6" x14ac:dyDescent="0.25">
      <c r="E1293" t="s">
        <v>4358</v>
      </c>
      <c r="F1293" s="186" t="s">
        <v>905</v>
      </c>
    </row>
    <row r="1294" spans="1:6" x14ac:dyDescent="0.25">
      <c r="E1294" t="s">
        <v>6089</v>
      </c>
      <c r="F1294" s="186" t="s">
        <v>901</v>
      </c>
    </row>
    <row r="1295" spans="1:6" x14ac:dyDescent="0.25">
      <c r="E1295" t="s">
        <v>4359</v>
      </c>
      <c r="F1295" s="186" t="s">
        <v>901</v>
      </c>
    </row>
    <row r="1296" spans="1:6" x14ac:dyDescent="0.25">
      <c r="E1296" t="s">
        <v>4360</v>
      </c>
      <c r="F1296" s="186" t="s">
        <v>901</v>
      </c>
    </row>
    <row r="1297" spans="5:6" x14ac:dyDescent="0.25">
      <c r="E1297" t="s">
        <v>4361</v>
      </c>
      <c r="F1297" s="186" t="s">
        <v>901</v>
      </c>
    </row>
    <row r="1298" spans="5:6" x14ac:dyDescent="0.25">
      <c r="E1298" t="s">
        <v>4362</v>
      </c>
      <c r="F1298" s="186" t="s">
        <v>905</v>
      </c>
    </row>
    <row r="1299" spans="5:6" x14ac:dyDescent="0.25">
      <c r="E1299" t="s">
        <v>4363</v>
      </c>
      <c r="F1299" s="186" t="s">
        <v>905</v>
      </c>
    </row>
    <row r="1300" spans="5:6" x14ac:dyDescent="0.25">
      <c r="E1300" t="s">
        <v>4364</v>
      </c>
      <c r="F1300" s="186" t="s">
        <v>905</v>
      </c>
    </row>
    <row r="1301" spans="5:6" x14ac:dyDescent="0.25">
      <c r="E1301" t="s">
        <v>4365</v>
      </c>
      <c r="F1301" s="186" t="s">
        <v>905</v>
      </c>
    </row>
    <row r="1302" spans="5:6" x14ac:dyDescent="0.25">
      <c r="E1302" t="s">
        <v>4366</v>
      </c>
      <c r="F1302" s="186" t="s">
        <v>898</v>
      </c>
    </row>
    <row r="1303" spans="5:6" x14ac:dyDescent="0.25">
      <c r="F1303" s="186"/>
    </row>
    <row r="1304" spans="5:6" x14ac:dyDescent="0.25">
      <c r="F1304" s="186"/>
    </row>
  </sheetData>
  <protectedRanges>
    <protectedRange sqref="R2" name="HR Information"/>
  </protectedRanges>
  <sortState xmlns:xlrd2="http://schemas.microsoft.com/office/spreadsheetml/2017/richdata2" ref="U2:V34">
    <sortCondition ref="U2"/>
  </sortState>
  <conditionalFormatting sqref="R2">
    <cfRule type="containsText" dxfId="2" priority="3" operator="containsText" text="free text">
      <formula>NOT(ISERROR(SEARCH("free text",R2)))</formula>
    </cfRule>
  </conditionalFormatting>
  <conditionalFormatting sqref="R2">
    <cfRule type="containsText" dxfId="1" priority="2" operator="containsText" text="menu">
      <formula>NOT(ISERROR(SEARCH("menu",R2)))</formula>
    </cfRule>
  </conditionalFormatting>
  <conditionalFormatting sqref="R2">
    <cfRule type="containsText" dxfId="0" priority="1" operator="containsText" text="an - year">
      <formula>NOT(ISERROR(SEARCH("an - year",R2)))</formula>
    </cfRule>
  </conditionalFormatting>
  <dataValidations disablePrompts="1" count="2">
    <dataValidation type="list" allowBlank="1" showInputMessage="1" showErrorMessage="1" sqref="AK1" xr:uid="{F9DDC479-546B-4C67-B6A8-3793D2C95F8D}">
      <formula1>$Y$1:$AH$1</formula1>
    </dataValidation>
    <dataValidation type="list" allowBlank="1" showInputMessage="1" showErrorMessage="1" sqref="AJ1" xr:uid="{6347ACF4-ACCD-48DA-86E8-7D29626784F9}">
      <formula1>$X$1:$AH$1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D258"/>
  <sheetViews>
    <sheetView topLeftCell="A34" workbookViewId="0">
      <selection activeCell="A57" sqref="A57"/>
    </sheetView>
  </sheetViews>
  <sheetFormatPr baseColWidth="10" defaultColWidth="9.140625" defaultRowHeight="15" x14ac:dyDescent="0.25"/>
  <cols>
    <col min="1" max="1" width="61" bestFit="1" customWidth="1"/>
    <col min="4" max="4" width="47" bestFit="1" customWidth="1"/>
  </cols>
  <sheetData>
    <row r="2" spans="1:4" x14ac:dyDescent="0.25">
      <c r="A2" t="s">
        <v>136</v>
      </c>
      <c r="D2" t="s">
        <v>1154</v>
      </c>
    </row>
    <row r="3" spans="1:4" x14ac:dyDescent="0.25">
      <c r="A3" t="s">
        <v>179</v>
      </c>
      <c r="B3" t="s">
        <v>1156</v>
      </c>
      <c r="D3" t="s">
        <v>136</v>
      </c>
    </row>
    <row r="4" spans="1:4" x14ac:dyDescent="0.25">
      <c r="A4" t="s">
        <v>181</v>
      </c>
      <c r="D4" t="s">
        <v>1155</v>
      </c>
    </row>
    <row r="5" spans="1:4" x14ac:dyDescent="0.25">
      <c r="A5" t="s">
        <v>183</v>
      </c>
    </row>
    <row r="6" spans="1:4" x14ac:dyDescent="0.25">
      <c r="A6" t="s">
        <v>185</v>
      </c>
      <c r="D6" t="s">
        <v>1157</v>
      </c>
    </row>
    <row r="7" spans="1:4" x14ac:dyDescent="0.25">
      <c r="A7" t="s">
        <v>187</v>
      </c>
      <c r="D7" t="s">
        <v>1158</v>
      </c>
    </row>
    <row r="8" spans="1:4" x14ac:dyDescent="0.25">
      <c r="A8" t="s">
        <v>189</v>
      </c>
      <c r="D8" t="s">
        <v>1159</v>
      </c>
    </row>
    <row r="9" spans="1:4" x14ac:dyDescent="0.25">
      <c r="A9" t="s">
        <v>191</v>
      </c>
      <c r="D9" t="s">
        <v>1160</v>
      </c>
    </row>
    <row r="10" spans="1:4" x14ac:dyDescent="0.25">
      <c r="A10" t="s">
        <v>193</v>
      </c>
      <c r="D10" t="s">
        <v>1161</v>
      </c>
    </row>
    <row r="11" spans="1:4" x14ac:dyDescent="0.25">
      <c r="A11" t="s">
        <v>195</v>
      </c>
      <c r="D11" t="s">
        <v>1162</v>
      </c>
    </row>
    <row r="12" spans="1:4" x14ac:dyDescent="0.25">
      <c r="A12" t="s">
        <v>197</v>
      </c>
      <c r="D12" t="s">
        <v>1163</v>
      </c>
    </row>
    <row r="13" spans="1:4" x14ac:dyDescent="0.25">
      <c r="A13" t="s">
        <v>199</v>
      </c>
      <c r="D13" t="s">
        <v>1164</v>
      </c>
    </row>
    <row r="14" spans="1:4" x14ac:dyDescent="0.25">
      <c r="A14" t="s">
        <v>201</v>
      </c>
      <c r="D14" t="s">
        <v>1165</v>
      </c>
    </row>
    <row r="15" spans="1:4" x14ac:dyDescent="0.25">
      <c r="A15" t="s">
        <v>203</v>
      </c>
      <c r="D15" t="s">
        <v>1166</v>
      </c>
    </row>
    <row r="16" spans="1:4" x14ac:dyDescent="0.25">
      <c r="A16" t="s">
        <v>205</v>
      </c>
      <c r="D16" t="s">
        <v>1167</v>
      </c>
    </row>
    <row r="17" spans="1:4" x14ac:dyDescent="0.25">
      <c r="A17" t="s">
        <v>207</v>
      </c>
      <c r="D17" t="s">
        <v>1168</v>
      </c>
    </row>
    <row r="18" spans="1:4" x14ac:dyDescent="0.25">
      <c r="A18" t="s">
        <v>209</v>
      </c>
      <c r="D18" t="s">
        <v>1169</v>
      </c>
    </row>
    <row r="19" spans="1:4" x14ac:dyDescent="0.25">
      <c r="A19" t="s">
        <v>211</v>
      </c>
      <c r="D19" t="s">
        <v>1170</v>
      </c>
    </row>
    <row r="20" spans="1:4" x14ac:dyDescent="0.25">
      <c r="A20" t="s">
        <v>213</v>
      </c>
      <c r="D20" t="s">
        <v>1171</v>
      </c>
    </row>
    <row r="21" spans="1:4" x14ac:dyDescent="0.25">
      <c r="A21" t="s">
        <v>215</v>
      </c>
      <c r="D21" t="s">
        <v>1172</v>
      </c>
    </row>
    <row r="22" spans="1:4" x14ac:dyDescent="0.25">
      <c r="A22" t="s">
        <v>217</v>
      </c>
      <c r="D22" t="s">
        <v>1173</v>
      </c>
    </row>
    <row r="23" spans="1:4" x14ac:dyDescent="0.25">
      <c r="A23" t="s">
        <v>219</v>
      </c>
      <c r="D23" t="s">
        <v>1174</v>
      </c>
    </row>
    <row r="24" spans="1:4" x14ac:dyDescent="0.25">
      <c r="A24" t="s">
        <v>221</v>
      </c>
      <c r="D24" t="s">
        <v>1175</v>
      </c>
    </row>
    <row r="25" spans="1:4" x14ac:dyDescent="0.25">
      <c r="A25" t="s">
        <v>223</v>
      </c>
      <c r="D25" t="s">
        <v>1176</v>
      </c>
    </row>
    <row r="26" spans="1:4" x14ac:dyDescent="0.25">
      <c r="A26" t="s">
        <v>225</v>
      </c>
      <c r="D26" t="s">
        <v>1177</v>
      </c>
    </row>
    <row r="27" spans="1:4" x14ac:dyDescent="0.25">
      <c r="A27" t="s">
        <v>227</v>
      </c>
      <c r="D27" t="s">
        <v>1178</v>
      </c>
    </row>
    <row r="28" spans="1:4" x14ac:dyDescent="0.25">
      <c r="A28" t="s">
        <v>229</v>
      </c>
      <c r="D28" t="s">
        <v>1179</v>
      </c>
    </row>
    <row r="29" spans="1:4" x14ac:dyDescent="0.25">
      <c r="A29" t="s">
        <v>231</v>
      </c>
      <c r="D29" t="s">
        <v>1180</v>
      </c>
    </row>
    <row r="30" spans="1:4" x14ac:dyDescent="0.25">
      <c r="A30" t="s">
        <v>233</v>
      </c>
      <c r="D30" t="s">
        <v>1181</v>
      </c>
    </row>
    <row r="31" spans="1:4" x14ac:dyDescent="0.25">
      <c r="A31" t="s">
        <v>235</v>
      </c>
      <c r="D31" t="s">
        <v>1182</v>
      </c>
    </row>
    <row r="32" spans="1:4" x14ac:dyDescent="0.25">
      <c r="A32" t="s">
        <v>237</v>
      </c>
      <c r="D32" t="s">
        <v>1183</v>
      </c>
    </row>
    <row r="33" spans="1:4" x14ac:dyDescent="0.25">
      <c r="A33" t="s">
        <v>239</v>
      </c>
      <c r="D33" t="s">
        <v>1184</v>
      </c>
    </row>
    <row r="34" spans="1:4" x14ac:dyDescent="0.25">
      <c r="A34" t="s">
        <v>241</v>
      </c>
      <c r="D34" t="s">
        <v>1185</v>
      </c>
    </row>
    <row r="35" spans="1:4" x14ac:dyDescent="0.25">
      <c r="A35" t="s">
        <v>243</v>
      </c>
      <c r="D35" t="s">
        <v>1186</v>
      </c>
    </row>
    <row r="36" spans="1:4" x14ac:dyDescent="0.25">
      <c r="A36" t="s">
        <v>245</v>
      </c>
      <c r="D36" t="s">
        <v>1187</v>
      </c>
    </row>
    <row r="37" spans="1:4" x14ac:dyDescent="0.25">
      <c r="A37" t="s">
        <v>247</v>
      </c>
      <c r="D37" t="s">
        <v>1188</v>
      </c>
    </row>
    <row r="38" spans="1:4" x14ac:dyDescent="0.25">
      <c r="A38" t="s">
        <v>249</v>
      </c>
      <c r="D38" t="s">
        <v>1189</v>
      </c>
    </row>
    <row r="39" spans="1:4" x14ac:dyDescent="0.25">
      <c r="A39" t="s">
        <v>251</v>
      </c>
      <c r="D39" t="s">
        <v>1190</v>
      </c>
    </row>
    <row r="40" spans="1:4" x14ac:dyDescent="0.25">
      <c r="A40" t="s">
        <v>253</v>
      </c>
      <c r="D40" t="s">
        <v>1191</v>
      </c>
    </row>
    <row r="41" spans="1:4" x14ac:dyDescent="0.25">
      <c r="A41" t="s">
        <v>255</v>
      </c>
      <c r="D41" t="s">
        <v>1192</v>
      </c>
    </row>
    <row r="42" spans="1:4" x14ac:dyDescent="0.25">
      <c r="A42" t="s">
        <v>257</v>
      </c>
      <c r="D42" t="s">
        <v>1193</v>
      </c>
    </row>
    <row r="43" spans="1:4" x14ac:dyDescent="0.25">
      <c r="A43" t="s">
        <v>259</v>
      </c>
      <c r="D43" t="s">
        <v>1194</v>
      </c>
    </row>
    <row r="44" spans="1:4" x14ac:dyDescent="0.25">
      <c r="A44" t="s">
        <v>261</v>
      </c>
      <c r="D44" t="s">
        <v>1195</v>
      </c>
    </row>
    <row r="45" spans="1:4" x14ac:dyDescent="0.25">
      <c r="A45" t="s">
        <v>263</v>
      </c>
      <c r="D45" t="s">
        <v>1196</v>
      </c>
    </row>
    <row r="46" spans="1:4" x14ac:dyDescent="0.25">
      <c r="A46" t="s">
        <v>265</v>
      </c>
      <c r="D46" t="s">
        <v>1197</v>
      </c>
    </row>
    <row r="47" spans="1:4" x14ac:dyDescent="0.25">
      <c r="A47" t="s">
        <v>267</v>
      </c>
      <c r="D47" t="s">
        <v>1198</v>
      </c>
    </row>
    <row r="48" spans="1:4" x14ac:dyDescent="0.25">
      <c r="A48" t="s">
        <v>269</v>
      </c>
      <c r="D48" t="s">
        <v>1199</v>
      </c>
    </row>
    <row r="49" spans="1:4" x14ac:dyDescent="0.25">
      <c r="A49" t="s">
        <v>271</v>
      </c>
      <c r="D49" t="s">
        <v>1200</v>
      </c>
    </row>
    <row r="50" spans="1:4" x14ac:dyDescent="0.25">
      <c r="A50" t="s">
        <v>273</v>
      </c>
      <c r="D50" t="s">
        <v>1201</v>
      </c>
    </row>
    <row r="51" spans="1:4" x14ac:dyDescent="0.25">
      <c r="A51" t="s">
        <v>275</v>
      </c>
      <c r="D51" t="s">
        <v>1202</v>
      </c>
    </row>
    <row r="52" spans="1:4" x14ac:dyDescent="0.25">
      <c r="A52" t="s">
        <v>277</v>
      </c>
      <c r="D52" t="s">
        <v>1203</v>
      </c>
    </row>
    <row r="53" spans="1:4" x14ac:dyDescent="0.25">
      <c r="A53" t="s">
        <v>279</v>
      </c>
      <c r="D53" t="s">
        <v>1204</v>
      </c>
    </row>
    <row r="54" spans="1:4" x14ac:dyDescent="0.25">
      <c r="A54" t="s">
        <v>281</v>
      </c>
      <c r="D54" t="s">
        <v>1205</v>
      </c>
    </row>
    <row r="55" spans="1:4" x14ac:dyDescent="0.25">
      <c r="A55" t="s">
        <v>283</v>
      </c>
      <c r="D55" t="s">
        <v>1206</v>
      </c>
    </row>
    <row r="56" spans="1:4" x14ac:dyDescent="0.25">
      <c r="A56" t="s">
        <v>285</v>
      </c>
      <c r="D56" t="s">
        <v>1207</v>
      </c>
    </row>
    <row r="57" spans="1:4" x14ac:dyDescent="0.25">
      <c r="A57" t="s">
        <v>287</v>
      </c>
      <c r="D57" t="s">
        <v>1208</v>
      </c>
    </row>
    <row r="58" spans="1:4" x14ac:dyDescent="0.25">
      <c r="A58" t="s">
        <v>289</v>
      </c>
      <c r="D58" t="s">
        <v>1209</v>
      </c>
    </row>
    <row r="59" spans="1:4" x14ac:dyDescent="0.25">
      <c r="A59" t="s">
        <v>291</v>
      </c>
      <c r="D59" t="s">
        <v>1210</v>
      </c>
    </row>
    <row r="60" spans="1:4" x14ac:dyDescent="0.25">
      <c r="A60" t="s">
        <v>293</v>
      </c>
      <c r="D60" t="s">
        <v>1211</v>
      </c>
    </row>
    <row r="61" spans="1:4" x14ac:dyDescent="0.25">
      <c r="A61" t="s">
        <v>295</v>
      </c>
      <c r="D61" t="s">
        <v>1212</v>
      </c>
    </row>
    <row r="62" spans="1:4" x14ac:dyDescent="0.25">
      <c r="A62" t="s">
        <v>297</v>
      </c>
      <c r="D62" t="s">
        <v>1213</v>
      </c>
    </row>
    <row r="63" spans="1:4" x14ac:dyDescent="0.25">
      <c r="A63" t="s">
        <v>299</v>
      </c>
      <c r="D63" t="s">
        <v>1214</v>
      </c>
    </row>
    <row r="64" spans="1:4" x14ac:dyDescent="0.25">
      <c r="A64" t="s">
        <v>301</v>
      </c>
      <c r="D64" t="s">
        <v>1215</v>
      </c>
    </row>
    <row r="65" spans="1:4" x14ac:dyDescent="0.25">
      <c r="A65" t="s">
        <v>303</v>
      </c>
      <c r="D65" t="s">
        <v>1216</v>
      </c>
    </row>
    <row r="66" spans="1:4" x14ac:dyDescent="0.25">
      <c r="A66" t="s">
        <v>305</v>
      </c>
      <c r="D66" t="s">
        <v>1217</v>
      </c>
    </row>
    <row r="67" spans="1:4" x14ac:dyDescent="0.25">
      <c r="A67" t="s">
        <v>307</v>
      </c>
      <c r="D67" t="s">
        <v>1218</v>
      </c>
    </row>
    <row r="68" spans="1:4" x14ac:dyDescent="0.25">
      <c r="A68" t="s">
        <v>309</v>
      </c>
      <c r="D68" t="s">
        <v>1219</v>
      </c>
    </row>
    <row r="69" spans="1:4" x14ac:dyDescent="0.25">
      <c r="A69" t="s">
        <v>311</v>
      </c>
      <c r="D69" t="s">
        <v>1220</v>
      </c>
    </row>
    <row r="70" spans="1:4" x14ac:dyDescent="0.25">
      <c r="A70" t="s">
        <v>313</v>
      </c>
      <c r="D70" t="s">
        <v>1221</v>
      </c>
    </row>
    <row r="71" spans="1:4" x14ac:dyDescent="0.25">
      <c r="A71" t="s">
        <v>315</v>
      </c>
      <c r="D71" t="s">
        <v>1222</v>
      </c>
    </row>
    <row r="72" spans="1:4" x14ac:dyDescent="0.25">
      <c r="A72" t="s">
        <v>317</v>
      </c>
      <c r="D72" t="s">
        <v>1223</v>
      </c>
    </row>
    <row r="73" spans="1:4" x14ac:dyDescent="0.25">
      <c r="A73" t="s">
        <v>319</v>
      </c>
      <c r="D73" t="s">
        <v>1224</v>
      </c>
    </row>
    <row r="74" spans="1:4" x14ac:dyDescent="0.25">
      <c r="A74" t="s">
        <v>321</v>
      </c>
      <c r="D74" t="s">
        <v>1225</v>
      </c>
    </row>
    <row r="75" spans="1:4" x14ac:dyDescent="0.25">
      <c r="A75" t="s">
        <v>323</v>
      </c>
      <c r="D75" t="s">
        <v>1226</v>
      </c>
    </row>
    <row r="76" spans="1:4" x14ac:dyDescent="0.25">
      <c r="A76" t="s">
        <v>325</v>
      </c>
      <c r="D76" t="s">
        <v>1227</v>
      </c>
    </row>
    <row r="77" spans="1:4" x14ac:dyDescent="0.25">
      <c r="A77" t="s">
        <v>327</v>
      </c>
      <c r="D77" t="s">
        <v>1228</v>
      </c>
    </row>
    <row r="78" spans="1:4" x14ac:dyDescent="0.25">
      <c r="A78" t="s">
        <v>329</v>
      </c>
      <c r="D78" t="s">
        <v>1229</v>
      </c>
    </row>
    <row r="79" spans="1:4" x14ac:dyDescent="0.25">
      <c r="A79" t="s">
        <v>331</v>
      </c>
      <c r="D79" t="s">
        <v>1230</v>
      </c>
    </row>
    <row r="80" spans="1:4" x14ac:dyDescent="0.25">
      <c r="A80" t="s">
        <v>333</v>
      </c>
      <c r="D80" t="s">
        <v>1231</v>
      </c>
    </row>
    <row r="81" spans="1:4" x14ac:dyDescent="0.25">
      <c r="A81" t="s">
        <v>335</v>
      </c>
      <c r="D81" t="s">
        <v>1232</v>
      </c>
    </row>
    <row r="82" spans="1:4" x14ac:dyDescent="0.25">
      <c r="A82" t="s">
        <v>337</v>
      </c>
      <c r="D82" t="s">
        <v>1233</v>
      </c>
    </row>
    <row r="83" spans="1:4" x14ac:dyDescent="0.25">
      <c r="A83" t="s">
        <v>339</v>
      </c>
      <c r="D83" t="s">
        <v>1234</v>
      </c>
    </row>
    <row r="84" spans="1:4" x14ac:dyDescent="0.25">
      <c r="A84" t="s">
        <v>341</v>
      </c>
      <c r="D84" t="s">
        <v>1235</v>
      </c>
    </row>
    <row r="85" spans="1:4" x14ac:dyDescent="0.25">
      <c r="A85" t="s">
        <v>343</v>
      </c>
      <c r="D85" t="s">
        <v>1236</v>
      </c>
    </row>
    <row r="86" spans="1:4" x14ac:dyDescent="0.25">
      <c r="A86" t="s">
        <v>345</v>
      </c>
      <c r="D86" t="s">
        <v>1237</v>
      </c>
    </row>
    <row r="87" spans="1:4" x14ac:dyDescent="0.25">
      <c r="A87" t="s">
        <v>347</v>
      </c>
      <c r="D87" t="s">
        <v>1238</v>
      </c>
    </row>
    <row r="88" spans="1:4" x14ac:dyDescent="0.25">
      <c r="A88" t="s">
        <v>349</v>
      </c>
      <c r="D88" t="s">
        <v>1239</v>
      </c>
    </row>
    <row r="89" spans="1:4" x14ac:dyDescent="0.25">
      <c r="A89" t="s">
        <v>351</v>
      </c>
      <c r="D89" t="s">
        <v>1240</v>
      </c>
    </row>
    <row r="90" spans="1:4" x14ac:dyDescent="0.25">
      <c r="A90" t="s">
        <v>353</v>
      </c>
      <c r="D90" t="s">
        <v>1241</v>
      </c>
    </row>
    <row r="91" spans="1:4" x14ac:dyDescent="0.25">
      <c r="A91" t="s">
        <v>355</v>
      </c>
      <c r="D91" t="s">
        <v>1242</v>
      </c>
    </row>
    <row r="92" spans="1:4" x14ac:dyDescent="0.25">
      <c r="A92" t="s">
        <v>357</v>
      </c>
      <c r="D92" t="s">
        <v>1243</v>
      </c>
    </row>
    <row r="93" spans="1:4" x14ac:dyDescent="0.25">
      <c r="A93" t="s">
        <v>359</v>
      </c>
      <c r="D93" t="s">
        <v>1244</v>
      </c>
    </row>
    <row r="94" spans="1:4" x14ac:dyDescent="0.25">
      <c r="A94" t="s">
        <v>361</v>
      </c>
      <c r="D94" t="s">
        <v>1245</v>
      </c>
    </row>
    <row r="95" spans="1:4" x14ac:dyDescent="0.25">
      <c r="A95" t="s">
        <v>363</v>
      </c>
      <c r="D95" t="s">
        <v>1246</v>
      </c>
    </row>
    <row r="96" spans="1:4" x14ac:dyDescent="0.25">
      <c r="A96" t="s">
        <v>365</v>
      </c>
      <c r="D96" t="s">
        <v>1247</v>
      </c>
    </row>
    <row r="97" spans="1:4" x14ac:dyDescent="0.25">
      <c r="A97" t="s">
        <v>367</v>
      </c>
      <c r="D97" t="s">
        <v>1248</v>
      </c>
    </row>
    <row r="98" spans="1:4" x14ac:dyDescent="0.25">
      <c r="A98" t="s">
        <v>369</v>
      </c>
      <c r="D98" t="s">
        <v>1249</v>
      </c>
    </row>
    <row r="99" spans="1:4" x14ac:dyDescent="0.25">
      <c r="A99" t="s">
        <v>371</v>
      </c>
      <c r="D99" t="s">
        <v>1250</v>
      </c>
    </row>
    <row r="100" spans="1:4" x14ac:dyDescent="0.25">
      <c r="A100" t="s">
        <v>373</v>
      </c>
      <c r="D100" t="s">
        <v>1251</v>
      </c>
    </row>
    <row r="101" spans="1:4" x14ac:dyDescent="0.25">
      <c r="A101" t="s">
        <v>375</v>
      </c>
      <c r="D101" t="s">
        <v>1252</v>
      </c>
    </row>
    <row r="102" spans="1:4" x14ac:dyDescent="0.25">
      <c r="A102" t="s">
        <v>377</v>
      </c>
      <c r="D102" t="s">
        <v>1253</v>
      </c>
    </row>
    <row r="103" spans="1:4" x14ac:dyDescent="0.25">
      <c r="A103" t="s">
        <v>379</v>
      </c>
      <c r="D103" t="s">
        <v>1254</v>
      </c>
    </row>
    <row r="104" spans="1:4" x14ac:dyDescent="0.25">
      <c r="A104" t="s">
        <v>381</v>
      </c>
      <c r="D104" t="s">
        <v>1255</v>
      </c>
    </row>
    <row r="105" spans="1:4" x14ac:dyDescent="0.25">
      <c r="A105" t="s">
        <v>383</v>
      </c>
      <c r="D105" t="s">
        <v>1256</v>
      </c>
    </row>
    <row r="106" spans="1:4" x14ac:dyDescent="0.25">
      <c r="A106" t="s">
        <v>385</v>
      </c>
      <c r="D106" t="s">
        <v>1257</v>
      </c>
    </row>
    <row r="107" spans="1:4" x14ac:dyDescent="0.25">
      <c r="A107" t="s">
        <v>387</v>
      </c>
      <c r="D107" t="s">
        <v>1258</v>
      </c>
    </row>
    <row r="108" spans="1:4" x14ac:dyDescent="0.25">
      <c r="A108" t="s">
        <v>389</v>
      </c>
      <c r="D108" t="s">
        <v>1259</v>
      </c>
    </row>
    <row r="109" spans="1:4" x14ac:dyDescent="0.25">
      <c r="A109" t="s">
        <v>391</v>
      </c>
      <c r="D109" t="s">
        <v>1260</v>
      </c>
    </row>
    <row r="110" spans="1:4" x14ac:dyDescent="0.25">
      <c r="A110" t="s">
        <v>393</v>
      </c>
      <c r="D110" t="s">
        <v>1261</v>
      </c>
    </row>
    <row r="111" spans="1:4" x14ac:dyDescent="0.25">
      <c r="A111" t="s">
        <v>395</v>
      </c>
      <c r="D111" t="s">
        <v>1262</v>
      </c>
    </row>
    <row r="112" spans="1:4" x14ac:dyDescent="0.25">
      <c r="A112" t="s">
        <v>397</v>
      </c>
      <c r="D112" t="s">
        <v>1263</v>
      </c>
    </row>
    <row r="113" spans="1:4" x14ac:dyDescent="0.25">
      <c r="A113" t="s">
        <v>399</v>
      </c>
      <c r="D113" t="s">
        <v>1264</v>
      </c>
    </row>
    <row r="114" spans="1:4" x14ac:dyDescent="0.25">
      <c r="A114" t="s">
        <v>401</v>
      </c>
      <c r="D114" t="s">
        <v>1265</v>
      </c>
    </row>
    <row r="115" spans="1:4" x14ac:dyDescent="0.25">
      <c r="A115" t="s">
        <v>403</v>
      </c>
      <c r="D115" t="s">
        <v>1266</v>
      </c>
    </row>
    <row r="116" spans="1:4" x14ac:dyDescent="0.25">
      <c r="A116" t="s">
        <v>405</v>
      </c>
      <c r="D116" t="s">
        <v>1267</v>
      </c>
    </row>
    <row r="117" spans="1:4" x14ac:dyDescent="0.25">
      <c r="A117" t="s">
        <v>407</v>
      </c>
      <c r="D117" t="s">
        <v>1268</v>
      </c>
    </row>
    <row r="118" spans="1:4" x14ac:dyDescent="0.25">
      <c r="A118" t="s">
        <v>409</v>
      </c>
      <c r="D118" t="s">
        <v>1269</v>
      </c>
    </row>
    <row r="119" spans="1:4" x14ac:dyDescent="0.25">
      <c r="A119" t="s">
        <v>411</v>
      </c>
      <c r="D119" t="s">
        <v>1270</v>
      </c>
    </row>
    <row r="120" spans="1:4" x14ac:dyDescent="0.25">
      <c r="A120" t="s">
        <v>413</v>
      </c>
      <c r="D120" t="s">
        <v>1271</v>
      </c>
    </row>
    <row r="121" spans="1:4" x14ac:dyDescent="0.25">
      <c r="A121" t="s">
        <v>415</v>
      </c>
      <c r="D121" t="s">
        <v>1272</v>
      </c>
    </row>
    <row r="122" spans="1:4" x14ac:dyDescent="0.25">
      <c r="A122" t="s">
        <v>417</v>
      </c>
      <c r="D122" t="s">
        <v>1273</v>
      </c>
    </row>
    <row r="123" spans="1:4" x14ac:dyDescent="0.25">
      <c r="A123" t="s">
        <v>419</v>
      </c>
      <c r="D123" t="s">
        <v>1274</v>
      </c>
    </row>
    <row r="124" spans="1:4" x14ac:dyDescent="0.25">
      <c r="A124" t="s">
        <v>421</v>
      </c>
      <c r="D124" t="s">
        <v>1275</v>
      </c>
    </row>
    <row r="125" spans="1:4" x14ac:dyDescent="0.25">
      <c r="A125" t="s">
        <v>423</v>
      </c>
      <c r="D125" t="s">
        <v>1276</v>
      </c>
    </row>
    <row r="126" spans="1:4" x14ac:dyDescent="0.25">
      <c r="A126" t="s">
        <v>425</v>
      </c>
      <c r="D126" t="s">
        <v>1277</v>
      </c>
    </row>
    <row r="127" spans="1:4" x14ac:dyDescent="0.25">
      <c r="A127" t="s">
        <v>427</v>
      </c>
      <c r="D127" t="s">
        <v>1278</v>
      </c>
    </row>
    <row r="128" spans="1:4" x14ac:dyDescent="0.25">
      <c r="A128" t="s">
        <v>429</v>
      </c>
      <c r="D128" t="s">
        <v>1279</v>
      </c>
    </row>
    <row r="129" spans="1:4" x14ac:dyDescent="0.25">
      <c r="A129" t="s">
        <v>431</v>
      </c>
      <c r="D129" t="s">
        <v>1280</v>
      </c>
    </row>
    <row r="130" spans="1:4" x14ac:dyDescent="0.25">
      <c r="A130" t="s">
        <v>433</v>
      </c>
      <c r="D130" t="s">
        <v>1281</v>
      </c>
    </row>
    <row r="131" spans="1:4" x14ac:dyDescent="0.25">
      <c r="A131" t="s">
        <v>435</v>
      </c>
      <c r="D131" t="s">
        <v>1282</v>
      </c>
    </row>
    <row r="132" spans="1:4" x14ac:dyDescent="0.25">
      <c r="A132" t="s">
        <v>437</v>
      </c>
      <c r="D132" t="s">
        <v>1283</v>
      </c>
    </row>
    <row r="133" spans="1:4" x14ac:dyDescent="0.25">
      <c r="A133" t="s">
        <v>439</v>
      </c>
      <c r="D133" t="s">
        <v>1284</v>
      </c>
    </row>
    <row r="134" spans="1:4" x14ac:dyDescent="0.25">
      <c r="A134" t="s">
        <v>441</v>
      </c>
      <c r="D134" t="s">
        <v>1285</v>
      </c>
    </row>
    <row r="135" spans="1:4" x14ac:dyDescent="0.25">
      <c r="A135" t="s">
        <v>443</v>
      </c>
      <c r="D135" t="s">
        <v>1286</v>
      </c>
    </row>
    <row r="136" spans="1:4" x14ac:dyDescent="0.25">
      <c r="A136" t="s">
        <v>445</v>
      </c>
      <c r="D136" t="s">
        <v>1287</v>
      </c>
    </row>
    <row r="137" spans="1:4" x14ac:dyDescent="0.25">
      <c r="A137" t="s">
        <v>447</v>
      </c>
      <c r="D137" t="s">
        <v>1288</v>
      </c>
    </row>
    <row r="138" spans="1:4" x14ac:dyDescent="0.25">
      <c r="A138" t="s">
        <v>449</v>
      </c>
      <c r="D138" t="s">
        <v>1289</v>
      </c>
    </row>
    <row r="139" spans="1:4" x14ac:dyDescent="0.25">
      <c r="A139" t="s">
        <v>451</v>
      </c>
      <c r="D139" t="s">
        <v>1290</v>
      </c>
    </row>
    <row r="140" spans="1:4" x14ac:dyDescent="0.25">
      <c r="A140" t="s">
        <v>453</v>
      </c>
      <c r="D140" t="s">
        <v>1291</v>
      </c>
    </row>
    <row r="141" spans="1:4" x14ac:dyDescent="0.25">
      <c r="A141" t="s">
        <v>455</v>
      </c>
      <c r="D141" t="s">
        <v>1292</v>
      </c>
    </row>
    <row r="142" spans="1:4" x14ac:dyDescent="0.25">
      <c r="A142" t="s">
        <v>457</v>
      </c>
      <c r="D142" t="s">
        <v>1293</v>
      </c>
    </row>
    <row r="143" spans="1:4" x14ac:dyDescent="0.25">
      <c r="A143" t="s">
        <v>459</v>
      </c>
      <c r="D143" t="s">
        <v>1294</v>
      </c>
    </row>
    <row r="144" spans="1:4" x14ac:dyDescent="0.25">
      <c r="A144" t="s">
        <v>461</v>
      </c>
      <c r="D144" t="s">
        <v>1295</v>
      </c>
    </row>
    <row r="145" spans="1:4" x14ac:dyDescent="0.25">
      <c r="A145" t="s">
        <v>463</v>
      </c>
      <c r="D145" t="s">
        <v>1296</v>
      </c>
    </row>
    <row r="146" spans="1:4" x14ac:dyDescent="0.25">
      <c r="A146" t="s">
        <v>465</v>
      </c>
      <c r="D146" t="s">
        <v>1297</v>
      </c>
    </row>
    <row r="147" spans="1:4" x14ac:dyDescent="0.25">
      <c r="A147" t="s">
        <v>467</v>
      </c>
      <c r="D147" t="s">
        <v>1298</v>
      </c>
    </row>
    <row r="148" spans="1:4" x14ac:dyDescent="0.25">
      <c r="A148" t="s">
        <v>469</v>
      </c>
      <c r="D148" t="s">
        <v>1299</v>
      </c>
    </row>
    <row r="149" spans="1:4" x14ac:dyDescent="0.25">
      <c r="A149" t="s">
        <v>471</v>
      </c>
      <c r="D149" t="s">
        <v>1300</v>
      </c>
    </row>
    <row r="150" spans="1:4" x14ac:dyDescent="0.25">
      <c r="A150" t="s">
        <v>473</v>
      </c>
      <c r="D150" t="s">
        <v>1301</v>
      </c>
    </row>
    <row r="151" spans="1:4" x14ac:dyDescent="0.25">
      <c r="A151" t="s">
        <v>475</v>
      </c>
      <c r="D151" t="s">
        <v>1302</v>
      </c>
    </row>
    <row r="152" spans="1:4" x14ac:dyDescent="0.25">
      <c r="A152" t="s">
        <v>477</v>
      </c>
      <c r="D152" t="s">
        <v>1303</v>
      </c>
    </row>
    <row r="153" spans="1:4" x14ac:dyDescent="0.25">
      <c r="A153" t="s">
        <v>479</v>
      </c>
      <c r="D153" t="s">
        <v>1304</v>
      </c>
    </row>
    <row r="154" spans="1:4" x14ac:dyDescent="0.25">
      <c r="A154" t="s">
        <v>481</v>
      </c>
      <c r="D154" t="s">
        <v>1305</v>
      </c>
    </row>
    <row r="155" spans="1:4" x14ac:dyDescent="0.25">
      <c r="A155" t="s">
        <v>483</v>
      </c>
      <c r="D155" t="s">
        <v>1306</v>
      </c>
    </row>
    <row r="156" spans="1:4" x14ac:dyDescent="0.25">
      <c r="A156" t="s">
        <v>485</v>
      </c>
      <c r="D156" t="s">
        <v>1307</v>
      </c>
    </row>
    <row r="157" spans="1:4" x14ac:dyDescent="0.25">
      <c r="A157" t="s">
        <v>487</v>
      </c>
      <c r="D157" t="s">
        <v>1308</v>
      </c>
    </row>
    <row r="158" spans="1:4" x14ac:dyDescent="0.25">
      <c r="A158" t="s">
        <v>489</v>
      </c>
      <c r="D158" t="s">
        <v>1309</v>
      </c>
    </row>
    <row r="159" spans="1:4" x14ac:dyDescent="0.25">
      <c r="A159" t="s">
        <v>491</v>
      </c>
      <c r="D159" t="s">
        <v>1310</v>
      </c>
    </row>
    <row r="160" spans="1:4" x14ac:dyDescent="0.25">
      <c r="A160" t="s">
        <v>493</v>
      </c>
      <c r="D160" t="s">
        <v>1311</v>
      </c>
    </row>
    <row r="161" spans="1:4" x14ac:dyDescent="0.25">
      <c r="A161" t="s">
        <v>495</v>
      </c>
      <c r="D161" t="s">
        <v>1312</v>
      </c>
    </row>
    <row r="162" spans="1:4" x14ac:dyDescent="0.25">
      <c r="A162" t="s">
        <v>497</v>
      </c>
      <c r="D162" t="s">
        <v>1313</v>
      </c>
    </row>
    <row r="163" spans="1:4" x14ac:dyDescent="0.25">
      <c r="A163" t="s">
        <v>499</v>
      </c>
      <c r="D163" t="s">
        <v>1314</v>
      </c>
    </row>
    <row r="164" spans="1:4" x14ac:dyDescent="0.25">
      <c r="A164" t="s">
        <v>501</v>
      </c>
      <c r="D164" t="s">
        <v>1315</v>
      </c>
    </row>
    <row r="165" spans="1:4" x14ac:dyDescent="0.25">
      <c r="A165" t="s">
        <v>503</v>
      </c>
      <c r="D165" t="s">
        <v>1316</v>
      </c>
    </row>
    <row r="166" spans="1:4" x14ac:dyDescent="0.25">
      <c r="A166" t="s">
        <v>505</v>
      </c>
      <c r="D166" t="s">
        <v>1317</v>
      </c>
    </row>
    <row r="167" spans="1:4" x14ac:dyDescent="0.25">
      <c r="A167" t="s">
        <v>507</v>
      </c>
      <c r="D167" t="s">
        <v>1318</v>
      </c>
    </row>
    <row r="168" spans="1:4" x14ac:dyDescent="0.25">
      <c r="A168" t="s">
        <v>509</v>
      </c>
      <c r="D168" t="s">
        <v>1319</v>
      </c>
    </row>
    <row r="169" spans="1:4" x14ac:dyDescent="0.25">
      <c r="A169" t="s">
        <v>511</v>
      </c>
      <c r="D169" t="s">
        <v>1320</v>
      </c>
    </row>
    <row r="170" spans="1:4" x14ac:dyDescent="0.25">
      <c r="A170" t="s">
        <v>513</v>
      </c>
      <c r="D170" t="s">
        <v>1321</v>
      </c>
    </row>
    <row r="171" spans="1:4" x14ac:dyDescent="0.25">
      <c r="A171" t="s">
        <v>515</v>
      </c>
      <c r="D171" t="s">
        <v>1322</v>
      </c>
    </row>
    <row r="172" spans="1:4" x14ac:dyDescent="0.25">
      <c r="A172" t="s">
        <v>517</v>
      </c>
      <c r="D172" t="s">
        <v>1323</v>
      </c>
    </row>
    <row r="173" spans="1:4" x14ac:dyDescent="0.25">
      <c r="A173" t="s">
        <v>519</v>
      </c>
      <c r="D173" t="s">
        <v>1324</v>
      </c>
    </row>
    <row r="174" spans="1:4" x14ac:dyDescent="0.25">
      <c r="A174" t="s">
        <v>521</v>
      </c>
      <c r="D174" t="s">
        <v>1325</v>
      </c>
    </row>
    <row r="175" spans="1:4" x14ac:dyDescent="0.25">
      <c r="A175" t="s">
        <v>523</v>
      </c>
      <c r="D175" t="s">
        <v>1326</v>
      </c>
    </row>
    <row r="176" spans="1:4" x14ac:dyDescent="0.25">
      <c r="A176" t="s">
        <v>525</v>
      </c>
      <c r="D176" t="s">
        <v>1327</v>
      </c>
    </row>
    <row r="177" spans="1:4" x14ac:dyDescent="0.25">
      <c r="A177" t="s">
        <v>527</v>
      </c>
      <c r="D177" t="s">
        <v>1328</v>
      </c>
    </row>
    <row r="178" spans="1:4" x14ac:dyDescent="0.25">
      <c r="A178" t="s">
        <v>529</v>
      </c>
      <c r="D178" t="s">
        <v>1329</v>
      </c>
    </row>
    <row r="179" spans="1:4" x14ac:dyDescent="0.25">
      <c r="A179" t="s">
        <v>531</v>
      </c>
      <c r="D179" t="s">
        <v>1330</v>
      </c>
    </row>
    <row r="180" spans="1:4" x14ac:dyDescent="0.25">
      <c r="A180" t="s">
        <v>533</v>
      </c>
      <c r="D180" t="s">
        <v>1331</v>
      </c>
    </row>
    <row r="181" spans="1:4" x14ac:dyDescent="0.25">
      <c r="A181" t="s">
        <v>535</v>
      </c>
      <c r="D181" t="s">
        <v>1332</v>
      </c>
    </row>
    <row r="182" spans="1:4" x14ac:dyDescent="0.25">
      <c r="A182" t="s">
        <v>537</v>
      </c>
      <c r="D182" t="s">
        <v>1333</v>
      </c>
    </row>
    <row r="183" spans="1:4" x14ac:dyDescent="0.25">
      <c r="A183" t="s">
        <v>539</v>
      </c>
      <c r="D183" t="s">
        <v>1334</v>
      </c>
    </row>
    <row r="184" spans="1:4" x14ac:dyDescent="0.25">
      <c r="A184" t="s">
        <v>541</v>
      </c>
      <c r="D184" t="s">
        <v>1335</v>
      </c>
    </row>
    <row r="185" spans="1:4" x14ac:dyDescent="0.25">
      <c r="A185" t="s">
        <v>543</v>
      </c>
      <c r="D185" t="s">
        <v>1336</v>
      </c>
    </row>
    <row r="186" spans="1:4" x14ac:dyDescent="0.25">
      <c r="A186" t="s">
        <v>545</v>
      </c>
      <c r="D186" t="s">
        <v>1337</v>
      </c>
    </row>
    <row r="187" spans="1:4" x14ac:dyDescent="0.25">
      <c r="A187" t="s">
        <v>547</v>
      </c>
      <c r="D187" t="s">
        <v>1338</v>
      </c>
    </row>
    <row r="188" spans="1:4" x14ac:dyDescent="0.25">
      <c r="A188" t="s">
        <v>549</v>
      </c>
      <c r="D188" t="s">
        <v>1339</v>
      </c>
    </row>
    <row r="189" spans="1:4" x14ac:dyDescent="0.25">
      <c r="A189" t="s">
        <v>551</v>
      </c>
      <c r="D189" t="s">
        <v>1340</v>
      </c>
    </row>
    <row r="190" spans="1:4" x14ac:dyDescent="0.25">
      <c r="A190" t="s">
        <v>553</v>
      </c>
      <c r="D190" t="s">
        <v>1341</v>
      </c>
    </row>
    <row r="191" spans="1:4" x14ac:dyDescent="0.25">
      <c r="A191" t="s">
        <v>555</v>
      </c>
      <c r="D191" t="s">
        <v>1342</v>
      </c>
    </row>
    <row r="192" spans="1:4" x14ac:dyDescent="0.25">
      <c r="A192" t="s">
        <v>557</v>
      </c>
      <c r="D192" t="s">
        <v>1343</v>
      </c>
    </row>
    <row r="193" spans="1:4" x14ac:dyDescent="0.25">
      <c r="A193" t="s">
        <v>559</v>
      </c>
      <c r="D193" t="s">
        <v>1344</v>
      </c>
    </row>
    <row r="194" spans="1:4" x14ac:dyDescent="0.25">
      <c r="A194" t="s">
        <v>561</v>
      </c>
      <c r="D194" t="s">
        <v>1345</v>
      </c>
    </row>
    <row r="195" spans="1:4" x14ac:dyDescent="0.25">
      <c r="A195" t="s">
        <v>563</v>
      </c>
      <c r="D195" t="s">
        <v>1346</v>
      </c>
    </row>
    <row r="196" spans="1:4" x14ac:dyDescent="0.25">
      <c r="A196" t="s">
        <v>565</v>
      </c>
      <c r="D196" t="s">
        <v>1347</v>
      </c>
    </row>
    <row r="197" spans="1:4" x14ac:dyDescent="0.25">
      <c r="A197" t="s">
        <v>567</v>
      </c>
      <c r="D197" t="s">
        <v>1348</v>
      </c>
    </row>
    <row r="198" spans="1:4" x14ac:dyDescent="0.25">
      <c r="A198" t="s">
        <v>569</v>
      </c>
      <c r="D198" t="s">
        <v>1349</v>
      </c>
    </row>
    <row r="199" spans="1:4" x14ac:dyDescent="0.25">
      <c r="A199" t="s">
        <v>571</v>
      </c>
      <c r="D199" t="s">
        <v>1350</v>
      </c>
    </row>
    <row r="200" spans="1:4" x14ac:dyDescent="0.25">
      <c r="A200" t="s">
        <v>573</v>
      </c>
      <c r="D200" t="s">
        <v>1351</v>
      </c>
    </row>
    <row r="201" spans="1:4" x14ac:dyDescent="0.25">
      <c r="A201" t="s">
        <v>575</v>
      </c>
      <c r="D201" t="s">
        <v>1352</v>
      </c>
    </row>
    <row r="202" spans="1:4" x14ac:dyDescent="0.25">
      <c r="A202" t="s">
        <v>577</v>
      </c>
      <c r="D202" t="s">
        <v>1353</v>
      </c>
    </row>
    <row r="203" spans="1:4" x14ac:dyDescent="0.25">
      <c r="A203" t="s">
        <v>579</v>
      </c>
      <c r="D203" t="s">
        <v>1354</v>
      </c>
    </row>
    <row r="204" spans="1:4" x14ac:dyDescent="0.25">
      <c r="A204" t="s">
        <v>581</v>
      </c>
      <c r="D204" t="s">
        <v>1355</v>
      </c>
    </row>
    <row r="205" spans="1:4" x14ac:dyDescent="0.25">
      <c r="A205" t="s">
        <v>583</v>
      </c>
      <c r="D205" t="s">
        <v>1356</v>
      </c>
    </row>
    <row r="206" spans="1:4" x14ac:dyDescent="0.25">
      <c r="A206" t="s">
        <v>585</v>
      </c>
      <c r="D206" t="s">
        <v>1357</v>
      </c>
    </row>
    <row r="207" spans="1:4" x14ac:dyDescent="0.25">
      <c r="A207" t="s">
        <v>587</v>
      </c>
      <c r="D207" t="s">
        <v>1358</v>
      </c>
    </row>
    <row r="208" spans="1:4" x14ac:dyDescent="0.25">
      <c r="A208" t="s">
        <v>589</v>
      </c>
      <c r="D208" t="s">
        <v>1359</v>
      </c>
    </row>
    <row r="209" spans="1:4" x14ac:dyDescent="0.25">
      <c r="A209" t="s">
        <v>591</v>
      </c>
      <c r="D209" t="s">
        <v>1360</v>
      </c>
    </row>
    <row r="210" spans="1:4" x14ac:dyDescent="0.25">
      <c r="A210" t="s">
        <v>593</v>
      </c>
      <c r="D210" t="s">
        <v>1361</v>
      </c>
    </row>
    <row r="211" spans="1:4" x14ac:dyDescent="0.25">
      <c r="A211" t="s">
        <v>595</v>
      </c>
      <c r="D211" t="s">
        <v>1362</v>
      </c>
    </row>
    <row r="212" spans="1:4" x14ac:dyDescent="0.25">
      <c r="A212" t="s">
        <v>597</v>
      </c>
      <c r="D212" t="s">
        <v>1363</v>
      </c>
    </row>
    <row r="213" spans="1:4" x14ac:dyDescent="0.25">
      <c r="A213" t="s">
        <v>599</v>
      </c>
      <c r="D213" t="s">
        <v>1364</v>
      </c>
    </row>
    <row r="214" spans="1:4" x14ac:dyDescent="0.25">
      <c r="A214" t="s">
        <v>601</v>
      </c>
      <c r="D214" t="s">
        <v>1365</v>
      </c>
    </row>
    <row r="215" spans="1:4" x14ac:dyDescent="0.25">
      <c r="A215" t="s">
        <v>603</v>
      </c>
      <c r="D215" t="s">
        <v>1366</v>
      </c>
    </row>
    <row r="216" spans="1:4" x14ac:dyDescent="0.25">
      <c r="A216" t="s">
        <v>605</v>
      </c>
      <c r="D216" t="s">
        <v>1367</v>
      </c>
    </row>
    <row r="217" spans="1:4" x14ac:dyDescent="0.25">
      <c r="A217" t="s">
        <v>607</v>
      </c>
      <c r="D217" t="s">
        <v>1368</v>
      </c>
    </row>
    <row r="218" spans="1:4" x14ac:dyDescent="0.25">
      <c r="A218" t="s">
        <v>609</v>
      </c>
      <c r="D218" t="s">
        <v>1369</v>
      </c>
    </row>
    <row r="219" spans="1:4" x14ac:dyDescent="0.25">
      <c r="A219" t="s">
        <v>611</v>
      </c>
      <c r="D219" t="s">
        <v>1370</v>
      </c>
    </row>
    <row r="220" spans="1:4" x14ac:dyDescent="0.25">
      <c r="A220" t="s">
        <v>613</v>
      </c>
      <c r="D220" t="s">
        <v>1371</v>
      </c>
    </row>
    <row r="221" spans="1:4" x14ac:dyDescent="0.25">
      <c r="A221" t="s">
        <v>615</v>
      </c>
      <c r="D221" t="s">
        <v>1372</v>
      </c>
    </row>
    <row r="222" spans="1:4" x14ac:dyDescent="0.25">
      <c r="A222" t="s">
        <v>617</v>
      </c>
      <c r="D222" t="s">
        <v>1373</v>
      </c>
    </row>
    <row r="223" spans="1:4" x14ac:dyDescent="0.25">
      <c r="A223" t="s">
        <v>619</v>
      </c>
      <c r="D223" t="s">
        <v>1374</v>
      </c>
    </row>
    <row r="224" spans="1:4" x14ac:dyDescent="0.25">
      <c r="A224" t="s">
        <v>621</v>
      </c>
      <c r="D224" t="s">
        <v>1375</v>
      </c>
    </row>
    <row r="225" spans="1:4" x14ac:dyDescent="0.25">
      <c r="A225" t="s">
        <v>623</v>
      </c>
      <c r="D225" t="s">
        <v>1376</v>
      </c>
    </row>
    <row r="226" spans="1:4" x14ac:dyDescent="0.25">
      <c r="A226" t="s">
        <v>625</v>
      </c>
      <c r="D226" t="s">
        <v>1377</v>
      </c>
    </row>
    <row r="227" spans="1:4" x14ac:dyDescent="0.25">
      <c r="A227" t="s">
        <v>627</v>
      </c>
      <c r="D227" t="s">
        <v>1378</v>
      </c>
    </row>
    <row r="228" spans="1:4" x14ac:dyDescent="0.25">
      <c r="A228" t="s">
        <v>629</v>
      </c>
      <c r="D228" t="s">
        <v>1379</v>
      </c>
    </row>
    <row r="229" spans="1:4" x14ac:dyDescent="0.25">
      <c r="A229" t="s">
        <v>631</v>
      </c>
      <c r="D229" t="s">
        <v>1380</v>
      </c>
    </row>
    <row r="230" spans="1:4" x14ac:dyDescent="0.25">
      <c r="A230" t="s">
        <v>633</v>
      </c>
      <c r="D230" t="s">
        <v>1381</v>
      </c>
    </row>
    <row r="231" spans="1:4" x14ac:dyDescent="0.25">
      <c r="A231" t="s">
        <v>635</v>
      </c>
      <c r="D231" t="s">
        <v>1382</v>
      </c>
    </row>
    <row r="232" spans="1:4" x14ac:dyDescent="0.25">
      <c r="A232" t="s">
        <v>637</v>
      </c>
      <c r="D232" t="s">
        <v>1383</v>
      </c>
    </row>
    <row r="233" spans="1:4" x14ac:dyDescent="0.25">
      <c r="A233" t="s">
        <v>639</v>
      </c>
    </row>
    <row r="234" spans="1:4" x14ac:dyDescent="0.25">
      <c r="A234" t="s">
        <v>641</v>
      </c>
    </row>
    <row r="235" spans="1:4" x14ac:dyDescent="0.25">
      <c r="A235" t="s">
        <v>643</v>
      </c>
    </row>
    <row r="236" spans="1:4" x14ac:dyDescent="0.25">
      <c r="A236" t="s">
        <v>645</v>
      </c>
    </row>
    <row r="237" spans="1:4" x14ac:dyDescent="0.25">
      <c r="A237" t="s">
        <v>647</v>
      </c>
    </row>
    <row r="238" spans="1:4" x14ac:dyDescent="0.25">
      <c r="A238" t="s">
        <v>649</v>
      </c>
    </row>
    <row r="239" spans="1:4" x14ac:dyDescent="0.25">
      <c r="A239" t="s">
        <v>651</v>
      </c>
    </row>
    <row r="240" spans="1:4" x14ac:dyDescent="0.25">
      <c r="A240" t="s">
        <v>653</v>
      </c>
    </row>
    <row r="241" spans="1:1" x14ac:dyDescent="0.25">
      <c r="A241" t="s">
        <v>655</v>
      </c>
    </row>
    <row r="242" spans="1:1" x14ac:dyDescent="0.25">
      <c r="A242" t="s">
        <v>657</v>
      </c>
    </row>
    <row r="243" spans="1:1" x14ac:dyDescent="0.25">
      <c r="A243" t="s">
        <v>659</v>
      </c>
    </row>
    <row r="244" spans="1:1" x14ac:dyDescent="0.25">
      <c r="A244" t="s">
        <v>661</v>
      </c>
    </row>
    <row r="245" spans="1:1" x14ac:dyDescent="0.25">
      <c r="A245" t="s">
        <v>663</v>
      </c>
    </row>
    <row r="246" spans="1:1" x14ac:dyDescent="0.25">
      <c r="A246" t="s">
        <v>665</v>
      </c>
    </row>
    <row r="247" spans="1:1" x14ac:dyDescent="0.25">
      <c r="A247" t="s">
        <v>667</v>
      </c>
    </row>
    <row r="248" spans="1:1" x14ac:dyDescent="0.25">
      <c r="A248" t="s">
        <v>669</v>
      </c>
    </row>
    <row r="249" spans="1:1" x14ac:dyDescent="0.25">
      <c r="A249" t="s">
        <v>671</v>
      </c>
    </row>
    <row r="250" spans="1:1" x14ac:dyDescent="0.25">
      <c r="A250" t="s">
        <v>673</v>
      </c>
    </row>
    <row r="251" spans="1:1" x14ac:dyDescent="0.25">
      <c r="A251" t="s">
        <v>675</v>
      </c>
    </row>
    <row r="252" spans="1:1" x14ac:dyDescent="0.25">
      <c r="A252" t="s">
        <v>677</v>
      </c>
    </row>
    <row r="253" spans="1:1" x14ac:dyDescent="0.25">
      <c r="A253" t="s">
        <v>679</v>
      </c>
    </row>
    <row r="254" spans="1:1" x14ac:dyDescent="0.25">
      <c r="A254" t="s">
        <v>681</v>
      </c>
    </row>
    <row r="255" spans="1:1" x14ac:dyDescent="0.25">
      <c r="A255" t="s">
        <v>683</v>
      </c>
    </row>
    <row r="256" spans="1:1" x14ac:dyDescent="0.25">
      <c r="A256" t="s">
        <v>685</v>
      </c>
    </row>
    <row r="257" spans="1:1" x14ac:dyDescent="0.25">
      <c r="A257" t="s">
        <v>687</v>
      </c>
    </row>
    <row r="258" spans="1:1" x14ac:dyDescent="0.25">
      <c r="A258" t="s">
        <v>689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I25"/>
  <sheetViews>
    <sheetView showGridLines="0" showRowColHeaders="0" topLeftCell="A10" workbookViewId="0">
      <selection activeCell="D13" sqref="D13"/>
    </sheetView>
  </sheetViews>
  <sheetFormatPr baseColWidth="10" defaultColWidth="0" defaultRowHeight="15" zeroHeight="1" x14ac:dyDescent="0.25"/>
  <cols>
    <col min="1" max="1" width="12.42578125" style="53" customWidth="1"/>
    <col min="2" max="2" width="24.42578125" style="53" customWidth="1"/>
    <col min="3" max="3" width="19" style="53" customWidth="1"/>
    <col min="4" max="4" width="31" style="53" bestFit="1" customWidth="1"/>
    <col min="5" max="5" width="10.140625" style="53" customWidth="1"/>
    <col min="6" max="9" width="0" style="53" hidden="1" customWidth="1"/>
    <col min="10" max="16384" width="10.140625" style="53" hidden="1"/>
  </cols>
  <sheetData>
    <row r="1" spans="1:5" x14ac:dyDescent="0.25">
      <c r="A1" s="383" t="s">
        <v>5922</v>
      </c>
      <c r="B1" s="383"/>
      <c r="C1" s="383"/>
      <c r="D1" s="383"/>
    </row>
    <row r="2" spans="1:5" x14ac:dyDescent="0.25">
      <c r="A2" s="235" t="s">
        <v>5923</v>
      </c>
      <c r="B2" s="384" t="s">
        <v>5924</v>
      </c>
      <c r="C2" s="386" t="s">
        <v>5925</v>
      </c>
      <c r="D2" s="386" t="s">
        <v>5926</v>
      </c>
    </row>
    <row r="3" spans="1:5" x14ac:dyDescent="0.25">
      <c r="A3" s="236" t="s">
        <v>5928</v>
      </c>
      <c r="B3" s="385"/>
      <c r="C3" s="387"/>
      <c r="D3" s="387"/>
    </row>
    <row r="4" spans="1:5" x14ac:dyDescent="0.25">
      <c r="A4" s="237">
        <v>512</v>
      </c>
      <c r="B4" s="238" t="s">
        <v>5929</v>
      </c>
      <c r="C4" s="239" t="s">
        <v>905</v>
      </c>
      <c r="D4" s="239" t="s">
        <v>5930</v>
      </c>
    </row>
    <row r="5" spans="1:5" x14ac:dyDescent="0.25">
      <c r="A5" s="240">
        <v>504</v>
      </c>
      <c r="B5" s="241" t="s">
        <v>5931</v>
      </c>
      <c r="C5" s="240" t="s">
        <v>905</v>
      </c>
      <c r="D5" s="240" t="s">
        <v>5932</v>
      </c>
    </row>
    <row r="6" spans="1:5" x14ac:dyDescent="0.25">
      <c r="A6" s="240">
        <v>502</v>
      </c>
      <c r="B6" s="241" t="s">
        <v>5933</v>
      </c>
      <c r="C6" s="240" t="s">
        <v>898</v>
      </c>
      <c r="D6" s="240" t="s">
        <v>5932</v>
      </c>
    </row>
    <row r="7" spans="1:5" ht="24" x14ac:dyDescent="0.25">
      <c r="A7" s="240">
        <v>501</v>
      </c>
      <c r="B7" s="241" t="s">
        <v>5934</v>
      </c>
      <c r="C7" s="240" t="s">
        <v>898</v>
      </c>
      <c r="D7" s="239" t="s">
        <v>5935</v>
      </c>
    </row>
    <row r="8" spans="1:5" ht="24" x14ac:dyDescent="0.25">
      <c r="A8" s="240">
        <v>410</v>
      </c>
      <c r="B8" s="241" t="s">
        <v>5936</v>
      </c>
      <c r="C8" s="240" t="s">
        <v>898</v>
      </c>
      <c r="D8" s="240" t="s">
        <v>5932</v>
      </c>
    </row>
    <row r="9" spans="1:5" ht="24" x14ac:dyDescent="0.25">
      <c r="A9" s="240">
        <v>411</v>
      </c>
      <c r="B9" s="241" t="s">
        <v>5937</v>
      </c>
      <c r="C9" s="240" t="s">
        <v>898</v>
      </c>
      <c r="D9" s="239" t="s">
        <v>5935</v>
      </c>
    </row>
    <row r="10" spans="1:5" ht="24" x14ac:dyDescent="0.25">
      <c r="A10" s="255">
        <v>701</v>
      </c>
      <c r="B10" s="256" t="s">
        <v>5938</v>
      </c>
      <c r="C10" s="255" t="s">
        <v>905</v>
      </c>
      <c r="D10" s="255" t="s">
        <v>5939</v>
      </c>
      <c r="E10" s="242"/>
    </row>
    <row r="11" spans="1:5" ht="24" x14ac:dyDescent="0.25">
      <c r="A11" s="240">
        <v>202</v>
      </c>
      <c r="B11" s="241" t="s">
        <v>5941</v>
      </c>
      <c r="C11" s="240" t="s">
        <v>898</v>
      </c>
      <c r="D11" s="239" t="s">
        <v>5935</v>
      </c>
    </row>
    <row r="12" spans="1:5" ht="24" x14ac:dyDescent="0.25">
      <c r="A12" s="255">
        <v>201</v>
      </c>
      <c r="B12" s="256" t="s">
        <v>5942</v>
      </c>
      <c r="C12" s="255" t="s">
        <v>898</v>
      </c>
      <c r="D12" s="255" t="s">
        <v>5935</v>
      </c>
    </row>
    <row r="13" spans="1:5" x14ac:dyDescent="0.25">
      <c r="A13" s="240">
        <v>142</v>
      </c>
      <c r="B13" s="241" t="s">
        <v>5943</v>
      </c>
      <c r="C13" s="240" t="s">
        <v>898</v>
      </c>
      <c r="D13" s="240" t="s">
        <v>933</v>
      </c>
    </row>
    <row r="14" spans="1:5" x14ac:dyDescent="0.25">
      <c r="A14" s="240">
        <v>141</v>
      </c>
      <c r="B14" s="241" t="s">
        <v>5944</v>
      </c>
      <c r="C14" s="240" t="s">
        <v>898</v>
      </c>
      <c r="D14" s="240" t="s">
        <v>933</v>
      </c>
    </row>
    <row r="15" spans="1:5" x14ac:dyDescent="0.25">
      <c r="A15" s="391">
        <v>641</v>
      </c>
      <c r="B15" s="390" t="s">
        <v>5945</v>
      </c>
      <c r="C15" s="391" t="s">
        <v>901</v>
      </c>
      <c r="D15" s="392" t="s">
        <v>5930</v>
      </c>
    </row>
    <row r="16" spans="1:5" x14ac:dyDescent="0.25">
      <c r="A16" s="391"/>
      <c r="B16" s="390"/>
      <c r="C16" s="391"/>
      <c r="D16" s="393"/>
    </row>
    <row r="17" spans="1:4" x14ac:dyDescent="0.25">
      <c r="A17" s="237">
        <v>2</v>
      </c>
      <c r="B17" s="241" t="s">
        <v>5946</v>
      </c>
      <c r="C17" s="240" t="s">
        <v>898</v>
      </c>
      <c r="D17" s="239" t="s">
        <v>5947</v>
      </c>
    </row>
    <row r="18" spans="1:4" ht="15" customHeight="1" x14ac:dyDescent="0.25">
      <c r="A18" s="388">
        <v>6</v>
      </c>
      <c r="B18" s="390" t="s">
        <v>5948</v>
      </c>
      <c r="C18" s="391" t="s">
        <v>898</v>
      </c>
      <c r="D18" s="392" t="s">
        <v>5965</v>
      </c>
    </row>
    <row r="19" spans="1:4" x14ac:dyDescent="0.25">
      <c r="A19" s="389"/>
      <c r="B19" s="390"/>
      <c r="C19" s="391"/>
      <c r="D19" s="393"/>
    </row>
    <row r="20" spans="1:4" x14ac:dyDescent="0.25">
      <c r="A20" s="237">
        <v>1</v>
      </c>
      <c r="B20" s="241" t="s">
        <v>5948</v>
      </c>
      <c r="C20" s="240" t="s">
        <v>898</v>
      </c>
      <c r="D20" s="239" t="s">
        <v>5964</v>
      </c>
    </row>
    <row r="21" spans="1:4" x14ac:dyDescent="0.25">
      <c r="A21" s="237">
        <v>210</v>
      </c>
      <c r="B21" s="241" t="s">
        <v>5948</v>
      </c>
      <c r="C21" s="240" t="s">
        <v>898</v>
      </c>
      <c r="D21" s="239" t="s">
        <v>5963</v>
      </c>
    </row>
    <row r="22" spans="1:4" ht="15" customHeight="1" x14ac:dyDescent="0.25">
      <c r="A22" s="257"/>
    </row>
    <row r="23" spans="1:4" ht="15" hidden="1" customHeight="1" x14ac:dyDescent="0.25"/>
    <row r="24" spans="1:4" x14ac:dyDescent="0.25"/>
    <row r="25" spans="1:4" x14ac:dyDescent="0.25"/>
  </sheetData>
  <sheetProtection algorithmName="SHA-512" hashValue="HoyAEh4GPp+oafE4dqLNycSYQYzdYs4Yn5/4UormkHvQlpJvfPhylIlFSbLRPO2md4vkMz43aA6X96T2038E/Q==" saltValue="heWxma5IpbjelR2taO73NQ==" spinCount="100000" sheet="1" objects="1" scenarios="1"/>
  <mergeCells count="12">
    <mergeCell ref="A1:D1"/>
    <mergeCell ref="B2:B3"/>
    <mergeCell ref="C2:C3"/>
    <mergeCell ref="D2:D3"/>
    <mergeCell ref="A18:A19"/>
    <mergeCell ref="B18:B19"/>
    <mergeCell ref="C18:C19"/>
    <mergeCell ref="D18:D19"/>
    <mergeCell ref="A15:A16"/>
    <mergeCell ref="B15:B16"/>
    <mergeCell ref="C15:C16"/>
    <mergeCell ref="D15:D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B1:H16"/>
  <sheetViews>
    <sheetView showGridLines="0" showRowColHeaders="0" topLeftCell="B1" zoomScale="115" zoomScaleNormal="115" workbookViewId="0">
      <selection activeCell="G10" sqref="G10"/>
    </sheetView>
  </sheetViews>
  <sheetFormatPr baseColWidth="10" defaultColWidth="0" defaultRowHeight="14.25" customHeight="1" zeroHeight="1" x14ac:dyDescent="0.25"/>
  <cols>
    <col min="1" max="1" width="10.140625" hidden="1" customWidth="1"/>
    <col min="2" max="2" width="8.5703125" bestFit="1" customWidth="1"/>
    <col min="3" max="3" width="37.140625" customWidth="1"/>
    <col min="4" max="4" width="16.140625" customWidth="1"/>
    <col min="5" max="5" width="20" bestFit="1" customWidth="1"/>
    <col min="6" max="6" width="29.140625" style="28" customWidth="1"/>
    <col min="7" max="7" width="4.42578125" customWidth="1"/>
    <col min="8" max="8" width="0" hidden="1" customWidth="1"/>
    <col min="9" max="16384" width="10.140625" hidden="1"/>
  </cols>
  <sheetData>
    <row r="1" spans="2:6" ht="21" customHeight="1" x14ac:dyDescent="0.25">
      <c r="B1" s="394" t="s">
        <v>5949</v>
      </c>
      <c r="C1" s="395"/>
      <c r="D1" s="395"/>
      <c r="E1" s="395"/>
      <c r="F1" s="395"/>
    </row>
    <row r="2" spans="2:6" ht="21" customHeight="1" x14ac:dyDescent="0.25">
      <c r="B2" s="243" t="s">
        <v>894</v>
      </c>
      <c r="C2" s="243" t="s">
        <v>4195</v>
      </c>
      <c r="D2" s="243" t="s">
        <v>4196</v>
      </c>
      <c r="E2" s="244" t="s">
        <v>5950</v>
      </c>
      <c r="F2" s="254" t="s">
        <v>5927</v>
      </c>
    </row>
    <row r="3" spans="2:6" s="245" customFormat="1" ht="21" customHeight="1" x14ac:dyDescent="0.25">
      <c r="B3" s="245">
        <v>700</v>
      </c>
      <c r="C3" s="245" t="s">
        <v>5951</v>
      </c>
      <c r="D3" s="245" t="s">
        <v>905</v>
      </c>
      <c r="E3" s="245" t="s">
        <v>5952</v>
      </c>
      <c r="F3" s="246" t="s">
        <v>5940</v>
      </c>
    </row>
    <row r="4" spans="2:6" ht="21" customHeight="1" x14ac:dyDescent="0.25">
      <c r="B4" s="245">
        <v>506</v>
      </c>
      <c r="C4" s="245" t="s">
        <v>4197</v>
      </c>
      <c r="D4" s="245" t="s">
        <v>905</v>
      </c>
      <c r="E4" s="245" t="s">
        <v>5953</v>
      </c>
      <c r="F4" s="246" t="s">
        <v>5940</v>
      </c>
    </row>
    <row r="5" spans="2:6" ht="21" customHeight="1" x14ac:dyDescent="0.25">
      <c r="B5" s="245">
        <v>507</v>
      </c>
      <c r="C5" s="245" t="s">
        <v>4198</v>
      </c>
      <c r="D5" s="245" t="s">
        <v>905</v>
      </c>
      <c r="E5" s="245" t="s">
        <v>5953</v>
      </c>
      <c r="F5" s="246" t="s">
        <v>5940</v>
      </c>
    </row>
    <row r="6" spans="2:6" ht="21" customHeight="1" x14ac:dyDescent="0.25">
      <c r="B6" s="245">
        <v>841</v>
      </c>
      <c r="C6" s="245" t="s">
        <v>4199</v>
      </c>
      <c r="D6" s="245" t="s">
        <v>905</v>
      </c>
      <c r="E6" s="245" t="s">
        <v>5953</v>
      </c>
      <c r="F6" s="246" t="s">
        <v>5940</v>
      </c>
    </row>
    <row r="7" spans="2:6" ht="21" customHeight="1" x14ac:dyDescent="0.25">
      <c r="B7" s="245">
        <v>416</v>
      </c>
      <c r="C7" s="245" t="s">
        <v>4200</v>
      </c>
      <c r="D7" s="245" t="s">
        <v>905</v>
      </c>
      <c r="E7" s="245" t="s">
        <v>5953</v>
      </c>
      <c r="F7" s="246" t="s">
        <v>5940</v>
      </c>
    </row>
    <row r="8" spans="2:6" ht="21" customHeight="1" x14ac:dyDescent="0.25">
      <c r="B8" s="245">
        <v>417</v>
      </c>
      <c r="C8" s="245" t="s">
        <v>4201</v>
      </c>
      <c r="D8" s="245" t="s">
        <v>905</v>
      </c>
      <c r="E8" s="245" t="s">
        <v>5953</v>
      </c>
      <c r="F8" s="246" t="s">
        <v>5940</v>
      </c>
    </row>
    <row r="9" spans="2:6" ht="21" customHeight="1" x14ac:dyDescent="0.25">
      <c r="B9" s="245">
        <v>406</v>
      </c>
      <c r="C9" s="245" t="s">
        <v>4202</v>
      </c>
      <c r="D9" s="245" t="s">
        <v>905</v>
      </c>
      <c r="E9" s="245" t="s">
        <v>5953</v>
      </c>
      <c r="F9" s="246" t="s">
        <v>5940</v>
      </c>
    </row>
    <row r="10" spans="2:6" ht="21" customHeight="1" x14ac:dyDescent="0.25">
      <c r="B10" s="245">
        <v>407</v>
      </c>
      <c r="C10" s="245" t="s">
        <v>4203</v>
      </c>
      <c r="D10" s="245" t="s">
        <v>905</v>
      </c>
      <c r="E10" s="245" t="s">
        <v>5953</v>
      </c>
      <c r="F10" s="246" t="s">
        <v>5940</v>
      </c>
    </row>
    <row r="11" spans="2:6" ht="21" customHeight="1" x14ac:dyDescent="0.25">
      <c r="B11" s="245">
        <v>681</v>
      </c>
      <c r="C11" s="245" t="s">
        <v>4204</v>
      </c>
      <c r="D11" s="245" t="s">
        <v>901</v>
      </c>
      <c r="E11" s="245" t="s">
        <v>5953</v>
      </c>
      <c r="F11" s="246" t="s">
        <v>5940</v>
      </c>
    </row>
    <row r="12" spans="2:6" ht="21" customHeight="1" x14ac:dyDescent="0.25">
      <c r="B12" s="245">
        <v>661</v>
      </c>
      <c r="C12" s="245" t="s">
        <v>726</v>
      </c>
      <c r="D12" s="245" t="s">
        <v>901</v>
      </c>
      <c r="E12" s="245" t="s">
        <v>5953</v>
      </c>
      <c r="F12" s="246" t="s">
        <v>5940</v>
      </c>
    </row>
    <row r="13" spans="2:6" ht="21" customHeight="1" x14ac:dyDescent="0.25">
      <c r="B13" s="245">
        <v>641</v>
      </c>
      <c r="C13" s="247" t="s">
        <v>713</v>
      </c>
      <c r="D13" s="247" t="s">
        <v>901</v>
      </c>
      <c r="E13" s="247" t="s">
        <v>5953</v>
      </c>
      <c r="F13" s="246" t="s">
        <v>5940</v>
      </c>
    </row>
    <row r="14" spans="2:6" ht="21" customHeight="1" x14ac:dyDescent="0.25">
      <c r="B14" s="396">
        <v>7</v>
      </c>
      <c r="C14" s="248" t="s">
        <v>4205</v>
      </c>
      <c r="D14" s="249" t="s">
        <v>901</v>
      </c>
      <c r="E14" s="250" t="s">
        <v>5953</v>
      </c>
      <c r="F14" s="398" t="s">
        <v>5947</v>
      </c>
    </row>
    <row r="15" spans="2:6" ht="21" customHeight="1" x14ac:dyDescent="0.25">
      <c r="B15" s="397"/>
      <c r="C15" s="251" t="s">
        <v>5954</v>
      </c>
      <c r="D15" s="252" t="s">
        <v>901</v>
      </c>
      <c r="E15" s="253" t="s">
        <v>5953</v>
      </c>
      <c r="F15" s="399"/>
    </row>
    <row r="16" spans="2:6" ht="15" x14ac:dyDescent="0.25"/>
  </sheetData>
  <sheetProtection algorithmName="SHA-512" hashValue="D8qs9IBgtJKKCvwS3jhev5v99UQGchJBdFH0bQPiZVkdDRk79Ta483Iz3JRl0tTzjIapLZKR+QD9CTy2FP/rcA==" saltValue="fs1qLvZE7VGkzxqaaAC3TQ==" spinCount="100000" sheet="1" objects="1" scenarios="1"/>
  <mergeCells count="3">
    <mergeCell ref="B1:F1"/>
    <mergeCell ref="B14:B15"/>
    <mergeCell ref="F14:F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"/>
  <dimension ref="A1:E15"/>
  <sheetViews>
    <sheetView showGridLines="0" showRowColHeaders="0" zoomScale="70" zoomScaleNormal="70" workbookViewId="0">
      <selection activeCell="D10" sqref="D10"/>
    </sheetView>
  </sheetViews>
  <sheetFormatPr baseColWidth="10" defaultColWidth="0" defaultRowHeight="12.75" zeroHeight="1" x14ac:dyDescent="0.2"/>
  <cols>
    <col min="1" max="1" width="49.85546875" style="258" customWidth="1"/>
    <col min="2" max="2" width="32.85546875" style="258" bestFit="1" customWidth="1"/>
    <col min="3" max="3" width="47.140625" style="258" bestFit="1" customWidth="1"/>
    <col min="4" max="4" width="35.85546875" style="258" customWidth="1"/>
    <col min="5" max="5" width="9.42578125" style="258" customWidth="1"/>
    <col min="6" max="16384" width="9.42578125" style="258" hidden="1"/>
  </cols>
  <sheetData>
    <row r="1" spans="1:4" ht="24.95" customHeight="1" x14ac:dyDescent="0.2">
      <c r="A1" s="265" t="s">
        <v>6005</v>
      </c>
      <c r="B1" s="264"/>
    </row>
    <row r="2" spans="1:4" ht="5.45" customHeight="1" x14ac:dyDescent="0.2">
      <c r="A2" s="264"/>
      <c r="B2" s="264"/>
    </row>
    <row r="3" spans="1:4" ht="5.45" customHeight="1" x14ac:dyDescent="0.2">
      <c r="A3" s="264"/>
      <c r="B3" s="264"/>
    </row>
    <row r="4" spans="1:4" ht="17.45" customHeight="1" x14ac:dyDescent="0.2">
      <c r="A4" s="400" t="s">
        <v>6006</v>
      </c>
      <c r="B4" s="401"/>
      <c r="C4" s="400" t="s">
        <v>190</v>
      </c>
      <c r="D4" s="401"/>
    </row>
    <row r="5" spans="1:4" ht="26.45" customHeight="1" thickBot="1" x14ac:dyDescent="0.25">
      <c r="A5" s="263" t="s">
        <v>6003</v>
      </c>
      <c r="B5" s="263" t="s">
        <v>5968</v>
      </c>
      <c r="C5" s="263" t="s">
        <v>6004</v>
      </c>
      <c r="D5" s="263" t="s">
        <v>6002</v>
      </c>
    </row>
    <row r="6" spans="1:4" ht="30.6" customHeight="1" thickBot="1" x14ac:dyDescent="0.25">
      <c r="A6" s="279" t="s">
        <v>5971</v>
      </c>
      <c r="B6" s="277" t="s">
        <v>5970</v>
      </c>
      <c r="C6" s="279" t="s">
        <v>5992</v>
      </c>
      <c r="D6" s="276" t="s">
        <v>6001</v>
      </c>
    </row>
    <row r="7" spans="1:4" ht="30.6" customHeight="1" thickBot="1" x14ac:dyDescent="0.25">
      <c r="A7" s="278" t="s">
        <v>5972</v>
      </c>
      <c r="B7" s="277" t="s">
        <v>5970</v>
      </c>
      <c r="C7" s="278" t="s">
        <v>5993</v>
      </c>
      <c r="D7" s="276" t="s">
        <v>6001</v>
      </c>
    </row>
    <row r="8" spans="1:4" ht="30.6" customHeight="1" thickBot="1" x14ac:dyDescent="0.25">
      <c r="A8" s="278" t="s">
        <v>5973</v>
      </c>
      <c r="B8" s="277" t="s">
        <v>5970</v>
      </c>
      <c r="C8" s="278" t="s">
        <v>5994</v>
      </c>
      <c r="D8" s="276" t="s">
        <v>6001</v>
      </c>
    </row>
    <row r="9" spans="1:4" ht="30.6" customHeight="1" thickBot="1" x14ac:dyDescent="0.25">
      <c r="A9" s="262" t="s">
        <v>5974</v>
      </c>
      <c r="B9" s="277" t="s">
        <v>5969</v>
      </c>
      <c r="C9" s="273" t="s">
        <v>5995</v>
      </c>
      <c r="D9" s="277" t="s">
        <v>6000</v>
      </c>
    </row>
    <row r="10" spans="1:4" ht="30.6" customHeight="1" thickBot="1" x14ac:dyDescent="0.25">
      <c r="A10" s="262" t="s">
        <v>6007</v>
      </c>
      <c r="B10" s="277" t="s">
        <v>5969</v>
      </c>
      <c r="C10" s="273" t="s">
        <v>6008</v>
      </c>
      <c r="D10" s="277" t="s">
        <v>6000</v>
      </c>
    </row>
    <row r="11" spans="1:4" ht="30.6" customHeight="1" thickBot="1" x14ac:dyDescent="0.25">
      <c r="A11" s="262" t="s">
        <v>5975</v>
      </c>
      <c r="B11" s="277" t="s">
        <v>5970</v>
      </c>
      <c r="C11" s="273" t="s">
        <v>5996</v>
      </c>
      <c r="D11" s="276" t="s">
        <v>6001</v>
      </c>
    </row>
    <row r="12" spans="1:4" ht="30.6" customHeight="1" thickBot="1" x14ac:dyDescent="0.25">
      <c r="A12" s="261" t="s">
        <v>5967</v>
      </c>
      <c r="B12" s="276" t="s">
        <v>5969</v>
      </c>
      <c r="C12" s="274" t="s">
        <v>5997</v>
      </c>
      <c r="D12" s="277" t="s">
        <v>6000</v>
      </c>
    </row>
    <row r="13" spans="1:4" ht="30.6" customHeight="1" thickBot="1" x14ac:dyDescent="0.25">
      <c r="A13" s="260" t="s">
        <v>5966</v>
      </c>
      <c r="B13" s="277" t="s">
        <v>5970</v>
      </c>
      <c r="C13" s="275" t="s">
        <v>5998</v>
      </c>
      <c r="D13" s="276" t="s">
        <v>6001</v>
      </c>
    </row>
    <row r="14" spans="1:4" ht="30.6" customHeight="1" thickBot="1" x14ac:dyDescent="0.25">
      <c r="A14" s="259" t="s">
        <v>5976</v>
      </c>
      <c r="B14" s="277" t="s">
        <v>5970</v>
      </c>
      <c r="C14" s="275" t="s">
        <v>5999</v>
      </c>
      <c r="D14" s="276" t="s">
        <v>6001</v>
      </c>
    </row>
    <row r="15" spans="1:4" x14ac:dyDescent="0.2"/>
  </sheetData>
  <sheetProtection algorithmName="SHA-512" hashValue="CWzV8yuAIhAZB7s4e0FQ/w9oaQD9DQymQRl9V+5/0FHMJiRc+lZopdq/S4fqJ+65w9KPtFnYk5CNX/bFXHcZSg==" saltValue="uQRVBBKFoa6NtB/ST71BSQ==" spinCount="100000" sheet="1" formatCells="0" formatColumns="0" formatRows="0" insertColumns="0" insertRows="0" deleteColumns="0" deleteRows="0" sort="0" autoFilter="0" pivotTables="0"/>
  <mergeCells count="2">
    <mergeCell ref="A4:B4"/>
    <mergeCell ref="C4: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2"/>
  <sheetViews>
    <sheetView workbookViewId="0"/>
  </sheetViews>
  <sheetFormatPr baseColWidth="10" defaultColWidth="9.140625" defaultRowHeight="15" x14ac:dyDescent="0.25"/>
  <cols>
    <col min="1" max="1" width="12" bestFit="1" customWidth="1"/>
    <col min="2" max="3" width="9.140625" customWidth="1"/>
  </cols>
  <sheetData>
    <row r="1" spans="1:3" x14ac:dyDescent="0.25">
      <c r="A1" s="174" t="s">
        <v>4206</v>
      </c>
      <c r="B1" s="174">
        <v>1234</v>
      </c>
      <c r="C1" s="174"/>
    </row>
    <row r="2" spans="1:3" x14ac:dyDescent="0.25">
      <c r="A2" s="174" t="s">
        <v>4207</v>
      </c>
      <c r="B2" s="174">
        <v>1234</v>
      </c>
      <c r="C2" s="17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D45200795B14FB9D699D9AA74F2A9" ma:contentTypeVersion="1" ma:contentTypeDescription="Create a new document." ma:contentTypeScope="" ma:versionID="01bc7746d018da3de3266072e9303603">
  <xsd:schema xmlns:xsd="http://www.w3.org/2001/XMLSchema" xmlns:xs="http://www.w3.org/2001/XMLSchema" xmlns:p="http://schemas.microsoft.com/office/2006/metadata/properties" xmlns:ns2="50cbbf10-e7e8-4066-90fd-3d96b96d10f9" targetNamespace="http://schemas.microsoft.com/office/2006/metadata/properties" ma:root="true" ma:fieldsID="ad5c31a49813d969ac9aa41125a4019a" ns2:_="">
    <xsd:import namespace="50cbbf10-e7e8-4066-90fd-3d96b96d10f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bbf10-e7e8-4066-90fd-3d96b96d10f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0cbbf10-e7e8-4066-90fd-3d96b96d10f9">VUSJUKU3DC2K-1133923144-677</_dlc_DocId>
    <_dlc_DocIdUrl xmlns="50cbbf10-e7e8-4066-90fd-3d96b96d10f9">
      <Url>https://ensembleca.ent.cgi.com/business/322091/_layouts/15/DocIdRedir.aspx?ID=VUSJUKU3DC2K-1133923144-677</Url>
      <Description>VUSJUKU3DC2K-1133923144-677</Description>
    </_dlc_DocIdUrl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8CCDDB-4B26-4600-B02C-05893CA676D9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EA267F07-262B-44E8-85C0-A93191C8A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bbf10-e7e8-4066-90fd-3d96b96d10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78A79A-9AAC-4794-9B71-A1726662138B}">
  <ds:schemaRefs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50cbbf10-e7e8-4066-90fd-3d96b96d10f9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BF19D5EF-2CCA-44A0-A1BB-10E7E0E96DB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44</vt:i4>
      </vt:variant>
    </vt:vector>
  </HeadingPairs>
  <TitlesOfParts>
    <vt:vector size="57" baseType="lpstr">
      <vt:lpstr>User Guide</vt:lpstr>
      <vt:lpstr>Cartographie Career Navigator</vt:lpstr>
      <vt:lpstr>Incentives (PPP)</vt:lpstr>
      <vt:lpstr>Recruitment</vt:lpstr>
      <vt:lpstr>CDF Data</vt:lpstr>
      <vt:lpstr>Data Entry</vt:lpstr>
      <vt:lpstr>Mandatory Fields</vt:lpstr>
      <vt:lpstr>LOV</vt:lpstr>
      <vt:lpstr>Sheet3</vt:lpstr>
      <vt:lpstr>RULE JOB CODE FGDC</vt:lpstr>
      <vt:lpstr>RULE JOB CODE CORPO</vt:lpstr>
      <vt:lpstr>Période d'essai CDF</vt:lpstr>
      <vt:lpstr>PW</vt:lpstr>
      <vt:lpstr>ans</vt:lpstr>
      <vt:lpstr>anyear</vt:lpstr>
      <vt:lpstr>appsource</vt:lpstr>
      <vt:lpstr>BirthCountry</vt:lpstr>
      <vt:lpstr>BLocation</vt:lpstr>
      <vt:lpstr>BusinessUnit</vt:lpstr>
      <vt:lpstr>citizenship</vt:lpstr>
      <vt:lpstr>Cpathway</vt:lpstr>
      <vt:lpstr>date</vt:lpstr>
      <vt:lpstr>educ</vt:lpstr>
      <vt:lpstr>educinfo</vt:lpstr>
      <vt:lpstr>EmergencyFR</vt:lpstr>
      <vt:lpstr>function</vt:lpstr>
      <vt:lpstr>Grade</vt:lpstr>
      <vt:lpstr>Incentive</vt:lpstr>
      <vt:lpstr>jobcode</vt:lpstr>
      <vt:lpstr>jobtitle</vt:lpstr>
      <vt:lpstr>levelv1</vt:lpstr>
      <vt:lpstr>levelv2</vt:lpstr>
      <vt:lpstr>linkemer</vt:lpstr>
      <vt:lpstr>location</vt:lpstr>
      <vt:lpstr>marital</vt:lpstr>
      <vt:lpstr>mois</vt:lpstr>
      <vt:lpstr>NAtionality</vt:lpstr>
      <vt:lpstr>newjc</vt:lpstr>
      <vt:lpstr>preferredno</vt:lpstr>
      <vt:lpstr>rehiretype</vt:lpstr>
      <vt:lpstr>RFRec</vt:lpstr>
      <vt:lpstr>SalaryAdminv5</vt:lpstr>
      <vt:lpstr>SalaryAdminv6</vt:lpstr>
      <vt:lpstr>salarygrade</vt:lpstr>
      <vt:lpstr>salaryPlanv5</vt:lpstr>
      <vt:lpstr>'Data Entry'!SEARCH_RESULTLAST</vt:lpstr>
      <vt:lpstr>Steps</vt:lpstr>
      <vt:lpstr>title</vt:lpstr>
      <vt:lpstr>typeofcontract</vt:lpstr>
      <vt:lpstr>UpdatedJC</vt:lpstr>
      <vt:lpstr>updatedJT</vt:lpstr>
      <vt:lpstr>Updatedyear</vt:lpstr>
      <vt:lpstr>visastatus</vt:lpstr>
      <vt:lpstr>visatype</vt:lpstr>
      <vt:lpstr>visayear</vt:lpstr>
      <vt:lpstr>year</vt:lpstr>
      <vt:lpstr>yesorno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mahmoud.sayeh@cgi.com</dc:creator>
  <cp:lastModifiedBy>mustapha rahmouni</cp:lastModifiedBy>
  <dcterms:created xsi:type="dcterms:W3CDTF">2018-06-28T12:13:23Z</dcterms:created>
  <dcterms:modified xsi:type="dcterms:W3CDTF">2026-02-16T10:37:39Z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0x0101009A2D45200795B14FB9D699D9AA74F2A9</vt:lpwstr>
  </property>
  <property fmtid="{D5CDD505-2E9C-101B-9397-08002B2CF9AE}" pid="3" name="_dlc_DocIdItemGuid">
    <vt:lpwstr>55226254-32d2-41c6-9f0e-0a1020dd1a2b</vt:lpwstr>
  </property>
</Properties>
</file>