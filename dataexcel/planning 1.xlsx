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rawings/drawing1.xml" ContentType="application/vnd.openxmlformats-officedocument.drawing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groupecgi-my.sharepoint.com/personal/zouhair_sadiki_cgi_com/Documents/Desktop/"/>
    </mc:Choice>
  </mc:AlternateContent>
  <xr:revisionPtr revIDLastSave="2041" documentId="8_{8721572B-D411-44DE-BBF8-8C79D564566C}" xr6:coauthVersionLast="47" xr6:coauthVersionMax="47" xr10:uidLastSave="{49FEB226-E2F4-4BF2-8633-A6D3998CDEA7}"/>
  <bookViews>
    <workbookView xWindow="-110" yWindow="-110" windowWidth="19420" windowHeight="11500" xr2:uid="{00000000-000D-0000-FFFF-FFFF00000000}"/>
  </bookViews>
  <sheets>
    <sheet name="FO NEW" sheetId="4" r:id="rId1"/>
    <sheet name="SUP--" sheetId="5" state="hidden" r:id="rId2"/>
    <sheet name="New BO" sheetId="6" r:id="rId3"/>
    <sheet name="VUS" sheetId="7" r:id="rId4"/>
    <sheet name="BO" sheetId="8" state="hidden" r:id="rId5"/>
    <sheet name="FO2" sheetId="9" state="hidden" r:id="rId6"/>
  </sheets>
  <externalReferences>
    <externalReference r:id="rId7"/>
  </externalReferences>
  <definedNames>
    <definedName name="_xlnm._FilterDatabase" localSheetId="0" hidden="1">[1]Feuil1!$B$10:$J$22</definedName>
    <definedName name="_xlnm._FilterDatabase" localSheetId="2" hidden="1">'New BO'!$KB$20:$KB$25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6" i="9" l="1"/>
  <c r="AC6" i="9"/>
  <c r="AB6" i="9"/>
  <c r="AA6" i="9"/>
  <c r="Z6" i="9"/>
  <c r="Y6" i="9"/>
  <c r="X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C3" i="9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I10" i="7"/>
  <c r="I14" i="7" s="1"/>
  <c r="H10" i="7"/>
  <c r="H14" i="7" s="1"/>
  <c r="G10" i="7"/>
  <c r="G12" i="7" s="1"/>
  <c r="F10" i="7"/>
  <c r="F14" i="7" s="1"/>
  <c r="E10" i="7"/>
  <c r="E11" i="7" s="1"/>
  <c r="D10" i="7"/>
  <c r="D15" i="7" s="1"/>
  <c r="C10" i="7"/>
  <c r="C15" i="7" s="1"/>
  <c r="E9" i="7"/>
  <c r="HJ8" i="6"/>
  <c r="HI8" i="6"/>
  <c r="HH8" i="6"/>
  <c r="HG8" i="6"/>
  <c r="HF8" i="6"/>
  <c r="HE8" i="6"/>
  <c r="HD8" i="6"/>
  <c r="HC8" i="6"/>
  <c r="HB8" i="6"/>
  <c r="HA8" i="6"/>
  <c r="GZ8" i="6"/>
  <c r="GY8" i="6"/>
  <c r="GX8" i="6"/>
  <c r="GW8" i="6"/>
  <c r="GV8" i="6"/>
  <c r="GU8" i="6"/>
  <c r="GT8" i="6"/>
  <c r="GS8" i="6"/>
  <c r="GR8" i="6"/>
  <c r="GQ8" i="6"/>
  <c r="GP8" i="6"/>
  <c r="GO8" i="6"/>
  <c r="GN8" i="6"/>
  <c r="GM8" i="6"/>
  <c r="GL8" i="6"/>
  <c r="GK8" i="6"/>
  <c r="GJ8" i="6"/>
  <c r="GI8" i="6"/>
  <c r="GH8" i="6"/>
  <c r="GG8" i="6"/>
  <c r="GF8" i="6"/>
  <c r="GE8" i="6"/>
  <c r="GD8" i="6"/>
  <c r="GC8" i="6"/>
  <c r="GB8" i="6"/>
  <c r="GA8" i="6"/>
  <c r="FZ8" i="6"/>
  <c r="FY8" i="6"/>
  <c r="FX8" i="6"/>
  <c r="FW8" i="6"/>
  <c r="FV8" i="6"/>
  <c r="FU8" i="6"/>
  <c r="FT8" i="6"/>
  <c r="FS8" i="6"/>
  <c r="FR8" i="6"/>
  <c r="FQ8" i="6"/>
  <c r="FP8" i="6"/>
  <c r="FO8" i="6"/>
  <c r="FN8" i="6"/>
  <c r="FM8" i="6"/>
  <c r="FL8" i="6"/>
  <c r="FK8" i="6"/>
  <c r="FJ8" i="6"/>
  <c r="FI8" i="6"/>
  <c r="FH8" i="6"/>
  <c r="FG8" i="6"/>
  <c r="FF8" i="6"/>
  <c r="FE8" i="6"/>
  <c r="FD8" i="6"/>
  <c r="FC8" i="6"/>
  <c r="FB8" i="6"/>
  <c r="FA8" i="6"/>
  <c r="EZ8" i="6"/>
  <c r="EY8" i="6"/>
  <c r="EX8" i="6"/>
  <c r="EW8" i="6"/>
  <c r="EV8" i="6"/>
  <c r="EU8" i="6"/>
  <c r="ET8" i="6"/>
  <c r="ES8" i="6"/>
  <c r="ER8" i="6"/>
  <c r="EQ8" i="6"/>
  <c r="EP8" i="6"/>
  <c r="EO8" i="6"/>
  <c r="EN8" i="6"/>
  <c r="EM8" i="6"/>
  <c r="EL8" i="6"/>
  <c r="EK8" i="6"/>
  <c r="EJ8" i="6"/>
  <c r="EI8" i="6"/>
  <c r="EH8" i="6"/>
  <c r="EG8" i="6"/>
  <c r="EF8" i="6"/>
  <c r="EE8" i="6"/>
  <c r="ED8" i="6"/>
  <c r="EC8" i="6"/>
  <c r="EB8" i="6"/>
  <c r="EA8" i="6"/>
  <c r="DZ8" i="6"/>
  <c r="DY8" i="6"/>
  <c r="DX8" i="6"/>
  <c r="DW8" i="6"/>
  <c r="DV8" i="6"/>
  <c r="DU8" i="6"/>
  <c r="DT8" i="6"/>
  <c r="DS8" i="6"/>
  <c r="DR8" i="6"/>
  <c r="DQ8" i="6"/>
  <c r="DP8" i="6"/>
  <c r="DO8" i="6"/>
  <c r="DN8" i="6"/>
  <c r="DM8" i="6"/>
  <c r="DL8" i="6"/>
  <c r="DK8" i="6"/>
  <c r="DJ8" i="6"/>
  <c r="DI8" i="6"/>
  <c r="DH8" i="6"/>
  <c r="DG8" i="6"/>
  <c r="DF8" i="6"/>
  <c r="DE8" i="6"/>
  <c r="DD8" i="6"/>
  <c r="DC8" i="6"/>
  <c r="DB8" i="6"/>
  <c r="DA8" i="6"/>
  <c r="CZ8" i="6"/>
  <c r="CY8" i="6"/>
  <c r="CX8" i="6"/>
  <c r="CW8" i="6"/>
  <c r="CV8" i="6"/>
  <c r="CU8" i="6"/>
  <c r="CT8" i="6"/>
  <c r="CS8" i="6"/>
  <c r="CR8" i="6"/>
  <c r="CQ8" i="6"/>
  <c r="CP8" i="6"/>
  <c r="CO8" i="6"/>
  <c r="CN8" i="6"/>
  <c r="CM8" i="6"/>
  <c r="CL8" i="6"/>
  <c r="CK8" i="6"/>
  <c r="CJ8" i="6"/>
  <c r="CI8" i="6"/>
  <c r="CH8" i="6"/>
  <c r="CG8" i="6"/>
  <c r="CF8" i="6"/>
  <c r="CE8" i="6"/>
  <c r="CD8" i="6"/>
  <c r="CC8" i="6"/>
  <c r="CB8" i="6"/>
  <c r="CA8" i="6"/>
  <c r="BZ8" i="6"/>
  <c r="BY8" i="6"/>
  <c r="BX8" i="6"/>
  <c r="BW8" i="6"/>
  <c r="BV8" i="6"/>
  <c r="BU8" i="6"/>
  <c r="BT8" i="6"/>
  <c r="BS8" i="6"/>
  <c r="BR8" i="6"/>
  <c r="BQ8" i="6"/>
  <c r="BP8" i="6"/>
  <c r="BO8" i="6"/>
  <c r="BN8" i="6"/>
  <c r="BM8" i="6"/>
  <c r="BL8" i="6"/>
  <c r="BK8" i="6"/>
  <c r="BJ8" i="6"/>
  <c r="BI8" i="6"/>
  <c r="BH8" i="6"/>
  <c r="BG8" i="6"/>
  <c r="BF8" i="6"/>
  <c r="BE8" i="6"/>
  <c r="BD8" i="6"/>
  <c r="BC8" i="6"/>
  <c r="BB8" i="6"/>
  <c r="BA8" i="6"/>
  <c r="AZ8" i="6"/>
  <c r="AY8" i="6"/>
  <c r="AX8" i="6"/>
  <c r="AW8" i="6"/>
  <c r="AV8" i="6"/>
  <c r="AU8" i="6"/>
  <c r="AT8" i="6"/>
  <c r="AS8" i="6"/>
  <c r="AR8" i="6"/>
  <c r="AQ8" i="6"/>
  <c r="AP8" i="6"/>
  <c r="AO8" i="6"/>
  <c r="AN8" i="6"/>
  <c r="AM8" i="6"/>
  <c r="AL8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HJ4" i="6"/>
  <c r="HI4" i="6"/>
  <c r="HH4" i="6"/>
  <c r="HG4" i="6"/>
  <c r="HF4" i="6"/>
  <c r="HE4" i="6"/>
  <c r="HD4" i="6"/>
  <c r="HC4" i="6"/>
  <c r="HB4" i="6"/>
  <c r="HA4" i="6"/>
  <c r="GZ4" i="6"/>
  <c r="GY4" i="6"/>
  <c r="GX4" i="6"/>
  <c r="GW4" i="6"/>
  <c r="GV4" i="6"/>
  <c r="GU4" i="6"/>
  <c r="GT4" i="6"/>
  <c r="GS4" i="6"/>
  <c r="GR4" i="6"/>
  <c r="GQ4" i="6"/>
  <c r="GP4" i="6"/>
  <c r="GO4" i="6"/>
  <c r="GN4" i="6"/>
  <c r="GM4" i="6"/>
  <c r="GL4" i="6"/>
  <c r="GK4" i="6"/>
  <c r="GJ4" i="6"/>
  <c r="GI4" i="6"/>
  <c r="GH4" i="6"/>
  <c r="GG4" i="6"/>
  <c r="GF4" i="6"/>
  <c r="GE4" i="6"/>
  <c r="GD4" i="6"/>
  <c r="GC4" i="6"/>
  <c r="GB4" i="6"/>
  <c r="GA4" i="6"/>
  <c r="FZ4" i="6"/>
  <c r="FY4" i="6"/>
  <c r="FX4" i="6"/>
  <c r="FW4" i="6"/>
  <c r="FV4" i="6"/>
  <c r="FU4" i="6"/>
  <c r="FT4" i="6"/>
  <c r="FS4" i="6"/>
  <c r="FR4" i="6"/>
  <c r="FQ4" i="6"/>
  <c r="FP4" i="6"/>
  <c r="FO4" i="6"/>
  <c r="FN4" i="6"/>
  <c r="FM4" i="6"/>
  <c r="FL4" i="6"/>
  <c r="FK4" i="6"/>
  <c r="FJ4" i="6"/>
  <c r="FI4" i="6"/>
  <c r="FH4" i="6"/>
  <c r="FG4" i="6"/>
  <c r="FF4" i="6"/>
  <c r="FE4" i="6"/>
  <c r="FD4" i="6"/>
  <c r="FC4" i="6"/>
  <c r="FB4" i="6"/>
  <c r="FA4" i="6"/>
  <c r="EZ4" i="6"/>
  <c r="EY4" i="6"/>
  <c r="EX4" i="6"/>
  <c r="EW4" i="6"/>
  <c r="EV4" i="6"/>
  <c r="EU4" i="6"/>
  <c r="ET4" i="6"/>
  <c r="ES4" i="6"/>
  <c r="ER4" i="6"/>
  <c r="EQ4" i="6"/>
  <c r="EP4" i="6"/>
  <c r="EO4" i="6"/>
  <c r="EN4" i="6"/>
  <c r="EM4" i="6"/>
  <c r="EL4" i="6"/>
  <c r="EK4" i="6"/>
  <c r="EJ4" i="6"/>
  <c r="EI4" i="6"/>
  <c r="EH4" i="6"/>
  <c r="EG4" i="6"/>
  <c r="EF4" i="6"/>
  <c r="EE4" i="6"/>
  <c r="ED4" i="6"/>
  <c r="EC4" i="6"/>
  <c r="EB4" i="6"/>
  <c r="EA4" i="6"/>
  <c r="DZ4" i="6"/>
  <c r="DY4" i="6"/>
  <c r="DX4" i="6"/>
  <c r="DW4" i="6"/>
  <c r="DV4" i="6"/>
  <c r="DU4" i="6"/>
  <c r="DT4" i="6"/>
  <c r="DS4" i="6"/>
  <c r="DR4" i="6"/>
  <c r="DQ4" i="6"/>
  <c r="DP4" i="6"/>
  <c r="DO4" i="6"/>
  <c r="DN4" i="6"/>
  <c r="DM4" i="6"/>
  <c r="DL4" i="6"/>
  <c r="DK4" i="6"/>
  <c r="DJ4" i="6"/>
  <c r="DI4" i="6"/>
  <c r="DH4" i="6"/>
  <c r="DG4" i="6"/>
  <c r="DF4" i="6"/>
  <c r="DE4" i="6"/>
  <c r="DD4" i="6"/>
  <c r="DC4" i="6"/>
  <c r="DB4" i="6"/>
  <c r="DA4" i="6"/>
  <c r="CZ4" i="6"/>
  <c r="CY4" i="6"/>
  <c r="CX4" i="6"/>
  <c r="CW4" i="6"/>
  <c r="CV4" i="6"/>
  <c r="CU4" i="6"/>
  <c r="CT4" i="6"/>
  <c r="CS4" i="6"/>
  <c r="CR4" i="6"/>
  <c r="CQ4" i="6"/>
  <c r="CP4" i="6"/>
  <c r="CO4" i="6"/>
  <c r="CN4" i="6"/>
  <c r="CM4" i="6"/>
  <c r="CL4" i="6"/>
  <c r="CK4" i="6"/>
  <c r="CJ4" i="6"/>
  <c r="CI4" i="6"/>
  <c r="CH4" i="6"/>
  <c r="CG4" i="6"/>
  <c r="CF4" i="6"/>
  <c r="CE4" i="6"/>
  <c r="CD4" i="6"/>
  <c r="CC4" i="6"/>
  <c r="CB4" i="6"/>
  <c r="CA4" i="6"/>
  <c r="BZ4" i="6"/>
  <c r="BY4" i="6"/>
  <c r="BX4" i="6"/>
  <c r="BW4" i="6"/>
  <c r="BV4" i="6"/>
  <c r="BU4" i="6"/>
  <c r="BT4" i="6"/>
  <c r="BS4" i="6"/>
  <c r="BR4" i="6"/>
  <c r="BQ4" i="6"/>
  <c r="BP4" i="6"/>
  <c r="BO4" i="6"/>
  <c r="BN4" i="6"/>
  <c r="BM4" i="6"/>
  <c r="BL4" i="6"/>
  <c r="BK4" i="6"/>
  <c r="BJ4" i="6"/>
  <c r="BI4" i="6"/>
  <c r="BH4" i="6"/>
  <c r="BG4" i="6"/>
  <c r="BF4" i="6"/>
  <c r="BE4" i="6"/>
  <c r="BD4" i="6"/>
  <c r="BC4" i="6"/>
  <c r="BB4" i="6"/>
  <c r="BA4" i="6"/>
  <c r="AZ4" i="6"/>
  <c r="AY4" i="6"/>
  <c r="AX4" i="6"/>
  <c r="AW4" i="6"/>
  <c r="AV4" i="6"/>
  <c r="AU4" i="6"/>
  <c r="AT4" i="6"/>
  <c r="AS4" i="6"/>
  <c r="AR4" i="6"/>
  <c r="AQ4" i="6"/>
  <c r="AP4" i="6"/>
  <c r="AO4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HJ3" i="6"/>
  <c r="HI3" i="6"/>
  <c r="HH3" i="6"/>
  <c r="HG3" i="6"/>
  <c r="HF3" i="6"/>
  <c r="HE3" i="6"/>
  <c r="HD3" i="6"/>
  <c r="HC3" i="6"/>
  <c r="HB3" i="6"/>
  <c r="HA3" i="6"/>
  <c r="GZ3" i="6"/>
  <c r="GY3" i="6"/>
  <c r="GX3" i="6"/>
  <c r="GW3" i="6"/>
  <c r="GV3" i="6"/>
  <c r="GU3" i="6"/>
  <c r="GT3" i="6"/>
  <c r="GS3" i="6"/>
  <c r="GR3" i="6"/>
  <c r="GQ3" i="6"/>
  <c r="GP3" i="6"/>
  <c r="GO3" i="6"/>
  <c r="GN3" i="6"/>
  <c r="GM3" i="6"/>
  <c r="GL3" i="6"/>
  <c r="GK3" i="6"/>
  <c r="GJ3" i="6"/>
  <c r="GI3" i="6"/>
  <c r="GH3" i="6"/>
  <c r="GG3" i="6"/>
  <c r="GF3" i="6"/>
  <c r="GE3" i="6"/>
  <c r="GD3" i="6"/>
  <c r="GC3" i="6"/>
  <c r="GB3" i="6"/>
  <c r="GA3" i="6"/>
  <c r="FZ3" i="6"/>
  <c r="FY3" i="6"/>
  <c r="FX3" i="6"/>
  <c r="FW3" i="6"/>
  <c r="FV3" i="6"/>
  <c r="FU3" i="6"/>
  <c r="FT3" i="6"/>
  <c r="FS3" i="6"/>
  <c r="FR3" i="6"/>
  <c r="FQ3" i="6"/>
  <c r="FP3" i="6"/>
  <c r="FO3" i="6"/>
  <c r="FN3" i="6"/>
  <c r="FM3" i="6"/>
  <c r="FL3" i="6"/>
  <c r="FK3" i="6"/>
  <c r="FJ3" i="6"/>
  <c r="FI3" i="6"/>
  <c r="FH3" i="6"/>
  <c r="FG3" i="6"/>
  <c r="FF3" i="6"/>
  <c r="FE3" i="6"/>
  <c r="FD3" i="6"/>
  <c r="FC3" i="6"/>
  <c r="FB3" i="6"/>
  <c r="FA3" i="6"/>
  <c r="EZ3" i="6"/>
  <c r="EY3" i="6"/>
  <c r="EX3" i="6"/>
  <c r="EW3" i="6"/>
  <c r="EV3" i="6"/>
  <c r="EU3" i="6"/>
  <c r="ET3" i="6"/>
  <c r="ES3" i="6"/>
  <c r="ER3" i="6"/>
  <c r="EQ3" i="6"/>
  <c r="EP3" i="6"/>
  <c r="EO3" i="6"/>
  <c r="EN3" i="6"/>
  <c r="EM3" i="6"/>
  <c r="EL3" i="6"/>
  <c r="EK3" i="6"/>
  <c r="EJ3" i="6"/>
  <c r="EI3" i="6"/>
  <c r="EH3" i="6"/>
  <c r="EG3" i="6"/>
  <c r="EF3" i="6"/>
  <c r="EE3" i="6"/>
  <c r="ED3" i="6"/>
  <c r="EC3" i="6"/>
  <c r="EB3" i="6"/>
  <c r="EA3" i="6"/>
  <c r="DZ3" i="6"/>
  <c r="DY3" i="6"/>
  <c r="DX3" i="6"/>
  <c r="DW3" i="6"/>
  <c r="DV3" i="6"/>
  <c r="DU3" i="6"/>
  <c r="DT3" i="6"/>
  <c r="DS3" i="6"/>
  <c r="DR3" i="6"/>
  <c r="DQ3" i="6"/>
  <c r="DP3" i="6"/>
  <c r="DO3" i="6"/>
  <c r="DN3" i="6"/>
  <c r="DM3" i="6"/>
  <c r="DL3" i="6"/>
  <c r="DK3" i="6"/>
  <c r="DJ3" i="6"/>
  <c r="DI3" i="6"/>
  <c r="DH3" i="6"/>
  <c r="DG3" i="6"/>
  <c r="DF3" i="6"/>
  <c r="DE3" i="6"/>
  <c r="DD3" i="6"/>
  <c r="DC3" i="6"/>
  <c r="DB3" i="6"/>
  <c r="DA3" i="6"/>
  <c r="CZ3" i="6"/>
  <c r="CY3" i="6"/>
  <c r="CX3" i="6"/>
  <c r="CW3" i="6"/>
  <c r="CV3" i="6"/>
  <c r="CU3" i="6"/>
  <c r="CT3" i="6"/>
  <c r="CS3" i="6"/>
  <c r="CR3" i="6"/>
  <c r="CQ3" i="6"/>
  <c r="CP3" i="6"/>
  <c r="CO3" i="6"/>
  <c r="CN3" i="6"/>
  <c r="CM3" i="6"/>
  <c r="CL3" i="6"/>
  <c r="CK3" i="6"/>
  <c r="CJ3" i="6"/>
  <c r="CI3" i="6"/>
  <c r="CH3" i="6"/>
  <c r="CG3" i="6"/>
  <c r="CF3" i="6"/>
  <c r="CE3" i="6"/>
  <c r="CD3" i="6"/>
  <c r="CC3" i="6"/>
  <c r="CB3" i="6"/>
  <c r="CA3" i="6"/>
  <c r="BZ3" i="6"/>
  <c r="BY3" i="6"/>
  <c r="BX3" i="6"/>
  <c r="BW3" i="6"/>
  <c r="BV3" i="6"/>
  <c r="BU3" i="6"/>
  <c r="BT3" i="6"/>
  <c r="BS3" i="6"/>
  <c r="BR3" i="6"/>
  <c r="BQ3" i="6"/>
  <c r="BP3" i="6"/>
  <c r="BO3" i="6"/>
  <c r="BN3" i="6"/>
  <c r="BM3" i="6"/>
  <c r="BL3" i="6"/>
  <c r="BK3" i="6"/>
  <c r="BJ3" i="6"/>
  <c r="BI3" i="6"/>
  <c r="BH3" i="6"/>
  <c r="BG3" i="6"/>
  <c r="BF3" i="6"/>
  <c r="BE3" i="6"/>
  <c r="BD3" i="6"/>
  <c r="BC3" i="6"/>
  <c r="BB3" i="6"/>
  <c r="BA3" i="6"/>
  <c r="AZ3" i="6"/>
  <c r="AY3" i="6"/>
  <c r="AX3" i="6"/>
  <c r="AW3" i="6"/>
  <c r="AV3" i="6"/>
  <c r="AU3" i="6"/>
  <c r="AT3" i="6"/>
  <c r="AS3" i="6"/>
  <c r="AR3" i="6"/>
  <c r="AQ3" i="6"/>
  <c r="AP3" i="6"/>
  <c r="AO3" i="6"/>
  <c r="AN3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B5" i="5"/>
  <c r="B4" i="5"/>
  <c r="B3" i="5"/>
  <c r="CI39" i="4"/>
  <c r="HJ5" i="4"/>
  <c r="HI5" i="4"/>
  <c r="HH5" i="4"/>
  <c r="HG5" i="4"/>
  <c r="HF5" i="4"/>
  <c r="HE5" i="4"/>
  <c r="HD5" i="4"/>
  <c r="HC5" i="4"/>
  <c r="HB5" i="4"/>
  <c r="HA5" i="4"/>
  <c r="GZ5" i="4"/>
  <c r="GY5" i="4"/>
  <c r="GX5" i="4"/>
  <c r="GW5" i="4"/>
  <c r="GV5" i="4"/>
  <c r="GU5" i="4"/>
  <c r="GT5" i="4"/>
  <c r="GS5" i="4"/>
  <c r="GR5" i="4"/>
  <c r="GQ5" i="4"/>
  <c r="GP5" i="4"/>
  <c r="GO5" i="4"/>
  <c r="GN5" i="4"/>
  <c r="GM5" i="4"/>
  <c r="GL5" i="4"/>
  <c r="GK5" i="4"/>
  <c r="GJ5" i="4"/>
  <c r="GI5" i="4"/>
  <c r="GH5" i="4"/>
  <c r="GG5" i="4"/>
  <c r="GF5" i="4"/>
  <c r="GE5" i="4"/>
  <c r="GD5" i="4"/>
  <c r="GC5" i="4"/>
  <c r="GB5" i="4"/>
  <c r="GA5" i="4"/>
  <c r="FZ5" i="4"/>
  <c r="FY5" i="4"/>
  <c r="FX5" i="4"/>
  <c r="FW5" i="4"/>
  <c r="FV5" i="4"/>
  <c r="FU5" i="4"/>
  <c r="FT5" i="4"/>
  <c r="FS5" i="4"/>
  <c r="FR5" i="4"/>
  <c r="FQ5" i="4"/>
  <c r="FP5" i="4"/>
  <c r="FO5" i="4"/>
  <c r="FN5" i="4"/>
  <c r="FM5" i="4"/>
  <c r="FL5" i="4"/>
  <c r="FK5" i="4"/>
  <c r="FJ5" i="4"/>
  <c r="FI5" i="4"/>
  <c r="FH5" i="4"/>
  <c r="FG5" i="4"/>
  <c r="FF5" i="4"/>
  <c r="FE5" i="4"/>
  <c r="FD5" i="4"/>
  <c r="FC5" i="4"/>
  <c r="FB5" i="4"/>
  <c r="FA5" i="4"/>
  <c r="EZ5" i="4"/>
  <c r="EY5" i="4"/>
  <c r="EX5" i="4"/>
  <c r="EW5" i="4"/>
  <c r="EV5" i="4"/>
  <c r="EU5" i="4"/>
  <c r="ET5" i="4"/>
  <c r="ES5" i="4"/>
  <c r="ER5" i="4"/>
  <c r="EQ5" i="4"/>
  <c r="EP5" i="4"/>
  <c r="EO5" i="4"/>
  <c r="EN5" i="4"/>
  <c r="EM5" i="4"/>
  <c r="EL5" i="4"/>
  <c r="EK5" i="4"/>
  <c r="EJ5" i="4"/>
  <c r="EI5" i="4"/>
  <c r="EH5" i="4"/>
  <c r="EG5" i="4"/>
  <c r="EF5" i="4"/>
  <c r="EE5" i="4"/>
  <c r="ED5" i="4"/>
  <c r="EC5" i="4"/>
  <c r="EB5" i="4"/>
  <c r="EA5" i="4"/>
  <c r="DZ5" i="4"/>
  <c r="DY5" i="4"/>
  <c r="DX5" i="4"/>
  <c r="DW5" i="4"/>
  <c r="DV5" i="4"/>
  <c r="DU5" i="4"/>
  <c r="DT5" i="4"/>
  <c r="DS5" i="4"/>
  <c r="DR5" i="4"/>
  <c r="DQ5" i="4"/>
  <c r="DP5" i="4"/>
  <c r="DO5" i="4"/>
  <c r="DN5" i="4"/>
  <c r="DM5" i="4"/>
  <c r="DL5" i="4"/>
  <c r="DK5" i="4"/>
  <c r="DJ5" i="4"/>
  <c r="DI5" i="4"/>
  <c r="DH5" i="4"/>
  <c r="DG5" i="4"/>
  <c r="DF5" i="4"/>
  <c r="DE5" i="4"/>
  <c r="DD5" i="4"/>
  <c r="DC5" i="4"/>
  <c r="DB5" i="4"/>
  <c r="DA5" i="4"/>
  <c r="CZ5" i="4"/>
  <c r="CY5" i="4"/>
  <c r="CX5" i="4"/>
  <c r="CW5" i="4"/>
  <c r="CV5" i="4"/>
  <c r="CU5" i="4"/>
  <c r="CT5" i="4"/>
  <c r="CS5" i="4"/>
  <c r="CR5" i="4"/>
  <c r="CQ5" i="4"/>
  <c r="CP5" i="4"/>
  <c r="CO5" i="4"/>
  <c r="CN5" i="4"/>
  <c r="CM5" i="4"/>
  <c r="CL5" i="4"/>
  <c r="CK5" i="4"/>
  <c r="CJ5" i="4"/>
  <c r="CI5" i="4"/>
  <c r="CH5" i="4"/>
  <c r="CG5" i="4"/>
  <c r="CF5" i="4"/>
  <c r="CE5" i="4"/>
  <c r="CD5" i="4"/>
  <c r="CC5" i="4"/>
  <c r="CB5" i="4"/>
  <c r="CA5" i="4"/>
  <c r="BZ5" i="4"/>
  <c r="BY5" i="4"/>
  <c r="BX5" i="4"/>
  <c r="BW5" i="4"/>
  <c r="BV5" i="4"/>
  <c r="BU5" i="4"/>
  <c r="BT5" i="4"/>
  <c r="BS5" i="4"/>
  <c r="BR5" i="4"/>
  <c r="BQ5" i="4"/>
  <c r="BP5" i="4"/>
  <c r="BO5" i="4"/>
  <c r="BN5" i="4"/>
  <c r="BM5" i="4"/>
  <c r="BL5" i="4"/>
  <c r="BK5" i="4"/>
  <c r="BJ5" i="4"/>
  <c r="BI5" i="4"/>
  <c r="BH5" i="4"/>
  <c r="BG5" i="4"/>
  <c r="BF5" i="4"/>
  <c r="BE5" i="4"/>
  <c r="BD5" i="4"/>
  <c r="BC5" i="4"/>
  <c r="BB5" i="4"/>
  <c r="BA5" i="4"/>
  <c r="AZ5" i="4"/>
  <c r="AY5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HJ4" i="4"/>
  <c r="HI4" i="4"/>
  <c r="HH4" i="4"/>
  <c r="HG4" i="4"/>
  <c r="HF4" i="4"/>
  <c r="HE4" i="4"/>
  <c r="HD4" i="4"/>
  <c r="HC4" i="4"/>
  <c r="HB4" i="4"/>
  <c r="HA4" i="4"/>
  <c r="GZ4" i="4"/>
  <c r="GY4" i="4"/>
  <c r="GX4" i="4"/>
  <c r="GW4" i="4"/>
  <c r="GV4" i="4"/>
  <c r="GU4" i="4"/>
  <c r="GT4" i="4"/>
  <c r="GS4" i="4"/>
  <c r="GR4" i="4"/>
  <c r="GQ4" i="4"/>
  <c r="GP4" i="4"/>
  <c r="GO4" i="4"/>
  <c r="GN4" i="4"/>
  <c r="GM4" i="4"/>
  <c r="GL4" i="4"/>
  <c r="GK4" i="4"/>
  <c r="GJ4" i="4"/>
  <c r="GI4" i="4"/>
  <c r="GH4" i="4"/>
  <c r="GG4" i="4"/>
  <c r="GF4" i="4"/>
  <c r="GE4" i="4"/>
  <c r="GD4" i="4"/>
  <c r="GC4" i="4"/>
  <c r="GB4" i="4"/>
  <c r="GA4" i="4"/>
  <c r="FZ4" i="4"/>
  <c r="FY4" i="4"/>
  <c r="FX4" i="4"/>
  <c r="FW4" i="4"/>
  <c r="FV4" i="4"/>
  <c r="FU4" i="4"/>
  <c r="FT4" i="4"/>
  <c r="FS4" i="4"/>
  <c r="FR4" i="4"/>
  <c r="FQ4" i="4"/>
  <c r="FP4" i="4"/>
  <c r="FO4" i="4"/>
  <c r="FN4" i="4"/>
  <c r="FM4" i="4"/>
  <c r="FL4" i="4"/>
  <c r="FK4" i="4"/>
  <c r="FJ4" i="4"/>
  <c r="FI4" i="4"/>
  <c r="FH4" i="4"/>
  <c r="FG4" i="4"/>
  <c r="FF4" i="4"/>
  <c r="FE4" i="4"/>
  <c r="FD4" i="4"/>
  <c r="FC4" i="4"/>
  <c r="FB4" i="4"/>
  <c r="FA4" i="4"/>
  <c r="EZ4" i="4"/>
  <c r="EY4" i="4"/>
  <c r="EX4" i="4"/>
  <c r="EW4" i="4"/>
  <c r="EV4" i="4"/>
  <c r="EU4" i="4"/>
  <c r="ET4" i="4"/>
  <c r="ES4" i="4"/>
  <c r="ER4" i="4"/>
  <c r="EQ4" i="4"/>
  <c r="EP4" i="4"/>
  <c r="EO4" i="4"/>
  <c r="EN4" i="4"/>
  <c r="EM4" i="4"/>
  <c r="EL4" i="4"/>
  <c r="EK4" i="4"/>
  <c r="EJ4" i="4"/>
  <c r="EI4" i="4"/>
  <c r="EH4" i="4"/>
  <c r="EG4" i="4"/>
  <c r="EF4" i="4"/>
  <c r="EE4" i="4"/>
  <c r="ED4" i="4"/>
  <c r="EC4" i="4"/>
  <c r="EB4" i="4"/>
  <c r="EA4" i="4"/>
  <c r="DZ4" i="4"/>
  <c r="DY4" i="4"/>
  <c r="DX4" i="4"/>
  <c r="DW4" i="4"/>
  <c r="DV4" i="4"/>
  <c r="DU4" i="4"/>
  <c r="DT4" i="4"/>
  <c r="DS4" i="4"/>
  <c r="DR4" i="4"/>
  <c r="DQ4" i="4"/>
  <c r="DP4" i="4"/>
  <c r="DO4" i="4"/>
  <c r="DN4" i="4"/>
  <c r="DM4" i="4"/>
  <c r="DL4" i="4"/>
  <c r="DK4" i="4"/>
  <c r="DJ4" i="4"/>
  <c r="DI4" i="4"/>
  <c r="DH4" i="4"/>
  <c r="DG4" i="4"/>
  <c r="DF4" i="4"/>
  <c r="DE4" i="4"/>
  <c r="DD4" i="4"/>
  <c r="DC4" i="4"/>
  <c r="DB4" i="4"/>
  <c r="DA4" i="4"/>
  <c r="CZ4" i="4"/>
  <c r="CY4" i="4"/>
  <c r="CX4" i="4"/>
  <c r="CW4" i="4"/>
  <c r="CV4" i="4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G4" i="4"/>
  <c r="CF4" i="4"/>
  <c r="CE4" i="4"/>
  <c r="CD4" i="4"/>
  <c r="CC4" i="4"/>
  <c r="CB4" i="4"/>
  <c r="CA4" i="4"/>
  <c r="BZ4" i="4"/>
  <c r="BY4" i="4"/>
  <c r="BX4" i="4"/>
  <c r="BW4" i="4"/>
  <c r="BV4" i="4"/>
  <c r="BU4" i="4"/>
  <c r="BT4" i="4"/>
  <c r="BS4" i="4"/>
  <c r="BR4" i="4"/>
  <c r="BQ4" i="4"/>
  <c r="BP4" i="4"/>
  <c r="BO4" i="4"/>
  <c r="BN4" i="4"/>
  <c r="BM4" i="4"/>
  <c r="BL4" i="4"/>
  <c r="BK4" i="4"/>
  <c r="BJ4" i="4"/>
  <c r="BI4" i="4"/>
  <c r="BH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HJ3" i="4"/>
  <c r="HI3" i="4"/>
  <c r="HH3" i="4"/>
  <c r="HG3" i="4"/>
  <c r="HF3" i="4"/>
  <c r="HE3" i="4"/>
  <c r="HD3" i="4"/>
  <c r="HC3" i="4"/>
  <c r="HB3" i="4"/>
  <c r="HA3" i="4"/>
  <c r="GZ3" i="4"/>
  <c r="GY3" i="4"/>
  <c r="GX3" i="4"/>
  <c r="GW3" i="4"/>
  <c r="GV3" i="4"/>
  <c r="GU3" i="4"/>
  <c r="GT3" i="4"/>
  <c r="GS3" i="4"/>
  <c r="GR3" i="4"/>
  <c r="GQ3" i="4"/>
  <c r="GP3" i="4"/>
  <c r="GO3" i="4"/>
  <c r="GN3" i="4"/>
  <c r="GM3" i="4"/>
  <c r="GL3" i="4"/>
  <c r="GK3" i="4"/>
  <c r="GJ3" i="4"/>
  <c r="GI3" i="4"/>
  <c r="GH3" i="4"/>
  <c r="GG3" i="4"/>
  <c r="GF3" i="4"/>
  <c r="GE3" i="4"/>
  <c r="GD3" i="4"/>
  <c r="GC3" i="4"/>
  <c r="GB3" i="4"/>
  <c r="GA3" i="4"/>
  <c r="FZ3" i="4"/>
  <c r="FY3" i="4"/>
  <c r="FX3" i="4"/>
  <c r="FW3" i="4"/>
  <c r="FV3" i="4"/>
  <c r="FU3" i="4"/>
  <c r="FT3" i="4"/>
  <c r="FS3" i="4"/>
  <c r="FR3" i="4"/>
  <c r="FQ3" i="4"/>
  <c r="FP3" i="4"/>
  <c r="FO3" i="4"/>
  <c r="FN3" i="4"/>
  <c r="FM3" i="4"/>
  <c r="FL3" i="4"/>
  <c r="FK3" i="4"/>
  <c r="FJ3" i="4"/>
  <c r="FI3" i="4"/>
  <c r="FH3" i="4"/>
  <c r="FG3" i="4"/>
  <c r="FF3" i="4"/>
  <c r="FE3" i="4"/>
  <c r="FD3" i="4"/>
  <c r="FC3" i="4"/>
  <c r="FB3" i="4"/>
  <c r="FA3" i="4"/>
  <c r="EZ3" i="4"/>
  <c r="EY3" i="4"/>
  <c r="EX3" i="4"/>
  <c r="EW3" i="4"/>
  <c r="EV3" i="4"/>
  <c r="EU3" i="4"/>
  <c r="ET3" i="4"/>
  <c r="ES3" i="4"/>
  <c r="ER3" i="4"/>
  <c r="EQ3" i="4"/>
  <c r="EP3" i="4"/>
  <c r="EO3" i="4"/>
  <c r="EN3" i="4"/>
  <c r="EM3" i="4"/>
  <c r="EL3" i="4"/>
  <c r="EK3" i="4"/>
  <c r="EJ3" i="4"/>
  <c r="EI3" i="4"/>
  <c r="EH3" i="4"/>
  <c r="EG3" i="4"/>
  <c r="EF3" i="4"/>
  <c r="EE3" i="4"/>
  <c r="ED3" i="4"/>
  <c r="EC3" i="4"/>
  <c r="EB3" i="4"/>
  <c r="EA3" i="4"/>
  <c r="DZ3" i="4"/>
  <c r="DY3" i="4"/>
  <c r="DX3" i="4"/>
  <c r="DW3" i="4"/>
  <c r="DV3" i="4"/>
  <c r="DU3" i="4"/>
  <c r="DT3" i="4"/>
  <c r="DS3" i="4"/>
  <c r="DR3" i="4"/>
  <c r="DQ3" i="4"/>
  <c r="DP3" i="4"/>
  <c r="DO3" i="4"/>
  <c r="DN3" i="4"/>
  <c r="DM3" i="4"/>
  <c r="DL3" i="4"/>
  <c r="DK3" i="4"/>
  <c r="DJ3" i="4"/>
  <c r="DI3" i="4"/>
  <c r="DH3" i="4"/>
  <c r="DG3" i="4"/>
  <c r="DF3" i="4"/>
  <c r="DE3" i="4"/>
  <c r="DD3" i="4"/>
  <c r="DC3" i="4"/>
  <c r="DB3" i="4"/>
  <c r="DA3" i="4"/>
  <c r="CZ3" i="4"/>
  <c r="CY3" i="4"/>
  <c r="CX3" i="4"/>
  <c r="CW3" i="4"/>
  <c r="CV3" i="4"/>
  <c r="CU3" i="4"/>
  <c r="CT3" i="4"/>
  <c r="CS3" i="4"/>
  <c r="CR3" i="4"/>
  <c r="CQ3" i="4"/>
  <c r="CP3" i="4"/>
  <c r="CO3" i="4"/>
  <c r="CN3" i="4"/>
  <c r="CM3" i="4"/>
  <c r="CL3" i="4"/>
  <c r="CK3" i="4"/>
  <c r="CJ3" i="4"/>
  <c r="CI3" i="4"/>
  <c r="CH3" i="4"/>
  <c r="CG3" i="4"/>
  <c r="CF3" i="4"/>
  <c r="CE3" i="4"/>
  <c r="CD3" i="4"/>
  <c r="CC3" i="4"/>
  <c r="CB3" i="4"/>
  <c r="CA3" i="4"/>
  <c r="BZ3" i="4"/>
  <c r="BY3" i="4"/>
  <c r="BX3" i="4"/>
  <c r="BW3" i="4"/>
  <c r="BV3" i="4"/>
  <c r="BU3" i="4"/>
  <c r="BT3" i="4"/>
  <c r="BS3" i="4"/>
  <c r="BR3" i="4"/>
  <c r="BQ3" i="4"/>
  <c r="BP3" i="4"/>
  <c r="BO3" i="4"/>
  <c r="BN3" i="4"/>
  <c r="BM3" i="4"/>
  <c r="BL3" i="4"/>
  <c r="BK3" i="4"/>
  <c r="BJ3" i="4"/>
  <c r="BI3" i="4"/>
  <c r="BH3" i="4"/>
  <c r="BG3" i="4"/>
  <c r="BF3" i="4"/>
  <c r="BE3" i="4"/>
  <c r="BD3" i="4"/>
  <c r="BC3" i="4"/>
  <c r="BB3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D14" i="7" l="1"/>
  <c r="I13" i="7"/>
  <c r="G14" i="7"/>
  <c r="F13" i="7"/>
  <c r="G15" i="7"/>
  <c r="F11" i="7"/>
  <c r="I15" i="7"/>
  <c r="G11" i="7"/>
  <c r="H11" i="7"/>
  <c r="I11" i="7"/>
  <c r="G13" i="7"/>
  <c r="E13" i="7"/>
  <c r="E15" i="7"/>
  <c r="F15" i="7"/>
  <c r="H13" i="7"/>
  <c r="H15" i="7"/>
  <c r="C12" i="7"/>
  <c r="D12" i="7"/>
  <c r="C14" i="7"/>
  <c r="E12" i="7"/>
  <c r="F12" i="7"/>
  <c r="E14" i="7"/>
  <c r="H12" i="7"/>
  <c r="I12" i="7"/>
  <c r="C11" i="7"/>
  <c r="D11" i="7"/>
  <c r="C13" i="7" a="1"/>
  <c r="C13" i="7" s="1"/>
  <c r="D1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tc={b02bf771-c7e4-4dc6-bd8b-0b5e40b2c1e9}</author>
    <author>tc={09f7e8a3-c589-4c21-b329-aadd44f6587d}</author>
    <author>tc={a7eff18c-c9ff-49f2-a2b2-ded0d492f67b}</author>
    <author>tc={10529858-1369-49c0-b348-776001e44501}</author>
    <author>tc={af72bff3-ef83-4a5e-a25c-e778a8994dd5}</author>
    <author>tc={7dbc9353-719f-4291-a536-73bf602b4b47}</author>
    <author>tc={b897e145-953b-4aa8-a441-ab1aeda74122}</author>
    <author>tc={5af0348c-0bb0-4048-9671-be9ff4edc607}</author>
    <author>tc={973d0754-f44e-4bd0-b60f-8f9e9e34ce2b}</author>
    <author>tc={ec6105f6-d386-4bcd-b23a-c6f15211daab}</author>
    <author>tc={272ad280-f85e-4ffc-bf4d-415cad80a47c}</author>
    <author>tc={699e69f8-36d5-4621-aa6b-c12d34c79ac9}</author>
    <author>tc={4c343fdb-e01c-4a34-95b4-3ba8fc5d1f0a}</author>
    <author>tc={2e258a92-4655-4520-8cf4-335f32961d7e}</author>
    <author>tc={a5d93499-7ce2-4910-b762-5e1f2a7f4c98}</author>
    <author/>
    <author>tc={129ae57d-1c53-46dc-9e4b-0c51998926be}</author>
    <author>tc={2df0e254-edbf-4442-95dd-fe31f6edd57c}</author>
    <author>tc={454e4da4-3256-4c45-8cda-e4c82910f269}</author>
    <author>tc={4a5d0fdc-1177-4238-ae08-f17e632c0d98}</author>
    <author>tc={f4c26bf7-b801-44fe-98be-ed1413699236}</author>
    <author>tc={972ed006-c42d-415f-aa3a-c984971dd4b0}</author>
    <author>tc={d2f2b39a-e512-44b7-bda1-5a078eec86ca}</author>
    <author>tc={884fbd05-d086-419c-b2c8-612a80dc2261}</author>
    <author>tc={87c48287-2e70-4b8c-b028-acb341d8af72}</author>
    <author>tc={665fc415-3059-4ec7-bbe0-e215d60a1c34}</author>
    <author>tc={06ac91fd-3a5d-478d-b36c-44e591e20ef1}</author>
    <author>tc={68a2af25-c09d-47d9-af34-09e3e0b40e3d}</author>
    <author>tc={8c4fcb7f-06fe-447c-b2cf-30a4b11f89af}</author>
    <author>tc={cc85d766-b7b4-493d-aab5-7af6804a9d3a}</author>
    <author>tc={2b10f932-aca5-492b-b0e8-3080645ee6ea}</author>
    <author>tc={45192a45-c7aa-42ff-9758-91bd38b927d5}</author>
    <author>tc={655afdbd-1bf4-4d02-b23e-ff452ff074c2}</author>
    <author>tc={d2148e20-bc9a-4eb6-9ad3-19fa5d1dd53d}</author>
    <author>tc={12fb02a3-c22a-4d19-a94c-96003432fdf0}</author>
    <author>tc={a9ffef21-54a7-4b35-a7f7-860f70dc5b25}</author>
    <author>tc={604cf4c9-dc67-4b2e-b052-c1a2cb7d6062}</author>
  </authors>
  <commentList>
    <comment ref="CP2" authorId="0" shapeId="0" xr:uid="{B02BF771-C7E4-4DC6-BD8B-0B5E40B2C1E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Férié France</t>
      </text>
    </comment>
    <comment ref="CW2" authorId="1" shapeId="0" xr:uid="{09F7E8A3-C589-4C21-B329-AADD44F6587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Férié Maroc</t>
      </text>
    </comment>
    <comment ref="GH2" authorId="2" shapeId="0" xr:uid="{A7EFF18C-C9FF-49F2-A2B2-DED0D492F67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Passage en heure GMT</t>
      </text>
    </comment>
    <comment ref="AU7" authorId="3" shapeId="0" xr:uid="{10529858-1369-49C0-B348-776001E4450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En prise d'appel à partir de 5h</t>
      </text>
    </comment>
    <comment ref="BB7" authorId="4" shapeId="0" xr:uid="{AF72BFF3-EF83-4A5E-A25C-E778A8994DD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FORMATION</t>
      </text>
    </comment>
    <comment ref="CO7" authorId="5" shapeId="0" xr:uid="{7DBC9353-719F-4291-A536-73BF602B4B4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TT</t>
      </text>
    </comment>
    <comment ref="CP7" authorId="6" shapeId="0" xr:uid="{B897E145-953B-4AA8-A441-AB1AEDA7412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TT</t>
      </text>
    </comment>
    <comment ref="EF7" authorId="7" shapeId="0" xr:uid="{5AF0348C-0BB0-4048-9671-BE9FF4EDC60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Formation NEW CRF 11h-15h</t>
      </text>
    </comment>
    <comment ref="BB8" authorId="8" shapeId="0" xr:uid="{973D0754-F44E-4BD0-B60F-8F9E9E34CE2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FORMATION</t>
      </text>
    </comment>
    <comment ref="DQ8" authorId="9" shapeId="0" xr:uid="{EC6105F6-D386-4BCD-B23A-C6F15211DAA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Formation New CRF 14h-16h</t>
      </text>
    </comment>
    <comment ref="DR8" authorId="10" shapeId="0" xr:uid="{272AD280-F85E-4FFC-BF4D-415CAD80A47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Formation New CRF 14h-16h</t>
      </text>
    </comment>
    <comment ref="DS8" authorId="11" shapeId="0" xr:uid="{699E69F8-36D5-4621-AA6B-C12D34C79AC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Formation New CRF 14h-16h</t>
      </text>
    </comment>
    <comment ref="GP8" authorId="12" shapeId="0" xr:uid="{4C343FDB-E01C-4A34-95B4-3BA8FC5D1F0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Départ 14h</t>
      </text>
    </comment>
    <comment ref="JO8" authorId="13" shapeId="0" xr:uid="{2E258A92-4655-4520-8CF4-335F32961D7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 1H</t>
      </text>
    </comment>
    <comment ref="EF9" authorId="14" shapeId="0" xr:uid="{A5D93499-7CE2-4910-B762-5E1F2A7F4C9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Formation NEW CRF 14h-18h</t>
      </text>
    </comment>
    <comment ref="BA10" authorId="15" shapeId="0" xr:uid="{00000000-0006-0000-0300-000001000000}">
      <text>
        <r>
          <rPr>
            <sz val="10"/>
            <color rgb="FF000000"/>
            <rFont val="Arial"/>
            <scheme val="minor"/>
          </rPr>
          <t>changement de planning 
agent planifié a 5h arrivé a 3h</t>
        </r>
      </text>
    </comment>
    <comment ref="DJ10" authorId="16" shapeId="0" xr:uid="{129AE57D-1C53-46DC-9E4B-0C51998926B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Formation New CRF 14h-16h</t>
      </text>
    </comment>
    <comment ref="DN10" authorId="17" shapeId="0" xr:uid="{2DF0E254-EDBF-4442-95DD-FE31F6EDD57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Formation New CRF 14h30-16h30</t>
      </text>
    </comment>
    <comment ref="DY10" authorId="18" shapeId="0" xr:uid="{454E4DA4-3256-4C45-8CDA-E4C82910F26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Othmane heure sup</t>
      </text>
    </comment>
    <comment ref="DJ11" authorId="19" shapeId="0" xr:uid="{4A5D0FDC-1177-4238-AE08-F17E632C0D9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Formation New CRF</t>
      </text>
    </comment>
    <comment ref="EF11" authorId="20" shapeId="0" xr:uid="{F4C26BF7-B801-44FE-98BE-ED141369923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Formation NEW CRF 13h-17</t>
      </text>
    </comment>
    <comment ref="GS12" authorId="21" shapeId="0" xr:uid="{972ED006-C42D-415F-AA3A-C984971DD4B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Départ à 13h</t>
      </text>
    </comment>
    <comment ref="HD12" authorId="22" shapeId="0" xr:uid="{D2F2B39A-E512-44B7-BDA1-5A078EEC86C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Congé du 9-03 au 22-03</t>
      </text>
    </comment>
    <comment ref="DJ13" authorId="23" shapeId="0" xr:uid="{884FBD05-D086-419C-B2C8-612A80DC226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Formation New CRF 14h-16h</t>
      </text>
    </comment>
    <comment ref="DN13" authorId="24" shapeId="0" xr:uid="{87C48287-2E70-4B8C-B028-ACB341D8AF7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Formation New CRF 14h30-16h30</t>
      </text>
    </comment>
    <comment ref="DR13" authorId="25" shapeId="0" xr:uid="{665FC415-3059-4EC7-BBE0-E215D60A1C3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Formation New CRF 14h-16h</t>
      </text>
    </comment>
    <comment ref="DS13" authorId="26" shapeId="0" xr:uid="{06AC91FD-3A5D-478D-B36C-44E591E20EF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Formation New CRF 14h-16h</t>
      </text>
    </comment>
    <comment ref="DQ14" authorId="27" shapeId="0" xr:uid="{68A2AF25-C09D-47D9-AF34-09E3E0B40E3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Formation New CRF 14h-16h</t>
      </text>
    </comment>
    <comment ref="DR14" authorId="28" shapeId="0" xr:uid="{8C4FCB7F-06FE-447C-B2CF-30A4B11F89A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Formation New CRF 14h-16h</t>
      </text>
    </comment>
    <comment ref="DS14" authorId="29" shapeId="0" xr:uid="{CC85D766-B7B4-493D-AAB5-7AF6804A9D3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Formation New CRF 14h-16h</t>
      </text>
    </comment>
    <comment ref="IF14" authorId="30" shapeId="0" xr:uid="{2B10F932-ACA5-492B-B0E8-3080645EE6E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Congé</t>
      </text>
    </comment>
    <comment ref="DN15" authorId="31" shapeId="0" xr:uid="{45192A45-C7AA-42FF-9758-91BD38B927D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Formation New CRF 11h-13h</t>
      </text>
    </comment>
    <comment ref="DO15" authorId="32" shapeId="0" xr:uid="{655AFDBD-1BF4-4D02-B23E-FF452FF074C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Formation New CRF 11h-13h</t>
      </text>
    </comment>
    <comment ref="DR16" authorId="33" shapeId="0" xr:uid="{D2148E20-BC9A-4EB6-9AD3-19FA5D1DD53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Formation New CRF 14h-16h</t>
      </text>
    </comment>
    <comment ref="DS16" authorId="34" shapeId="0" xr:uid="{12FB02A3-C22A-4D19-A94C-96003432FDF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Formation New CRF 14h-16h</t>
      </text>
    </comment>
    <comment ref="DJ18" authorId="35" shapeId="0" xr:uid="{A9FFEF21-54A7-4B35-A7F7-860F70DC5B2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Formation New CRF 14h-16h</t>
      </text>
    </comment>
    <comment ref="DN18" authorId="36" shapeId="0" xr:uid="{604CF4C9-DC67-4B2E-B052-C1A2CB7D606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Formation New CRF 14h30-16h30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tc={5f464058-39b9-413b-ace8-f891d0c04862}</author>
    <author>tc={2dcc8e5d-b8f3-4ef0-9c07-d4d60c95bbf0}</author>
    <author>tc={5b4f93a7-6901-4447-ba0d-62c332f88f3b}</author>
  </authors>
  <commentList>
    <comment ref="AT2" authorId="0" shapeId="0" xr:uid="{5F464058-39B9-413B-ACE8-F891D0C0486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Férié France</t>
      </text>
    </comment>
    <comment ref="BA2" authorId="1" shapeId="0" xr:uid="{2DCC8E5D-B8F3-4EF0-9C07-D4D60C95BBF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Férié Maroc</t>
      </text>
    </comment>
    <comment ref="AT3" authorId="2" shapeId="0" xr:uid="{5B4F93A7-6901-4447-BA0D-62C332F88F3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tc={c0d9ac14-e3a7-4a08-bd66-b1b9aff44f58}</author>
    <author>tc={4c536dab-63a5-4d05-9105-89111ef21319}</author>
    <author>tc={1478883a-44c6-49e5-b7a7-28a5aea55d1f}</author>
    <author/>
    <author>tc={f57eb69d-66c0-4d5e-929f-65864fcf571f}</author>
    <author>tc={49912597-f53b-42e3-8c3b-67f88f543148}</author>
    <author>tc={64fff64e-6c59-4645-8025-fee2711747d9}</author>
    <author>tc={75b079f3-7d23-4df6-8252-99f65c417542}</author>
    <author>tc={66f7528d-3228-4973-9e9c-5931a0ad3075}</author>
    <author>tc={a05b610c-7b9b-423c-9ffe-c4f105b10dc8}</author>
    <author>tc={5d13509a-3d53-412d-91a9-45d46ad82707}</author>
    <author>tc={f84412a5-c0bb-4f71-ab9b-0b3881c60cb7}</author>
    <author>tc={71dd0bf1-5e8e-484d-ba33-61617993ac14}</author>
    <author>tc={b5da7642-7264-4700-8542-a28f9b4c5479}</author>
    <author>tc={c079690e-ff83-4712-9632-671d27a5d68d}</author>
    <author>tc={85c7cfc4-9f1f-4c80-8b60-141b7dbb8664}</author>
    <author>tc={189de588-a6d4-463a-92ed-b06fe5465fd8}</author>
    <author>tc={93c0260e-d8a0-4382-abf1-768631c7fe20}</author>
    <author>tc={09631556-4681-4478-ab40-b2162012b32a}</author>
    <author>tc={9eda0dae-52d0-4bcd-8b2d-afe0272d3d08}</author>
    <author>tc={6ec353a1-76ad-4a0f-b615-1d43c50f06a9}</author>
    <author>tc={aa3808f8-28fe-42fb-9a22-b9313e4a9d30}</author>
    <author>tc={ff94bdb3-814c-458f-aa08-c4a4f6ccf410}</author>
    <author>tc={1a4eeea2-a289-476d-8b14-f70e051d4272}</author>
    <author>tc={274fd52d-a820-4a72-b5de-7103040ff1e3}</author>
    <author>tc={0a803a99-a6b9-49b0-ad7c-70e139590490}</author>
    <author>tc={f6e39305-7576-4bb1-8ba8-d8815a4007a9}</author>
    <author>tc={7e7d4a74-54d1-41e5-a3c0-70425a9ee1e6}</author>
    <author>tc={d0b90698-fd75-44a6-b806-c527ea4ff711}</author>
    <author>tc={23a05326-5f90-472d-98cf-92214ea5ddc2}</author>
    <author>tc={c85792de-c269-40a9-b1ab-7b0b54cbee0c}</author>
    <author>tc={0f11942c-d0e3-4ba1-9210-1b12240e63aa}</author>
    <author>tc={af959063-c1c3-481b-b724-ba39340691bc}</author>
    <author>tc={5ca63c3c-08fb-4eed-bb52-9e44ee9ab2a5}</author>
    <author>tc={9451a568-2f4f-47cd-8929-28803cb1e2e4}</author>
    <author>tc={f31e8a4e-f0c8-4c3d-bb9c-a1f50f5a859e}</author>
    <author>tc={75c03903-621f-463e-8e17-5df785233ce0}</author>
    <author>tc={6d1c7a55-afe1-49d7-bf57-89efbf2e63ba}</author>
    <author>tc={b116c1fa-1a8e-41f6-9960-22ac7cbedb0c}</author>
    <author>tc={00805792-5567-4821-818e-d8bde7804a45}</author>
    <author>tc={486d4d74-4fea-4d30-ab18-a44729e8dba0}</author>
    <author>tc={6ec9e1be-cfb4-4c91-9190-15bdc0e4fcb3}</author>
    <author>tc={e7dd329b-4edf-4ac1-b8c0-c246d9b485dd}</author>
    <author>tc={9af20503-5bec-4537-8a40-4591c457617e}</author>
    <author>tc={394bce76-8753-45fc-838e-4f7b1225fdd0}</author>
    <author>tc={6a1c2d3b-09a3-4f96-9a10-a65bb6b8a7b5}</author>
    <author>tc={fe8b202b-4d1e-45b6-a440-dd47c68d15db}</author>
    <author>tc={02eef111-4ded-4e7a-9aac-f90ca0079847}</author>
    <author>tc={451c456f-377e-4105-a4b5-eac0123ef531}</author>
    <author>tc={5a86cd07-54e8-4467-917a-8ec4fe82e522}</author>
    <author>tc={057f4243-1152-46cd-a057-40ce0966ebab}</author>
    <author>tc={350d543e-e065-4800-acd1-0d8c5f8d9282}</author>
    <author>tc={bd958faa-44b8-441f-842d-3a29dbec9f26}</author>
    <author>tc={324455ef-46f0-4609-9413-b61ca3d45897}</author>
    <author>tc={2165233c-b320-4574-b495-f42b731ba94d}</author>
    <author>tc={93fc690e-d404-4aa2-89f5-803868bd6c4f}</author>
    <author>tc={10b893b2-248a-4d56-9261-786116790534}</author>
    <author>tc={5f1aef20-c4ff-4e65-8a21-ab7acb534408}</author>
    <author>tc={0c93a28e-faab-4362-942f-aad9170624ec}</author>
    <author>tc={94f3c939-1a56-4753-bf5b-0d13e48dd9c2}</author>
    <author>tc={2aef0d0e-a54d-4784-92ac-d1bbe4c2e761}</author>
    <author>tc={95e3bbcb-4499-499f-b779-65df5c4fc1c3}</author>
    <author>tc={845c72cc-79ec-4b66-8ef3-5557a8905b3d}</author>
    <author>tc={83479c83-c24f-4ed6-af82-901e63469dc5}</author>
    <author>tc={2bf012cf-9b37-4f69-93de-487f2c5b3d10}</author>
    <author>tc={6d66a619-bd24-479d-9d1b-14f880fbb7d4}</author>
    <author>tc={055bc9cd-3adb-4c53-9205-5429d2517374}</author>
    <author>tc={e3fa88f2-5d31-475f-a065-d6d68bcf017b}</author>
    <author>tc={aac66ece-9513-4684-973e-951f6b1d742d}</author>
    <author>tc={e63eba6b-2b5c-44e5-9c6c-b4317b516ec9}</author>
    <author>tc={089856fc-f2c7-4782-9d80-50a3aff47ded}</author>
    <author>tc={b64768b2-650b-4980-b43b-cd34169955c0}</author>
    <author>tc={b4f8f9ac-4cb9-4bc4-b4f5-488bd2ccd017}</author>
    <author>tc={b12f4c8b-9d8c-457d-b356-28601d11f026}</author>
    <author>tc={ea8d9cdf-f466-4659-9ddd-9629fd0efa33}</author>
  </authors>
  <commentList>
    <comment ref="CP2" authorId="0" shapeId="0" xr:uid="{C0D9AC14-E3A7-4A08-BD66-B1B9AFF44F5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Férié France</t>
      </text>
    </comment>
    <comment ref="CW2" authorId="1" shapeId="0" xr:uid="{4C536DAB-63A5-4D05-9105-89111EF2131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Férié Maroc</t>
      </text>
    </comment>
    <comment ref="GH2" authorId="2" shapeId="0" xr:uid="{1478883A-44C6-49E5-B7A7-28A5AEA55D1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Passage en heure GMT</t>
      </text>
    </comment>
    <comment ref="BV10" authorId="3" shapeId="0" xr:uid="{00000000-0006-0000-0500-000002000000}">
      <text>
        <r>
          <rPr>
            <sz val="10"/>
            <color rgb="FF000000"/>
            <rFont val="Arial"/>
            <scheme val="minor"/>
          </rPr>
          <t>TT</t>
        </r>
      </text>
    </comment>
    <comment ref="CK10" authorId="3" shapeId="0" xr:uid="{00000000-0006-0000-0500-000003000000}">
      <text>
        <r>
          <rPr>
            <sz val="10"/>
            <color rgb="FF000000"/>
            <rFont val="Arial"/>
            <scheme val="minor"/>
          </rPr>
          <t xml:space="preserve">A travaillé de 4 a 8hrs seulement . Depart anticipé validé avec Malika </t>
        </r>
      </text>
    </comment>
    <comment ref="CQ10" authorId="3" shapeId="0" xr:uid="{00000000-0006-0000-0500-000004000000}">
      <text>
        <r>
          <rPr>
            <sz val="10"/>
            <color rgb="FF000000"/>
            <rFont val="Arial"/>
            <scheme val="minor"/>
          </rPr>
          <t>Retard 15 pause dejeuner</t>
        </r>
      </text>
    </comment>
    <comment ref="CV10" authorId="3" shapeId="0" xr:uid="{00000000-0006-0000-0500-000005000000}">
      <text>
        <r>
          <rPr>
            <sz val="10"/>
            <color rgb="FF000000"/>
            <rFont val="Arial"/>
            <scheme val="minor"/>
          </rPr>
          <t>Retard pause dej 12 mns</t>
        </r>
      </text>
    </comment>
    <comment ref="CW10" authorId="3" shapeId="0" xr:uid="{00000000-0006-0000-0500-000006000000}">
      <text>
        <r>
          <rPr>
            <sz val="10"/>
            <color rgb="FF000000"/>
            <rFont val="Arial"/>
            <scheme val="minor"/>
          </rPr>
          <t xml:space="preserve">Retard pause dej 11 mns </t>
        </r>
      </text>
    </comment>
    <comment ref="CX10" authorId="3" shapeId="0" xr:uid="{00000000-0006-0000-0500-000007000000}">
      <text>
        <r>
          <rPr>
            <sz val="10"/>
            <color rgb="FF000000"/>
            <rFont val="Arial"/>
            <scheme val="minor"/>
          </rPr>
          <t>Retard 12 mn pause dej</t>
        </r>
      </text>
    </comment>
    <comment ref="CY10" authorId="3" shapeId="0" xr:uid="{00000000-0006-0000-0500-000008000000}">
      <text>
        <r>
          <rPr>
            <sz val="10"/>
            <color rgb="FF000000"/>
            <rFont val="Arial"/>
            <scheme val="minor"/>
          </rPr>
          <t xml:space="preserve">Retard 9 mns a la pause dej </t>
        </r>
      </text>
    </comment>
    <comment ref="GK10" authorId="3" shapeId="0" xr:uid="{00000000-0006-0000-0500-000009000000}">
      <text>
        <r>
          <rPr>
            <sz val="10"/>
            <color rgb="FF000000"/>
            <rFont val="Arial"/>
            <scheme val="minor"/>
          </rPr>
          <t>L'agent était planifié a 5hrs . Message recu a 7:10am</t>
        </r>
      </text>
    </comment>
    <comment ref="O11" authorId="4" shapeId="0" xr:uid="{F57EB69D-66C0-4D5E-929F-65864FCF571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N2</t>
      </text>
    </comment>
    <comment ref="GG11" authorId="3" shapeId="0" xr:uid="{00000000-0006-0000-0500-00000A000000}">
      <text>
        <r>
          <rPr>
            <sz val="10"/>
            <color rgb="FF000000"/>
            <rFont val="Arial"/>
            <scheme val="minor"/>
          </rPr>
          <t xml:space="preserve">Sortie maladie a 13:30 </t>
        </r>
      </text>
    </comment>
    <comment ref="O12" authorId="5" shapeId="0" xr:uid="{49912597-F53B-42E3-8C3B-67F88F54314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N2</t>
      </text>
    </comment>
    <comment ref="BZ12" authorId="6" shapeId="0" xr:uid="{64FFF64E-6C59-4645-8025-FEE2711747D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TT validé. TRSP non dispo</t>
      </text>
    </comment>
    <comment ref="CP12" authorId="3" shapeId="0" xr:uid="{00000000-0006-0000-0500-00000B000000}">
      <text>
        <r>
          <rPr>
            <sz val="10"/>
            <color rgb="FF000000"/>
            <rFont val="Arial"/>
            <scheme val="minor"/>
          </rPr>
          <t>Retard 15mns</t>
        </r>
      </text>
    </comment>
    <comment ref="DC12" authorId="3" shapeId="0" xr:uid="{00000000-0006-0000-0500-00000C000000}">
      <text>
        <r>
          <rPr>
            <sz val="10"/>
            <color rgb="FF000000"/>
            <rFont val="Arial"/>
            <scheme val="minor"/>
          </rPr>
          <t xml:space="preserve">Retard 35 mns </t>
        </r>
      </text>
    </comment>
    <comment ref="O13" authorId="7" shapeId="0" xr:uid="{75B079F3-7D23-4DF6-8252-99F65C41754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N2</t>
      </text>
    </comment>
    <comment ref="CP13" authorId="3" shapeId="0" xr:uid="{00000000-0006-0000-0500-00000D000000}">
      <text>
        <r>
          <rPr>
            <sz val="10"/>
            <color rgb="FF000000"/>
            <rFont val="Arial"/>
            <scheme val="minor"/>
          </rPr>
          <t xml:space="preserve">Retard 23 mns </t>
        </r>
      </text>
    </comment>
    <comment ref="CR13" authorId="3" shapeId="0" xr:uid="{00000000-0006-0000-0500-00000E000000}">
      <text>
        <r>
          <rPr>
            <sz val="10"/>
            <color rgb="FF000000"/>
            <rFont val="Arial"/>
            <scheme val="minor"/>
          </rPr>
          <t>Retard 15 mns</t>
        </r>
      </text>
    </comment>
    <comment ref="BB14" authorId="8" shapeId="0" xr:uid="{66F7528D-3228-4973-9E9C-5931A0AD307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Télétravail</t>
      </text>
    </comment>
    <comment ref="CE14" authorId="3" shapeId="0" xr:uid="{00000000-0006-0000-0500-00000F000000}">
      <text>
        <r>
          <rPr>
            <sz val="10"/>
            <color rgb="FF000000"/>
            <rFont val="Arial"/>
            <scheme val="minor"/>
          </rPr>
          <t>Retard  50 mns</t>
        </r>
      </text>
    </comment>
    <comment ref="CO14" authorId="3" shapeId="0" xr:uid="{00000000-0006-0000-0500-000010000000}">
      <text>
        <r>
          <rPr>
            <sz val="10"/>
            <color rgb="FF000000"/>
            <rFont val="Arial"/>
            <scheme val="minor"/>
          </rPr>
          <t xml:space="preserve">Retard 1hr 40 mns </t>
        </r>
      </text>
    </comment>
    <comment ref="CS14" authorId="3" shapeId="0" xr:uid="{00000000-0006-0000-0500-000011000000}">
      <text>
        <r>
          <rPr>
            <sz val="10"/>
            <color rgb="FF000000"/>
            <rFont val="Arial"/>
            <scheme val="minor"/>
          </rPr>
          <t xml:space="preserve">Retard 16 mns </t>
        </r>
      </text>
    </comment>
    <comment ref="DC14" authorId="3" shapeId="0" xr:uid="{00000000-0006-0000-0500-000012000000}">
      <text>
        <r>
          <rPr>
            <sz val="10"/>
            <color rgb="FF000000"/>
            <rFont val="Arial"/>
            <scheme val="minor"/>
          </rPr>
          <t xml:space="preserve">Retard 30 mns </t>
        </r>
      </text>
    </comment>
    <comment ref="FT14" authorId="3" shapeId="0" xr:uid="{00000000-0006-0000-0500-000013000000}">
      <text>
        <r>
          <rPr>
            <sz val="10"/>
            <color rgb="FF000000"/>
            <rFont val="Arial"/>
            <scheme val="minor"/>
          </rPr>
          <t>Changement avec Achraf</t>
        </r>
      </text>
    </comment>
    <comment ref="FU14" authorId="3" shapeId="0" xr:uid="{00000000-0006-0000-0500-000014000000}">
      <text>
        <r>
          <rPr>
            <sz val="10"/>
            <color rgb="FF000000"/>
            <rFont val="Arial"/>
            <scheme val="minor"/>
          </rPr>
          <t>Retard 1:30hrs</t>
        </r>
      </text>
    </comment>
    <comment ref="GM14" authorId="9" shapeId="0" xr:uid="{A05B610C-7B9B-423C-9FFE-C4F105B10DC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 une heure</t>
      </text>
    </comment>
    <comment ref="JC14" authorId="10" shapeId="0" xr:uid="{5D13509A-3D53-412D-91A9-45D46AD8270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 15 min</t>
      </text>
    </comment>
    <comment ref="CL17" authorId="3" shapeId="0" xr:uid="{00000000-0006-0000-0500-000015000000}">
      <text>
        <r>
          <rPr>
            <sz val="10"/>
            <color rgb="FF000000"/>
            <rFont val="Arial"/>
            <scheme val="minor"/>
          </rPr>
          <t xml:space="preserve">Retard 20 mns </t>
        </r>
      </text>
    </comment>
    <comment ref="CV17" authorId="3" shapeId="0" xr:uid="{00000000-0006-0000-0500-000016000000}">
      <text>
        <r>
          <rPr>
            <sz val="10"/>
            <color rgb="FF000000"/>
            <rFont val="Arial"/>
            <scheme val="minor"/>
          </rPr>
          <t>Retard 20 mns le matin.
Retard 17 mns a la pause dejeuner</t>
        </r>
      </text>
    </comment>
    <comment ref="CW17" authorId="3" shapeId="0" xr:uid="{00000000-0006-0000-0500-000017000000}">
      <text>
        <r>
          <rPr>
            <sz val="10"/>
            <color rgb="FF000000"/>
            <rFont val="Arial"/>
            <scheme val="minor"/>
          </rPr>
          <t>Retard 18 mns</t>
        </r>
      </text>
    </comment>
    <comment ref="FT17" authorId="3" shapeId="0" xr:uid="{00000000-0006-0000-0500-000018000000}">
      <text>
        <r>
          <rPr>
            <sz val="10"/>
            <color rgb="FF000000"/>
            <rFont val="Arial"/>
            <scheme val="minor"/>
          </rPr>
          <t>Changement avec Achraf</t>
        </r>
      </text>
    </comment>
    <comment ref="FZ17" authorId="11" shapeId="0" xr:uid="{F84412A5-C0BB-4F71-AB9B-0B3881C60CB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1H</t>
      </text>
    </comment>
    <comment ref="CP18" authorId="3" shapeId="0" xr:uid="{00000000-0006-0000-0500-000019000000}">
      <text>
        <r>
          <rPr>
            <sz val="10"/>
            <color rgb="FF000000"/>
            <rFont val="Arial"/>
            <scheme val="minor"/>
          </rPr>
          <t>Retard 30 mns</t>
        </r>
      </text>
    </comment>
    <comment ref="CQ18" authorId="3" shapeId="0" xr:uid="{00000000-0006-0000-0500-00001A000000}">
      <text>
        <r>
          <rPr>
            <sz val="10"/>
            <color rgb="FF000000"/>
            <rFont val="Arial"/>
            <scheme val="minor"/>
          </rPr>
          <t>Retard 15 mns</t>
        </r>
      </text>
    </comment>
    <comment ref="CR18" authorId="3" shapeId="0" xr:uid="{00000000-0006-0000-0500-00001B000000}">
      <text>
        <r>
          <rPr>
            <sz val="10"/>
            <color rgb="FF000000"/>
            <rFont val="Arial"/>
            <scheme val="minor"/>
          </rPr>
          <t xml:space="preserve">Retard 30 mns </t>
        </r>
      </text>
    </comment>
    <comment ref="CV18" authorId="3" shapeId="0" xr:uid="{00000000-0006-0000-0500-00001C000000}">
      <text>
        <r>
          <rPr>
            <sz val="10"/>
            <color rgb="FF000000"/>
            <rFont val="Arial"/>
            <scheme val="minor"/>
          </rPr>
          <t xml:space="preserve">Retard 13 mns sur la pause dejeuner </t>
        </r>
      </text>
    </comment>
    <comment ref="FT18" authorId="3" shapeId="0" xr:uid="{00000000-0006-0000-0500-00001D000000}">
      <text>
        <r>
          <rPr>
            <sz val="10"/>
            <color rgb="FF000000"/>
            <rFont val="Arial"/>
            <scheme val="minor"/>
          </rPr>
          <t>Changement avec Nabil J</t>
        </r>
      </text>
    </comment>
    <comment ref="GS18" authorId="3" shapeId="0" xr:uid="{00000000-0006-0000-0500-00001E000000}">
      <text>
        <r>
          <rPr>
            <sz val="10"/>
            <color rgb="FF000000"/>
            <rFont val="Arial"/>
            <scheme val="minor"/>
          </rPr>
          <t xml:space="preserve">Probleme transport . Venu sur site à 8:30 . </t>
        </r>
      </text>
    </comment>
    <comment ref="FC19" authorId="3" shapeId="0" xr:uid="{00000000-0006-0000-0500-00001F000000}">
      <text>
        <r>
          <rPr>
            <sz val="10"/>
            <color rgb="FF000000"/>
            <rFont val="Arial"/>
            <scheme val="minor"/>
          </rPr>
          <t>Retard 1heure 10 mns</t>
        </r>
      </text>
    </comment>
    <comment ref="GR19" authorId="3" shapeId="0" xr:uid="{00000000-0006-0000-0500-000020000000}">
      <text>
        <r>
          <rPr>
            <sz val="10"/>
            <color rgb="FF000000"/>
            <rFont val="Arial"/>
            <scheme val="minor"/>
          </rPr>
          <t>Retard 1hr 25 minutes</t>
        </r>
      </text>
    </comment>
    <comment ref="BY22" authorId="12" shapeId="0" xr:uid="{71DD0BF1-5E8E-484D-BA33-61617993AC1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 1 heure</t>
      </text>
    </comment>
    <comment ref="IY22" authorId="13" shapeId="0" xr:uid="{B5DA7642-7264-4700-8542-A28F9B4C547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2h</t>
      </text>
    </comment>
    <comment ref="DQ27" authorId="14" shapeId="0" xr:uid="{C079690E-FF83-4712-9632-671D27A5D68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ABS</t>
      </text>
    </comment>
    <comment ref="JJ27" authorId="15" shapeId="0" xr:uid="{85C7CFC4-9F1F-4C80-8B60-141B7DBB866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1h15</t>
      </text>
    </comment>
    <comment ref="CQ28" authorId="16" shapeId="0" xr:uid="{189DE588-A6D4-463A-92ED-B06FE5465FD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 de 2h30</t>
      </text>
    </comment>
    <comment ref="CR28" authorId="17" shapeId="0" xr:uid="{93C0260E-D8A0-4382-ABF1-768631C7FE2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 de 1h15</t>
      </text>
    </comment>
    <comment ref="DG28" authorId="18" shapeId="0" xr:uid="{09631556-4681-4478-AB40-B2162012B32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 15min</t>
      </text>
    </comment>
    <comment ref="DJ28" authorId="19" shapeId="0" xr:uid="{9EDA0DAE-52D0-4BCD-8B2D-AFE0272D3D0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 de 3h45</t>
      </text>
    </comment>
    <comment ref="DM28" authorId="20" shapeId="0" xr:uid="{6EC353A1-76AD-4A0F-B615-1D43C50F06A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1h</t>
      </text>
    </comment>
    <comment ref="DT28" authorId="21" shapeId="0" xr:uid="{AA3808F8-28FE-42FB-9A22-B9313E4A9D3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5h20 (effectué en TT)</t>
      </text>
    </comment>
    <comment ref="FG28" authorId="22" shapeId="0" xr:uid="{FF94BDB3-814C-458F-AA08-C4A4F6CCF41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2h</t>
      </text>
    </comment>
    <comment ref="FH28" authorId="23" shapeId="0" xr:uid="{1A4EEEA2-A289-476D-8B14-F70E051D427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1h15</t>
      </text>
    </comment>
    <comment ref="FI28" authorId="24" shapeId="0" xr:uid="{274FD52D-A820-4A72-B5DE-7103040FF1E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20min</t>
      </text>
    </comment>
    <comment ref="FK28" authorId="25" shapeId="0" xr:uid="{0A803A99-A6B9-49B0-AD7C-70E13959049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1H15min</t>
      </text>
    </comment>
    <comment ref="FN28" authorId="26" shapeId="0" xr:uid="{F6E39305-7576-4BB1-8BA8-D8815A4007A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25min</t>
      </text>
    </comment>
    <comment ref="FO28" authorId="27" shapeId="0" xr:uid="{7E7D4A74-54D1-41E5-A3C0-70425A9EE1E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1h5min</t>
      </text>
    </comment>
    <comment ref="HF28" authorId="28" shapeId="0" xr:uid="{D0B90698-FD75-44A6-B806-C527EA4FF71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30min</t>
      </text>
    </comment>
    <comment ref="HN28" authorId="29" shapeId="0" xr:uid="{23A05326-5F90-472D-98CF-92214EA5DDC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45min</t>
      </text>
    </comment>
    <comment ref="IG28" authorId="30" shapeId="0" xr:uid="{C85792DE-C269-40A9-B1AB-7B0B54CBEE0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3h30</t>
      </text>
    </comment>
    <comment ref="IH28" authorId="31" shapeId="0" xr:uid="{0F11942C-D0E3-4BA1-9210-1B12240E63A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4h</t>
      </text>
    </comment>
    <comment ref="II28" authorId="32" shapeId="0" xr:uid="{AF959063-C1C3-481B-B724-BA39340691B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4h</t>
      </text>
    </comment>
    <comment ref="JB28" authorId="33" shapeId="0" xr:uid="{5CA63C3C-08FB-4EED-BB52-9E44EE9AB2A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 40 min</t>
      </text>
    </comment>
    <comment ref="JC28" authorId="34" shapeId="0" xr:uid="{9451A568-2F4F-47CD-8929-28803CB1E2E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2h15</t>
      </text>
    </comment>
    <comment ref="JJ28" authorId="35" shapeId="0" xr:uid="{F31E8A4E-F0C8-4C3D-BB9C-A1F50F5A859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40min</t>
      </text>
    </comment>
    <comment ref="JK28" authorId="36" shapeId="0" xr:uid="{75C03903-621F-463E-8E17-5DF785233CE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2h</t>
      </text>
    </comment>
    <comment ref="JM28" authorId="37" shapeId="0" xr:uid="{6D1C7A55-AFE1-49D7-BF57-89EFBF2E63B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4h</t>
      </text>
    </comment>
    <comment ref="JP28" authorId="38" shapeId="0" xr:uid="{B116C1FA-1A8E-41F6-9960-22AC7CBEDB0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 de 1H45min</t>
      </text>
    </comment>
    <comment ref="JK29" authorId="39" shapeId="0" xr:uid="{00805792-5567-4821-818E-D8BDE7804A4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Congé</t>
      </text>
    </comment>
    <comment ref="JL29" authorId="40" shapeId="0" xr:uid="{486D4D74-4FEA-4D30-AB18-A44729E8DBA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Congé</t>
      </text>
    </comment>
    <comment ref="FU30" authorId="41" shapeId="0" xr:uid="{6EC9E1BE-CFB4-4C91-9190-15BDC0E4FCB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Départ suite maladie à 12h30</t>
      </text>
    </comment>
    <comment ref="DR31" authorId="42" shapeId="0" xr:uid="{E7DD329B-4EDF-4AC1-B8C0-C246D9B485D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2h20</t>
      </text>
    </comment>
    <comment ref="DS31" authorId="43" shapeId="0" xr:uid="{9AF20503-5BEC-4537-8A40-4591C457617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2h30</t>
      </text>
    </comment>
    <comment ref="DT31" authorId="44" shapeId="0" xr:uid="{394BCE76-8753-45FC-838E-4F7B1225FDD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2h20</t>
      </text>
    </comment>
    <comment ref="EB31" authorId="45" shapeId="0" xr:uid="{6A1C2D3B-09A3-4F96-9A10-A65BB6B8A7B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2h</t>
      </text>
    </comment>
    <comment ref="EL31" authorId="46" shapeId="0" xr:uid="{FE8B202B-4D1E-45B6-A440-DD47C68D15D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55min</t>
      </text>
    </comment>
    <comment ref="EM31" authorId="47" shapeId="0" xr:uid="{02EEF111-4DED-4E7A-9AAC-F90CA007984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30min</t>
      </text>
    </comment>
    <comment ref="FB31" authorId="48" shapeId="0" xr:uid="{451C456F-377E-4105-A4B5-EAC0123EF53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3h</t>
      </text>
    </comment>
    <comment ref="FH31" authorId="49" shapeId="0" xr:uid="{5A86CD07-54E8-4467-917A-8EC4FE82E52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55min</t>
      </text>
    </comment>
    <comment ref="FI31" authorId="50" shapeId="0" xr:uid="{057F4243-1152-46CD-A057-40CE0966EBA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1h20</t>
      </text>
    </comment>
    <comment ref="GD31" authorId="51" shapeId="0" xr:uid="{350D543E-E065-4800-ACD1-0D8C5F8D928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1h50</t>
      </text>
    </comment>
    <comment ref="GF31" authorId="52" shapeId="0" xr:uid="{BD958FAA-44B8-441F-842D-3A29DBEC9F2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1h40</t>
      </text>
    </comment>
    <comment ref="GM31" authorId="53" shapeId="0" xr:uid="{324455EF-46F0-4609-9413-B61CA3D4589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2h30</t>
      </text>
    </comment>
    <comment ref="GS31" authorId="54" shapeId="0" xr:uid="{2165233C-B320-4574-B495-F42B731BA94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1h50</t>
      </text>
    </comment>
    <comment ref="GW31" authorId="55" shapeId="0" xr:uid="{93FC690E-D404-4AA2-89F5-803868BD6C4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1h15min</t>
      </text>
    </comment>
    <comment ref="GX31" authorId="56" shapeId="0" xr:uid="{10B893B2-248A-4D56-9261-78611679053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50min</t>
      </text>
    </comment>
    <comment ref="GY31" authorId="57" shapeId="0" xr:uid="{5F1AEF20-C4FF-4E65-8A21-AB7ACB53440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20min</t>
      </text>
    </comment>
    <comment ref="HD31" authorId="58" shapeId="0" xr:uid="{0C93A28E-FAAB-4362-942F-AAD9170624E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25min</t>
      </text>
    </comment>
    <comment ref="HH31" authorId="59" shapeId="0" xr:uid="{94F3C939-1A56-4753-BF5B-0D13E48DD9C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45min</t>
      </text>
    </comment>
    <comment ref="HO31" authorId="60" shapeId="0" xr:uid="{2AEF0D0E-A54D-4784-92AC-D1BBE4C2E76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1h</t>
      </text>
    </comment>
    <comment ref="IM31" authorId="61" shapeId="0" xr:uid="{95E3BBCB-4499-499F-B779-65DF5C4FC1C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  : 01h30</t>
      </text>
    </comment>
    <comment ref="IN31" authorId="62" shapeId="0" xr:uid="{845C72CC-79EC-4B66-8EF3-5557A8905B3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3H30</t>
      </text>
    </comment>
    <comment ref="IO31" authorId="63" shapeId="0" xr:uid="{83479C83-C24F-4ED6-AF82-901E63469DC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 Heure</t>
      </text>
    </comment>
    <comment ref="IQ31" authorId="64" shapeId="0" xr:uid="{2BF012CF-9B37-4F69-93DE-487F2C5B3D1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4h30
Réponse :
    Retard 5h</t>
      </text>
    </comment>
    <comment ref="IU31" authorId="65" shapeId="0" xr:uid="{6D66A619-BD24-479D-9D1B-14F880FBB7D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1h15</t>
      </text>
    </comment>
    <comment ref="JM31" authorId="66" shapeId="0" xr:uid="{055BC9CD-3ADB-4C53-9205-5429D251737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1h</t>
      </text>
    </comment>
    <comment ref="JP31" authorId="67" shapeId="0" xr:uid="{E3FA88F2-5D31-475F-A065-D6D68BCF017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45min</t>
      </text>
    </comment>
    <comment ref="EB32" authorId="68" shapeId="0" xr:uid="{AAC66ECE-9513-4684-973E-951F6B1D742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1h45</t>
      </text>
    </comment>
    <comment ref="GT32" authorId="69" shapeId="0" xr:uid="{E63EBA6B-2B5C-44E5-9C6C-B4317B516EC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20min</t>
      </text>
    </comment>
    <comment ref="HF32" authorId="70" shapeId="0" xr:uid="{089856FC-F2C7-4782-9D80-50A3AFF47DE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45min</t>
      </text>
    </comment>
    <comment ref="HT32" authorId="71" shapeId="0" xr:uid="{B64768B2-650B-4980-B43B-CD34169955C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2H</t>
      </text>
    </comment>
    <comment ref="II32" authorId="72" shapeId="0" xr:uid="{B4F8F9AC-4CB9-4BC4-B4F5-488BD2CCD01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3h</t>
      </text>
    </comment>
    <comment ref="IU32" authorId="73" shapeId="0" xr:uid="{B12F4C8B-9D8C-457D-B356-28601D11F02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Retard: 1h</t>
      </text>
    </comment>
    <comment ref="HN33" authorId="74" shapeId="0" xr:uid="{EA8D9CDF-F466-4659-9DDD-9629FD0EFA3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1h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tc={73a20aa3-19a8-4c2b-8e4c-7ebfaaf00a8c}</author>
    <author>tc={33117207-4fc6-4d4c-aa90-8855f0400fca}</author>
  </authors>
  <commentList>
    <comment ref="F185" authorId="0" shapeId="0" xr:uid="{73A20AA3-19A8-4C2B-8E4C-7EBFAAF00A8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+Heure Sup</t>
      </text>
    </comment>
    <comment ref="G185" authorId="1" shapeId="0" xr:uid="{33117207-4FC6-4D4C-AA90-8855F0400FC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+Heure Sup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tc={85623f52-3802-4714-aa5e-5e630a207e7e}</author>
    <author>tc={f5455881-d421-498b-84b6-8ca157debb05}</author>
    <author>tc={512f4afa-6d65-4b23-8f35-4f2a00e13a99}</author>
    <author>tc={e2521525-cca1-4278-836e-47c1ddf927fd}</author>
    <author>tc={679fdb64-fa74-41b2-96e3-27ff20b990ad}</author>
    <author>tc={e744a3ff-92f8-455c-986b-dbcec63a8922}</author>
  </authors>
  <commentList>
    <comment ref="B9" authorId="0" shapeId="0" xr:uid="{85623F52-3802-4714-AA5E-5E630A207E7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SPV</t>
      </text>
    </comment>
    <comment ref="B15" authorId="1" shapeId="0" xr:uid="{F5455881-D421-498B-84B6-8CA157DEBB0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TRP nn dispo</t>
      </text>
    </comment>
    <comment ref="B22" authorId="2" shapeId="0" xr:uid="{512F4AFA-6D65-4B23-8F35-4F2A00E13A9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En formation</t>
      </text>
    </comment>
    <comment ref="B23" authorId="3" shapeId="0" xr:uid="{E2521525-CCA1-4278-836E-47C1DDF927F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En formation</t>
      </text>
    </comment>
    <comment ref="B25" authorId="4" shapeId="0" xr:uid="{679FDB64-FA74-41B2-96E3-27FF20B990A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SPV</t>
      </text>
    </comment>
    <comment ref="O25" authorId="5" shapeId="0" xr:uid="{E744A3FF-92F8-455C-986B-DBCEC63A892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assister au point météo de 6h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tc={4c27d522-7b99-4f49-b827-3f056507a366}</author>
    <author>tc={5cbb0d17-4ff8-4998-9d18-f861c3fc6349}</author>
    <author>tc={fc0b899b-3813-45f8-929d-ba8a3f04dabd}</author>
    <author>tc={b37dc63c-058d-4022-bbbf-bd93dafb6e9f}</author>
    <author>tc={60d92311-bf02-4a18-8d0d-9235977184be}</author>
  </authors>
  <commentList>
    <comment ref="B7" authorId="0" shapeId="0" xr:uid="{4C27D522-7B99-4F49-B827-3F056507A36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SPV</t>
      </text>
    </comment>
    <comment ref="H7" authorId="1" shapeId="0" xr:uid="{5CBB0D17-4FF8-4998-9D18-F861C3FC634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Assister au point météo de 6h</t>
      </text>
    </comment>
    <comment ref="B9" authorId="2" shapeId="0" xr:uid="{FC0B899B-3813-45F8-929D-BA8A3F04DAB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TRP nn dispo</t>
      </text>
    </comment>
    <comment ref="B18" authorId="3" shapeId="0" xr:uid="{B37DC63C-058D-4022-BBBF-BD93DAFB6E9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TRP nn dispo</t>
      </text>
    </comment>
    <comment ref="B19" authorId="4" shapeId="0" xr:uid="{60D92311-BF02-4A18-8D0D-9235977184B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montée en compétence</t>
      </text>
    </comment>
  </commentList>
</comments>
</file>

<file path=xl/sharedStrings.xml><?xml version="1.0" encoding="utf-8"?>
<sst xmlns="http://schemas.openxmlformats.org/spreadsheetml/2006/main" count="19804" uniqueCount="517">
  <si>
    <t>BO</t>
  </si>
  <si>
    <t>FO</t>
  </si>
  <si>
    <t>OFF</t>
  </si>
  <si>
    <t>11H-20H /SCO</t>
  </si>
  <si>
    <t>11H-20H /SCO 🎧</t>
  </si>
  <si>
    <t>13:00 - 22:00</t>
  </si>
  <si>
    <t>13:00 - 22:00 🎧</t>
  </si>
  <si>
    <t>06:00 - 15:00</t>
  </si>
  <si>
    <t>05:00 - 14:00</t>
  </si>
  <si>
    <t>05:00 - 14:00 🎧</t>
  </si>
  <si>
    <t>08:00 - 17:00 🎧</t>
  </si>
  <si>
    <t>08:00 - 17:00</t>
  </si>
  <si>
    <t>09:00 - 18:00</t>
  </si>
  <si>
    <t>09:00 - 18:00🎧</t>
  </si>
  <si>
    <t>05:30 - 14:30</t>
  </si>
  <si>
    <t>03:00 - 12:00 🎧</t>
  </si>
  <si>
    <t>03:00 - 12:00</t>
  </si>
  <si>
    <t>11:00 - 20:00</t>
  </si>
  <si>
    <t>11:00 - 20:00 🎧</t>
  </si>
  <si>
    <t>ABS</t>
  </si>
  <si>
    <t>S10</t>
  </si>
  <si>
    <t>S11</t>
  </si>
  <si>
    <t>S12</t>
  </si>
  <si>
    <t>S13</t>
  </si>
  <si>
    <t>S14</t>
  </si>
  <si>
    <t>08:30➡16:00</t>
  </si>
  <si>
    <t>08:30➡16:00🏠</t>
  </si>
  <si>
    <t>Congé</t>
  </si>
  <si>
    <t>Jours fériés
2026</t>
  </si>
  <si>
    <t>Nouvel An</t>
  </si>
  <si>
    <t>Aïd al-Adha</t>
  </si>
  <si>
    <t>Fête de la Jeunesse</t>
  </si>
  <si>
    <t>Manifeste de l’Indépendance</t>
  </si>
  <si>
    <t>Nouvel An Hégirien</t>
  </si>
  <si>
    <t>Mawlid</t>
  </si>
  <si>
    <t>Semaine en cours</t>
  </si>
  <si>
    <t>Fête du Trône</t>
  </si>
  <si>
    <t>Fête de l’Unité</t>
  </si>
  <si>
    <t>Oued Ed-Dahab</t>
  </si>
  <si>
    <t>Marche Verte</t>
  </si>
  <si>
    <t>Fête du Travail</t>
  </si>
  <si>
    <t>Fête de l’Indépendance</t>
  </si>
  <si>
    <t>Semaine</t>
  </si>
  <si>
    <t>S - 16</t>
  </si>
  <si>
    <t>Yassine RABBAI</t>
  </si>
  <si>
    <t>08H00 ➡ 17H00</t>
  </si>
  <si>
    <t>Amine BABA</t>
  </si>
  <si>
    <t>5H00 ➡ 14H00</t>
  </si>
  <si>
    <t>Mouad BOUNOUAR</t>
  </si>
  <si>
    <t>S - 15</t>
  </si>
  <si>
    <t>S - 14</t>
  </si>
  <si>
    <t>05H00 ➡ 14H00🏠</t>
  </si>
  <si>
    <t>S - 13</t>
  </si>
  <si>
    <t>06H00 ➡ 15H00🏠</t>
  </si>
  <si>
    <t>06H00 ➡ 15H00</t>
  </si>
  <si>
    <t>S - 12</t>
  </si>
  <si>
    <t>5H00 ➡ 12H30🏠</t>
  </si>
  <si>
    <t>5H00 ➡ 12H30</t>
  </si>
  <si>
    <t>5H00 ➡ 14H00🏠</t>
  </si>
  <si>
    <t>08H00 ➡ 17H00🏠</t>
  </si>
  <si>
    <t>S - 11</t>
  </si>
  <si>
    <t>08H30 ➡ 16H00</t>
  </si>
  <si>
    <t>Hicham YOUSSE</t>
  </si>
  <si>
    <t>07H30 ➡ 15H00</t>
  </si>
  <si>
    <t>S - 10</t>
  </si>
  <si>
    <t>S - 9</t>
  </si>
  <si>
    <t>S - 8</t>
  </si>
  <si>
    <t>07H00 ➡ 16H00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</si>
  <si>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</si>
  <si>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</si>
  <si>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</si>
  <si>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</si>
  <si>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</si>
  <si>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</si>
  <si>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</si>
  <si>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</si>
  <si>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</si>
  <si>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</si>
  <si>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</si>
  <si>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</si>
  <si>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</si>
  <si>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</si>
  <si>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</si>
  <si>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</si>
  <si>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</si>
  <si>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</si>
  <si>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</si>
  <si>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</si>
  <si>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</si>
  <si>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</si>
  <si>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</si>
  <si>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</si>
  <si>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</si>
  <si>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</si>
  <si>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</si>
  <si>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S15</t>
  </si>
  <si>
    <t>S16</t>
  </si>
  <si>
    <t>S17</t>
  </si>
  <si>
    <t>S18</t>
  </si>
  <si>
    <t>S19</t>
  </si>
  <si>
    <t>S20</t>
  </si>
  <si>
    <t>NB ETP BCK</t>
  </si>
  <si>
    <t>Ranya Kissami</t>
  </si>
  <si>
    <t>03:00 - 12:00🎧</t>
  </si>
  <si>
    <t>08:00 - 17:00🎧</t>
  </si>
  <si>
    <t>05:00 - 14:00🎧</t>
  </si>
  <si>
    <t>06:00 - 15:00 🎧</t>
  </si>
  <si>
    <t>07:00 - 16:00 🎧</t>
  </si>
  <si>
    <t>14:00 - 23:00 🎧</t>
  </si>
  <si>
    <t>04:00 - 13:00 🎧</t>
  </si>
  <si>
    <t>FERIE</t>
  </si>
  <si>
    <t>06:00 - 15:00 🏠</t>
  </si>
  <si>
    <t>12:00 - 21:00 🎧</t>
  </si>
  <si>
    <t>10:00 - 19:00</t>
  </si>
  <si>
    <t>14:00 - 23:00</t>
  </si>
  <si>
    <t>07:00 - 16:00</t>
  </si>
  <si>
    <t>12:00 - 21:00</t>
  </si>
  <si>
    <t>12H-21H /SCO</t>
  </si>
  <si>
    <t>04:00 - 13:00</t>
  </si>
  <si>
    <t>13H00 ➡ 22H00</t>
  </si>
  <si>
    <t>14H30 ➡ 22H00🏠</t>
  </si>
  <si>
    <t>13H00 ➡ 20H30🏠</t>
  </si>
  <si>
    <t>10H00 ➡ 17H30🏠</t>
  </si>
  <si>
    <t>5H30 ➡ 13H00</t>
  </si>
  <si>
    <t>03H00 ➡ 10H30🏠</t>
  </si>
  <si>
    <t>03H00 ➡ 12h00🏠</t>
  </si>
  <si>
    <t>03H00 ➡ 12H00</t>
  </si>
  <si>
    <t>RH</t>
  </si>
  <si>
    <t>05H00 ➡ 14H00</t>
  </si>
  <si>
    <t>10H00 ➡ 19H00</t>
  </si>
  <si>
    <t>Férié</t>
  </si>
  <si>
    <t>Fatima Ezzahra AMANNE</t>
  </si>
  <si>
    <t>09:00 - 18:00 🎧</t>
  </si>
  <si>
    <t>14:00 - 23:00 🏠</t>
  </si>
  <si>
    <t>06:00 - 15:00  🏠</t>
  </si>
  <si>
    <t>08:00 - 17:00 🏠</t>
  </si>
  <si>
    <t>10:00 - 19:00🎧</t>
  </si>
  <si>
    <t>09:00 - 18:00🏠</t>
  </si>
  <si>
    <t>14:00 - 23:00🏠</t>
  </si>
  <si>
    <t>04:00 - 13:00🏠</t>
  </si>
  <si>
    <t>06:00 - 15:00🏠</t>
  </si>
  <si>
    <t>5H00 ➡ 13H00🏠</t>
  </si>
  <si>
    <t>11H20 ➡ 20H00/SCO🏠</t>
  </si>
  <si>
    <t>07H30 ➡ 15H00🏠</t>
  </si>
  <si>
    <t>11H-20H /SCO🏠</t>
  </si>
  <si>
    <t>12H ➡ 21H/SCO</t>
  </si>
  <si>
    <t>09H00 ➡ 18H00</t>
  </si>
  <si>
    <t>14H00 ➡ 23H00</t>
  </si>
  <si>
    <t>14H00 ➡ 23H00/ABS</t>
  </si>
  <si>
    <t>11H ➡ 20H/SCO</t>
  </si>
  <si>
    <t>11H ➡ 20H/SCO🏠</t>
  </si>
  <si>
    <t>12H00 ➡ 21H00🏠</t>
  </si>
  <si>
    <t>12H00 ➡ 21H00</t>
  </si>
  <si>
    <t>08H00 ➡ 17H00/RET</t>
  </si>
  <si>
    <t>Azzeddine BOUHLAL</t>
  </si>
  <si>
    <t>08:00 - 17:00/ABS</t>
  </si>
  <si>
    <t>14:00 - 23:00/ABS</t>
  </si>
  <si>
    <t>07:00 - 16:00🏠</t>
  </si>
  <si>
    <t>08H30 ➡ 16H00/ABS</t>
  </si>
  <si>
    <t>03H00 ➡ 12H00🏠</t>
  </si>
  <si>
    <t>6H30 ➡ 15H30</t>
  </si>
  <si>
    <t>09H00 ➡ 18H00/ABS</t>
  </si>
  <si>
    <t>04H00 ➡ 13H00</t>
  </si>
  <si>
    <t>13H00 ➡ 22H00🏠</t>
  </si>
  <si>
    <t>11H00 ➡ 20H00</t>
  </si>
  <si>
    <t>08H00 ➡ 17H00/ABS</t>
  </si>
  <si>
    <t>Othmane JANAH</t>
  </si>
  <si>
    <t>11H-20H 🎧</t>
  </si>
  <si>
    <t>04:00 - 13:00 /ABS</t>
  </si>
  <si>
    <t>5H30 ➡ 13H00🏠</t>
  </si>
  <si>
    <t>Karam ZNIDIGA</t>
  </si>
  <si>
    <t>11H-20H🎧</t>
  </si>
  <si>
    <t>13:00 - 22:00🎧</t>
  </si>
  <si>
    <t>Hassnae HASSIB</t>
  </si>
  <si>
    <t>04:00 - 13:00 🏠</t>
  </si>
  <si>
    <t>03H00 ➡ 12H00/ABS</t>
  </si>
  <si>
    <t>Chaimae EL KADIRI</t>
  </si>
  <si>
    <t>08:00 - 17:00🏠</t>
  </si>
  <si>
    <t>Majdouline HRAR</t>
  </si>
  <si>
    <t>09:00 - 18:00/ABS</t>
  </si>
  <si>
    <t>12H-21H /SCO🏠</t>
  </si>
  <si>
    <t>5H30 ➡ 13H00/ABS</t>
  </si>
  <si>
    <t>Abdelilah SAOUDI</t>
  </si>
  <si>
    <t>06:00 - 15:00🎧</t>
  </si>
  <si>
    <t>12H30 ➡ 20H00🏠</t>
  </si>
  <si>
    <t>12H30 ➡ 20H00</t>
  </si>
  <si>
    <t>07H30 ➡ 16H30</t>
  </si>
  <si>
    <t>07H00 ➡ 16H00🏠</t>
  </si>
  <si>
    <t>Bassma BOUKHLAL</t>
  </si>
  <si>
    <t>13H30 ➡ 21H00🏠</t>
  </si>
  <si>
    <t>5H30 ➡ 14H30</t>
  </si>
  <si>
    <t>Rim Bakoury</t>
  </si>
  <si>
    <t>Hajar Essabir</t>
  </si>
  <si>
    <t>Abdelmoughit ARRABIH</t>
  </si>
  <si>
    <t>10H00 ➡ 19H00🏠</t>
  </si>
  <si>
    <t>04H00 ➡ 13H00/ABS</t>
  </si>
  <si>
    <t>13h-14h</t>
  </si>
  <si>
    <t>14h-15h</t>
  </si>
  <si>
    <t>09h-10h</t>
  </si>
  <si>
    <t>10h-11h</t>
  </si>
  <si>
    <t>08h-09h</t>
  </si>
  <si>
    <t>07h-08h</t>
  </si>
  <si>
    <t>11h-12h</t>
  </si>
  <si>
    <t>12h-13h</t>
  </si>
  <si>
    <t>17h-18h</t>
  </si>
  <si>
    <t>16h-17h</t>
  </si>
  <si>
    <t>18h-19h</t>
  </si>
  <si>
    <t>19h-20h</t>
  </si>
  <si>
    <t>09H30</t>
  </si>
  <si>
    <t>8H00</t>
  </si>
  <si>
    <t>17H30</t>
  </si>
  <si>
    <t>15H45</t>
  </si>
  <si>
    <t>16H30</t>
  </si>
  <si>
    <t>16H00</t>
  </si>
  <si>
    <t>SCO</t>
  </si>
  <si>
    <t>CP</t>
  </si>
  <si>
    <t>15h-16h</t>
  </si>
  <si>
    <t>14h00</t>
  </si>
  <si>
    <t>18H00</t>
  </si>
  <si>
    <t>13H00</t>
  </si>
  <si>
    <t>12H00</t>
  </si>
  <si>
    <t>19H00</t>
  </si>
  <si>
    <t>10H30</t>
  </si>
  <si>
    <t>17H00</t>
  </si>
  <si>
    <t>10H00</t>
  </si>
  <si>
    <t>9H00</t>
  </si>
  <si>
    <t>14H00</t>
  </si>
  <si>
    <t>11H00</t>
  </si>
  <si>
    <t>09h30</t>
  </si>
  <si>
    <t>9H30</t>
  </si>
  <si>
    <t>08H15</t>
  </si>
  <si>
    <t>11H30</t>
  </si>
  <si>
    <t>11H0</t>
  </si>
  <si>
    <t>09H00</t>
  </si>
  <si>
    <t>7H30</t>
  </si>
  <si>
    <t>Ranya.KissamiFO 🎧</t>
  </si>
  <si>
    <t>Ranya.KissamiFO</t>
  </si>
  <si>
    <t>Nouhaila.GHOULAMFO</t>
  </si>
  <si>
    <t>Othmane.JANAHFO</t>
  </si>
  <si>
    <t>Majdouline.HRARFO 🎧</t>
  </si>
  <si>
    <t>BACKLOG</t>
  </si>
  <si>
    <t>chaimae.elkadiriFO 🎧</t>
  </si>
  <si>
    <t>Nouhaila.GHOULAMFO 🎧</t>
  </si>
  <si>
    <t>Othmane.JANAHFO 🎧</t>
  </si>
  <si>
    <t>Karam.ZNIDIGAFO 🎧</t>
  </si>
  <si>
    <t>Hassnae.HASSIBFO</t>
  </si>
  <si>
    <t>Azzeddine.BOUHLALFO</t>
  </si>
  <si>
    <t>Karam.ZNIDIGAFO</t>
  </si>
  <si>
    <t>chaimae.elkadiriFO</t>
  </si>
  <si>
    <t>Azzeddine.BOUHLALFO 🎧</t>
  </si>
  <si>
    <t>Hassnae.HASSIBFO 🎧</t>
  </si>
  <si>
    <t>Majdouline.HRARFO</t>
  </si>
  <si>
    <t>Nouhaila GHOULAM</t>
  </si>
  <si>
    <t>ANAS FAID</t>
  </si>
  <si>
    <t>BL</t>
  </si>
  <si>
    <t>Mohamed Lamine OUATTARA</t>
  </si>
  <si>
    <t>Compteurs Samedi</t>
  </si>
  <si>
    <t>07:00 - 14:30</t>
  </si>
  <si>
    <t>🏠06:00 - 15:00</t>
  </si>
  <si>
    <t>08:30 - 16:00</t>
  </si>
  <si>
    <t>Zouhair Sadiki</t>
  </si>
  <si>
    <t>OFF BO</t>
  </si>
  <si>
    <t>NB ETP BCK BO</t>
  </si>
  <si>
    <t>OFF PRT</t>
  </si>
  <si>
    <t>NB ETP BCK PRT</t>
  </si>
  <si>
    <t>OFF PX/PMC</t>
  </si>
  <si>
    <t>NB ETP BCK PX/PMC</t>
  </si>
  <si>
    <t>Amina AATATI</t>
  </si>
  <si>
    <t>10:00 - 19:00/ABS</t>
  </si>
  <si>
    <t>05:00 - 14:00/ABS</t>
  </si>
  <si>
    <t>8H30 ➡ 16H00 ABS</t>
  </si>
  <si>
    <t>12H ➡ 21H/SCO  /ABS</t>
  </si>
  <si>
    <t>11H00 ➡ 20H00🏠</t>
  </si>
  <si>
    <t>05H00 ➡ 14H00/ABS</t>
  </si>
  <si>
    <t>07H00 ➡ 16H00/ABS</t>
  </si>
  <si>
    <t>Rania ANZID</t>
  </si>
  <si>
    <t>6H00 ➡ 13H30</t>
  </si>
  <si>
    <t>07H30 ➡ 15H00 🏠</t>
  </si>
  <si>
    <t>09H00 ➡ 18H00/ABSC</t>
  </si>
  <si>
    <t>Chaimaa JIRANI</t>
  </si>
  <si>
    <t>12:00 - 21:00🏠</t>
  </si>
  <si>
    <t>Tarik NAFKHA</t>
  </si>
  <si>
    <t>11:00 - 20:00🎧</t>
  </si>
  <si>
    <t>06:00 - 15:00  🎧</t>
  </si>
  <si>
    <t>06:00 - 15:00/ABS</t>
  </si>
  <si>
    <t>5H30 ➡ 13H00 /ABS</t>
  </si>
  <si>
    <t>5H30 ➡ 14H30🏠</t>
  </si>
  <si>
    <t>6H00 ➡ 15H00🏠</t>
  </si>
  <si>
    <t>04H00 ➡ 13H00🏠</t>
  </si>
  <si>
    <t>Marwane BENHAYMAD</t>
  </si>
  <si>
    <t>10:00 - 19:00 🎧</t>
  </si>
  <si>
    <t>12H-21H /SCO/ABS</t>
  </si>
  <si>
    <t>10:00 - 19:00🏠</t>
  </si>
  <si>
    <t>5H30 ➡ 13H00 ABS</t>
  </si>
  <si>
    <t>07H30 ➡ 15H00/ABS</t>
  </si>
  <si>
    <t>09H00 ➡ 18H00 (ABS)</t>
  </si>
  <si>
    <t>Mohammed Amine CHETOUI</t>
  </si>
  <si>
    <t>04:00 - 13:00/ABS</t>
  </si>
  <si>
    <t>Niama CHIBANI</t>
  </si>
  <si>
    <t>14H30 ➡ 22H00🏠/ABS</t>
  </si>
  <si>
    <t>08H30 ➡ 16H00🏠</t>
  </si>
  <si>
    <t>5H30 ➡ 13H00 🏠</t>
  </si>
  <si>
    <t>Nabil JEBILOU</t>
  </si>
  <si>
    <t>09:00 - 18:00\ABSC</t>
  </si>
  <si>
    <t>Achraf BOUABDELLI</t>
  </si>
  <si>
    <t>PFE</t>
  </si>
  <si>
    <t>08H00 ➡ 17H00 / ABS</t>
  </si>
  <si>
    <t>Yassine HAMIDALLAH</t>
  </si>
  <si>
    <t xml:space="preserve">08:00 - 17:00 </t>
  </si>
  <si>
    <t>Mohamed ARRAJ</t>
  </si>
  <si>
    <t>07H30 ➡ 16H30🏠</t>
  </si>
  <si>
    <t>Moad TINOUISSI</t>
  </si>
  <si>
    <t>10:00 - 19:00 🏠</t>
  </si>
  <si>
    <t>10:00 - 19:00  🏠</t>
  </si>
  <si>
    <t>9H00 ➡ 18H00</t>
  </si>
  <si>
    <t>10H30  ➡ 18H00🏠</t>
  </si>
  <si>
    <t>7H30 ➡ 15H00</t>
  </si>
  <si>
    <t>7H30 ➡ 15H00/ABS</t>
  </si>
  <si>
    <t>10H30 ➡ 18H00🏠</t>
  </si>
  <si>
    <t>09H00 ➡ 18H00🏠</t>
  </si>
  <si>
    <t>09H00 ➡ 18H00/RET</t>
  </si>
  <si>
    <t>Ahmed Elmessaouidi</t>
  </si>
  <si>
    <t>7H00 ➡ 16H00</t>
  </si>
  <si>
    <t>05H00 ➡ 14H00 🏠</t>
  </si>
  <si>
    <t>PX/PMC</t>
  </si>
  <si>
    <t>Hiba BARICH</t>
  </si>
  <si>
    <t>Salma MOUTIA</t>
  </si>
  <si>
    <t>07H00 ➡ 16H00/RET</t>
  </si>
  <si>
    <t>Mohamed Sedik MASTARI</t>
  </si>
  <si>
    <t>7H00 ➡ 16H00/ABS</t>
  </si>
  <si>
    <t>08H30 ➡ 16H00/RET</t>
  </si>
  <si>
    <t>05H00 ➡ 14H0</t>
  </si>
  <si>
    <t>Hamza MESSAOUDI</t>
  </si>
  <si>
    <t>Nabil ATIF</t>
  </si>
  <si>
    <t>08:00 - 17:00 / ABS</t>
  </si>
  <si>
    <t>Elmehdi ELMANSOURI</t>
  </si>
  <si>
    <t>09:00 - 18:00/RET</t>
  </si>
  <si>
    <t>7H30 ➡ 15H00/RET</t>
  </si>
  <si>
    <t>5H30 ➡ 13H00 /RET</t>
  </si>
  <si>
    <t>07H30 ➡ 15H00 / RET</t>
  </si>
  <si>
    <t>07H30 ➡ 15H00 / ABS</t>
  </si>
  <si>
    <t>07H30 ➡ 15H00 RET</t>
  </si>
  <si>
    <t>07H30 ➡ 15H00 ABS</t>
  </si>
  <si>
    <t>07H30 ➡ 15H00 /RET</t>
  </si>
  <si>
    <t>11H ➡ 20H/SCO/ABS</t>
  </si>
  <si>
    <t>Zidane Mouassine</t>
  </si>
  <si>
    <t>06:00 - 15:00 / ABS</t>
  </si>
  <si>
    <t>10H00 ➡ 17H30🏠 / RET</t>
  </si>
  <si>
    <t>08H30 ➡ 16H00 ABS</t>
  </si>
  <si>
    <t>Omar Salimi</t>
  </si>
  <si>
    <t>14H30 ➡ 22H00🏠/RET</t>
  </si>
  <si>
    <t>07H00 ➡ 16H0/ABS</t>
  </si>
  <si>
    <t>13hrs</t>
  </si>
  <si>
    <t>12hrs</t>
  </si>
  <si>
    <t>17hrs</t>
  </si>
  <si>
    <t>09H00 ➡ 10H00</t>
  </si>
  <si>
    <t>12H30</t>
  </si>
  <si>
    <t>12h00</t>
  </si>
  <si>
    <t>9hrs</t>
  </si>
  <si>
    <t>16H45 ➡ 17H45</t>
  </si>
  <si>
    <t>17H45</t>
  </si>
  <si>
    <t>16h00</t>
  </si>
  <si>
    <t>Ferié</t>
  </si>
  <si>
    <t>13H30</t>
  </si>
  <si>
    <t>15H00</t>
  </si>
  <si>
    <t>10H30 ➡ 11H30</t>
  </si>
  <si>
    <t>7H00 ➡ 8H00</t>
  </si>
  <si>
    <t>08H00</t>
  </si>
  <si>
    <t>16hrs</t>
  </si>
  <si>
    <t>11hrs</t>
  </si>
  <si>
    <t>10H00 ➡ 11H00</t>
  </si>
  <si>
    <t>16H45</t>
  </si>
  <si>
    <t>12h30</t>
  </si>
  <si>
    <t>TT</t>
  </si>
  <si>
    <t>12H00 ➡ 13H00</t>
  </si>
  <si>
    <t>09h00</t>
  </si>
  <si>
    <t>ABSENT</t>
  </si>
  <si>
    <t>13h00</t>
  </si>
  <si>
    <t>14hrs</t>
  </si>
  <si>
    <t>08H30 ➡ 09H30</t>
  </si>
  <si>
    <t>13H00 ➡ 14H00</t>
  </si>
  <si>
    <t>07H00</t>
  </si>
  <si>
    <t>10h00</t>
  </si>
  <si>
    <t>14H30</t>
  </si>
  <si>
    <t>11H30 ➡ 12H30</t>
  </si>
  <si>
    <t>14h30</t>
  </si>
  <si>
    <t>10hrs</t>
  </si>
  <si>
    <t>08H000</t>
  </si>
  <si>
    <t>Planning Equipe Voix Utilisateurs (Heure MAROC)</t>
  </si>
  <si>
    <t>Nouvel An Amazigh</t>
  </si>
  <si>
    <t>Aïd al-Fitr</t>
  </si>
  <si>
    <t>Révolution du Roi et du Peuple</t>
  </si>
  <si>
    <t>Shifts</t>
  </si>
  <si>
    <t>8H00 ➡ 17H00</t>
  </si>
  <si>
    <t>14H00  ➡ 23H00</t>
  </si>
  <si>
    <t>Ramadan</t>
  </si>
  <si>
    <t>8H30 ➡ 16H00</t>
  </si>
  <si>
    <t>14H30  ➡ 22H00</t>
  </si>
  <si>
    <t>Périmètre</t>
  </si>
  <si>
    <t>VUS</t>
  </si>
  <si>
    <t>Agents</t>
  </si>
  <si>
    <t>Ghita EDEROUICH</t>
  </si>
  <si>
    <t>Hamza MAKROUM</t>
  </si>
  <si>
    <t>Ndoumbe SECK</t>
  </si>
  <si>
    <t>Safaa MOUZAKKI</t>
  </si>
  <si>
    <t>Yassine AFANDI</t>
  </si>
  <si>
    <t>S - 20</t>
  </si>
  <si>
    <t>S - 19</t>
  </si>
  <si>
    <t>S - 18</t>
  </si>
  <si>
    <t>S - 17</t>
  </si>
  <si>
    <t>8H30 ➡ 17H00</t>
  </si>
  <si>
    <t>14H00 ➡ 22H00🏠</t>
  </si>
  <si>
    <t>5H00 ➡ 13H30🏠</t>
  </si>
  <si>
    <t>8H00 ➡ 17H00🏠</t>
  </si>
  <si>
    <t>9H30 ➡ 17H00</t>
  </si>
  <si>
    <t>14H30  ➡ 22H00🏠</t>
  </si>
  <si>
    <t>13H00  ➡ 21H00🏠</t>
  </si>
  <si>
    <t>9H30 ➡ 17H00/ABS</t>
  </si>
  <si>
    <t>7H30 ➡ 15H00🏠</t>
  </si>
  <si>
    <t>13H00  ➡ 22H00</t>
  </si>
  <si>
    <t>13H30  ➡ 21H00🏠</t>
  </si>
  <si>
    <t>S - 7</t>
  </si>
  <si>
    <t>6H00 ➡ 15H00</t>
  </si>
  <si>
    <t>12H00  ➡ 21H00</t>
  </si>
  <si>
    <t>S - 6</t>
  </si>
  <si>
    <t>7h -&gt; 16h</t>
  </si>
  <si>
    <t>6h -&gt; 15h</t>
  </si>
  <si>
    <t>14h-23h</t>
  </si>
  <si>
    <t>09h -&gt; 18h</t>
  </si>
  <si>
    <t>8h -&gt; 17h</t>
  </si>
  <si>
    <t>13h-22h</t>
  </si>
  <si>
    <t>S - 5</t>
  </si>
  <si>
    <t>S - 4</t>
  </si>
  <si>
    <t>10h -&gt; 19h</t>
  </si>
  <si>
    <t>S - 3</t>
  </si>
  <si>
    <t>S - 2</t>
  </si>
  <si>
    <t>Hind ZAHID</t>
  </si>
  <si>
    <t>6h -&gt; 15h🏠</t>
  </si>
  <si>
    <t>14h-23h🏠</t>
  </si>
  <si>
    <t>14h-22h🏠</t>
  </si>
  <si>
    <t>S - 1</t>
  </si>
  <si>
    <t>S - 52</t>
  </si>
  <si>
    <t>Sara MAGHTY</t>
  </si>
  <si>
    <t>10h -&gt; 19h🏠</t>
  </si>
  <si>
    <t>S - 51</t>
  </si>
  <si>
    <t>8h -&gt; 17h🏠</t>
  </si>
  <si>
    <t>S - 50</t>
  </si>
  <si>
    <t>8h -&gt; 17h/ABS</t>
  </si>
  <si>
    <t>6h -&gt; 15h/ABS</t>
  </si>
  <si>
    <t>6h -&gt; 15h/ABS🏠</t>
  </si>
  <si>
    <t>S - 49</t>
  </si>
  <si>
    <t>6h -&gt; 15h 🏠</t>
  </si>
  <si>
    <t>10h -&gt; 19h/ABS</t>
  </si>
  <si>
    <t>8h -&gt; 12h/SUP🏠</t>
  </si>
  <si>
    <t>14h-23h 🏠</t>
  </si>
  <si>
    <t>08h - 13h sup</t>
  </si>
  <si>
    <t>6h -&gt; 15h /ABS</t>
  </si>
  <si>
    <t>S - 48</t>
  </si>
  <si>
    <t>9h -&gt; 18h 🏠</t>
  </si>
  <si>
    <t>8h -&gt; 17h 🏠</t>
  </si>
  <si>
    <t>S - 47</t>
  </si>
  <si>
    <t>9h -&gt; 18h / ABS</t>
  </si>
  <si>
    <t>8h -&gt; 17h / ABS</t>
  </si>
  <si>
    <t>9h -&gt; 18h</t>
  </si>
  <si>
    <t>S - 46</t>
  </si>
  <si>
    <t>S - 45</t>
  </si>
  <si>
    <t>S - 44</t>
  </si>
  <si>
    <t>S - 43</t>
  </si>
  <si>
    <t>08h -&gt; 17h</t>
  </si>
  <si>
    <t>S - 42</t>
  </si>
  <si>
    <t>S - 41</t>
  </si>
  <si>
    <t>S - 40</t>
  </si>
  <si>
    <t>S - 39</t>
  </si>
  <si>
    <t>Aya ASSAOUD</t>
  </si>
  <si>
    <t>S - 38</t>
  </si>
  <si>
    <t>S - 37</t>
  </si>
  <si>
    <t>S - 36</t>
  </si>
  <si>
    <t>S - 35</t>
  </si>
  <si>
    <t>NB ETP 🎧</t>
  </si>
  <si>
    <t>SPV</t>
  </si>
  <si>
    <t>Mounir BERHILI</t>
  </si>
  <si>
    <t>08:00 - 11:00 Départ</t>
  </si>
  <si>
    <t>Taha CHAMIHY</t>
  </si>
  <si>
    <t>Ayoub ABDELLAH</t>
  </si>
  <si>
    <t>Youssef HABTANY</t>
  </si>
  <si>
    <t>Pause Déj BO</t>
  </si>
  <si>
    <t>Pause Déj PX/PMC</t>
  </si>
  <si>
    <t>Ranya KISSAMI</t>
  </si>
  <si>
    <t>05:30 - 14:30🎧</t>
  </si>
  <si>
    <t>Faid ANAS</t>
  </si>
  <si>
    <t xml:space="preserve">03:00 - 12:00 </t>
  </si>
  <si>
    <t>BOUKHAL, Basma</t>
  </si>
  <si>
    <t>Training 08H-17H</t>
  </si>
  <si>
    <t>Pause repas FO</t>
  </si>
  <si>
    <t>S21</t>
  </si>
  <si>
    <t>S22</t>
  </si>
  <si>
    <t>S23</t>
  </si>
  <si>
    <t>S24</t>
  </si>
  <si>
    <t>S25</t>
  </si>
  <si>
    <t>S26</t>
  </si>
  <si>
    <t>S27</t>
  </si>
  <si>
    <t>S - 21</t>
  </si>
  <si>
    <t>S - 22</t>
  </si>
  <si>
    <t>S - 23</t>
  </si>
  <si>
    <t>S - 24</t>
  </si>
  <si>
    <t>WE</t>
  </si>
  <si>
    <t>S28</t>
  </si>
  <si>
    <t>S</t>
  </si>
  <si>
    <t>S - 25</t>
  </si>
  <si>
    <t>S - 26</t>
  </si>
  <si>
    <t>S - 27</t>
  </si>
  <si>
    <t>S - 28</t>
  </si>
  <si>
    <t>S29</t>
  </si>
  <si>
    <t>S30</t>
  </si>
  <si>
    <t>S31</t>
  </si>
  <si>
    <t>S32</t>
  </si>
  <si>
    <t>S33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</si>
</sst>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ddd&quot; &quot;d&quot; &quot;mmmm&quot; &quot;"/>
    <numFmt numFmtId="165" formatCode="dd\-dddd\-mmm"/>
    <numFmt numFmtId="166" formatCode="ddd\ d\ mmm"/>
    <numFmt numFmtId="167" formatCode="ddd&quot; &quot;dd&quot; &quot;mmm&quot; &quot;"/>
  </numFmts>
  <fonts count="82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sz val="10"/>
      <color rgb="FF000000"/>
      <name val="Calibri"/>
    </font>
    <font>
      <sz val="10"/>
      <color rgb="FFFFFFFF"/>
      <name val="Calibri"/>
    </font>
    <font>
      <sz val="10"/>
      <color theme="1"/>
      <name val="Calibri"/>
    </font>
    <font>
      <sz val="10"/>
      <color rgb="FF000000"/>
      <name val="Arial"/>
    </font>
    <font>
      <b/>
      <sz val="10"/>
      <color theme="1"/>
      <name val="Arial"/>
      <scheme val="minor"/>
    </font>
    <font>
      <b/>
      <sz val="10"/>
      <color rgb="FFFFFFFF"/>
      <name val="Roboto"/>
    </font>
    <font>
      <sz val="10"/>
      <name val="Arial"/>
    </font>
    <font>
      <b/>
      <sz val="10"/>
      <color rgb="FF000000"/>
      <name val="Roboto"/>
    </font>
    <font>
      <sz val="10"/>
      <color rgb="FF000000"/>
      <name val="Roboto"/>
    </font>
    <font>
      <b/>
      <sz val="10"/>
      <color theme="1"/>
      <name val="Roboto"/>
    </font>
    <font>
      <b/>
      <sz val="10"/>
      <color rgb="FFFFFFFF"/>
      <name val="Roboto"/>
    </font>
    <font>
      <b/>
      <sz val="10"/>
      <color rgb="FFFFFFFF"/>
      <name val="Arial"/>
    </font>
    <font>
      <b/>
      <sz val="10"/>
      <color rgb="FF434343"/>
      <name val="Roboto"/>
    </font>
    <font>
      <b/>
      <sz val="14"/>
      <color rgb="FF434343"/>
      <name val="Roboto"/>
    </font>
    <font>
      <sz val="10"/>
      <color theme="1"/>
      <name val="Calibri"/>
    </font>
    <font>
      <b/>
      <sz val="10"/>
      <color theme="1"/>
      <name val="Roboto"/>
    </font>
    <font>
      <b/>
      <sz val="10"/>
      <color rgb="FF000000"/>
      <name val="Roboto"/>
    </font>
    <font>
      <sz val="10"/>
      <color theme="1"/>
      <name val="Arial"/>
      <scheme val="minor"/>
    </font>
    <font>
      <b/>
      <sz val="10"/>
      <color rgb="FF0A53A8"/>
      <name val="Roboto"/>
    </font>
    <font>
      <b/>
      <sz val="10"/>
      <color rgb="FF473821"/>
      <name val="Roboto"/>
    </font>
    <font>
      <b/>
      <sz val="9"/>
      <color rgb="FFFFFFFF"/>
      <name val="Roboto"/>
    </font>
    <font>
      <b/>
      <sz val="11"/>
      <color theme="1"/>
      <name val="Roboto"/>
    </font>
    <font>
      <b/>
      <sz val="11"/>
      <color rgb="FF0A53A8"/>
      <name val="Roboto"/>
    </font>
    <font>
      <b/>
      <sz val="11"/>
      <color rgb="FF0000FF"/>
      <name val="Roboto"/>
    </font>
    <font>
      <sz val="10"/>
      <color theme="1"/>
      <name val="Arial"/>
    </font>
    <font>
      <b/>
      <sz val="10"/>
      <color rgb="FFFF0000"/>
      <name val="Roboto"/>
    </font>
    <font>
      <b/>
      <sz val="11"/>
      <color rgb="FFFFFFFF"/>
      <name val="Roboto"/>
    </font>
    <font>
      <b/>
      <sz val="10"/>
      <color rgb="FF0A53A8"/>
      <name val="Roboto"/>
    </font>
    <font>
      <b/>
      <sz val="10"/>
      <color rgb="FFFFFFFF"/>
      <name val="Calibri"/>
    </font>
    <font>
      <b/>
      <sz val="9"/>
      <color rgb="FF434343"/>
      <name val="Roboto"/>
    </font>
    <font>
      <b/>
      <sz val="10"/>
      <color rgb="FF473821"/>
      <name val="Roboto"/>
    </font>
    <font>
      <b/>
      <sz val="10"/>
      <color rgb="FF0000FF"/>
      <name val="Roboto"/>
    </font>
    <font>
      <sz val="10"/>
      <color rgb="FFFFFFFF"/>
      <name val="Roboto"/>
    </font>
    <font>
      <b/>
      <sz val="10"/>
      <color rgb="FFFF0000"/>
      <name val="Roboto"/>
    </font>
    <font>
      <b/>
      <sz val="9"/>
      <color rgb="FF000000"/>
      <name val="Roboto"/>
    </font>
    <font>
      <b/>
      <sz val="9"/>
      <color theme="1"/>
      <name val="Roboto"/>
    </font>
    <font>
      <u/>
      <sz val="10"/>
      <color theme="1"/>
      <name val="Arial"/>
      <scheme val="minor"/>
    </font>
    <font>
      <b/>
      <sz val="10"/>
      <color theme="1"/>
      <name val="Calibri"/>
    </font>
    <font>
      <sz val="10"/>
      <color theme="1"/>
      <name val="Roboto"/>
    </font>
    <font>
      <u/>
      <sz val="10"/>
      <color rgb="FF000000"/>
      <name val="Roboto"/>
    </font>
    <font>
      <b/>
      <sz val="10"/>
      <color rgb="FF6AA84F"/>
      <name val="Roboto"/>
    </font>
    <font>
      <u/>
      <sz val="10"/>
      <color rgb="FF000000"/>
      <name val="Roboto"/>
    </font>
    <font>
      <b/>
      <sz val="8"/>
      <color rgb="FFFFFFFF"/>
      <name val="Roboto"/>
    </font>
    <font>
      <b/>
      <sz val="16"/>
      <color rgb="FF000000"/>
      <name val="Roboto"/>
    </font>
    <font>
      <b/>
      <sz val="16"/>
      <color rgb="FF434343"/>
      <name val="Roboto"/>
    </font>
    <font>
      <sz val="10"/>
      <color rgb="FFFFFFFF"/>
      <name val="Roboto"/>
    </font>
    <font>
      <b/>
      <sz val="16"/>
      <color theme="1"/>
      <name val="Calibri"/>
    </font>
    <font>
      <b/>
      <sz val="16"/>
      <color theme="1"/>
      <name val="Arial"/>
    </font>
    <font>
      <sz val="10"/>
      <color rgb="FFFFFFFF"/>
      <name val="&quot;ADLaM Display&quot;"/>
    </font>
    <font>
      <sz val="10"/>
      <color rgb="FFFFFFFF"/>
      <name val="ADLaM Display"/>
    </font>
    <font>
      <sz val="10"/>
      <color rgb="FF000000"/>
      <name val="Roboto"/>
    </font>
    <font>
      <b/>
      <sz val="16"/>
      <color theme="1"/>
      <name val="Arial"/>
      <scheme val="minor"/>
    </font>
    <font>
      <sz val="8"/>
      <color theme="1"/>
      <name val="Arial"/>
    </font>
    <font>
      <b/>
      <sz val="8"/>
      <color theme="1"/>
      <name val="Arial"/>
    </font>
    <font>
      <b/>
      <sz val="10"/>
      <color rgb="FFE01937"/>
      <name val="Arial"/>
      <scheme val="minor"/>
    </font>
    <font>
      <b/>
      <sz val="10"/>
      <color rgb="FF000000"/>
      <name val="Calibri"/>
    </font>
    <font>
      <u/>
      <sz val="10"/>
      <color theme="1"/>
      <name val="Arial"/>
      <scheme val="minor"/>
    </font>
    <font>
      <b/>
      <sz val="10"/>
      <color rgb="FFFF0000"/>
      <name val="Calibri"/>
    </font>
    <font>
      <sz val="10"/>
      <color rgb="FFFF0000"/>
      <name val="Calibri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b/>
      <sz val="10"/>
      <color rgb="FF6AA84F"/>
      <name val="Calibri"/>
    </font>
    <font>
      <b/>
      <sz val="10"/>
      <color rgb="FF000000"/>
      <name val="Arial"/>
    </font>
    <font>
      <b/>
      <sz val="9"/>
      <color rgb="FF434343"/>
      <name val="Arial"/>
    </font>
    <font>
      <b/>
      <sz val="9"/>
      <color rgb="FF000000"/>
      <name val="Play"/>
    </font>
    <font>
      <sz val="10"/>
      <color rgb="FF000000"/>
      <name val="Arial"/>
      <scheme val="minor"/>
    </font>
    <font>
      <b/>
      <sz val="8"/>
      <color rgb="FF000000"/>
      <name val="Arial"/>
    </font>
    <font>
      <u/>
      <sz val="10"/>
      <color theme="1"/>
      <name val="Arial"/>
      <scheme val="minor"/>
    </font>
    <font>
      <sz val="10"/>
      <color rgb="FF0A53A8"/>
      <name val="Calibri"/>
    </font>
    <font>
      <u/>
      <sz val="10"/>
      <color theme="1"/>
      <name val="Arial"/>
      <scheme val="minor"/>
    </font>
    <font>
      <sz val="10"/>
      <color rgb="FF473821"/>
      <name val="Calibri"/>
    </font>
    <font>
      <u/>
      <sz val="10"/>
      <color theme="1"/>
      <name val="Arial"/>
      <scheme val="minor"/>
    </font>
    <font>
      <sz val="11"/>
      <color theme="1"/>
      <name val="Aptos Narrow"/>
    </font>
    <font>
      <b/>
      <sz val="10"/>
      <color rgb="FF000000"/>
      <name val="Trebuchet MS"/>
    </font>
    <font>
      <b/>
      <sz val="9"/>
      <color theme="1"/>
      <name val="Play"/>
    </font>
    <font>
      <sz val="8"/>
      <name val="Arial"/>
      <scheme val="minor"/>
    </font>
    <font>
      <b/>
      <sz val="10"/>
      <color rgb="FF000000"/>
      <name val="Arial"/>
      <family val="2"/>
      <scheme val="minor"/>
    </font>
    <font>
      <b/>
      <sz val="16"/>
      <color theme="1"/>
      <name val="Arial"/>
      <family val="2"/>
    </font>
  </fonts>
  <fills count="6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782170"/>
        <bgColor rgb="FF782170"/>
      </patternFill>
    </fill>
    <fill>
      <patternFill patternType="solid">
        <fgColor rgb="FFF7C7AC"/>
        <bgColor rgb="FFF7C7AC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B3CEFB"/>
        <bgColor rgb="FFB3CEFB"/>
      </patternFill>
    </fill>
    <fill>
      <patternFill patternType="solid">
        <fgColor rgb="FFA4C2F4"/>
        <bgColor rgb="FFA4C2F4"/>
      </patternFill>
    </fill>
    <fill>
      <patternFill patternType="solid">
        <fgColor rgb="FF4A86E8"/>
        <bgColor rgb="FF4A86E8"/>
      </patternFill>
    </fill>
    <fill>
      <patternFill patternType="solid">
        <fgColor rgb="FF4D93D9"/>
        <bgColor rgb="FF4D93D9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1E5CC7"/>
        <bgColor rgb="FF1E5CC7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76A5AF"/>
        <bgColor rgb="FF76A5AF"/>
      </patternFill>
    </fill>
    <fill>
      <patternFill patternType="solid">
        <fgColor rgb="FF6D9EEB"/>
        <bgColor rgb="FF6D9EEB"/>
      </patternFill>
    </fill>
    <fill>
      <patternFill patternType="solid">
        <fgColor rgb="FF6FA8DC"/>
        <bgColor rgb="FF6FA8DC"/>
      </patternFill>
    </fill>
    <fill>
      <patternFill patternType="solid">
        <fgColor rgb="FFFFF2CC"/>
        <bgColor rgb="FFFFF2CC"/>
      </patternFill>
    </fill>
    <fill>
      <patternFill patternType="solid">
        <fgColor rgb="FF83E28E"/>
        <bgColor rgb="FF83E28E"/>
      </patternFill>
    </fill>
    <fill>
      <patternFill patternType="solid">
        <fgColor rgb="FF3C7D22"/>
        <bgColor rgb="FF3C7D22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8E7CC3"/>
        <bgColor rgb="FF8E7CC3"/>
      </patternFill>
    </fill>
    <fill>
      <patternFill patternType="solid">
        <fgColor rgb="FFC27BA0"/>
        <bgColor rgb="FFC27BA0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D0E0E3"/>
        <bgColor rgb="FFD0E0E3"/>
      </patternFill>
    </fill>
    <fill>
      <patternFill patternType="solid">
        <fgColor rgb="FFFFFF99"/>
        <bgColor rgb="FFFFFF99"/>
      </patternFill>
    </fill>
    <fill>
      <patternFill patternType="solid">
        <fgColor rgb="FFA6A6A6"/>
        <bgColor rgb="FFA6A6A6"/>
      </patternFill>
    </fill>
    <fill>
      <patternFill patternType="solid">
        <fgColor rgb="FFFF6D01"/>
        <bgColor rgb="FFFF6D01"/>
      </patternFill>
    </fill>
    <fill>
      <patternFill patternType="solid">
        <fgColor rgb="FFF6C6AC"/>
        <bgColor rgb="FFF6C6AC"/>
      </patternFill>
    </fill>
    <fill>
      <patternFill patternType="solid">
        <fgColor rgb="FFFF00FF"/>
        <bgColor rgb="FFFF00FF"/>
      </patternFill>
    </fill>
    <fill>
      <patternFill patternType="solid">
        <fgColor rgb="FFA02B93"/>
        <bgColor rgb="FFA02B93"/>
      </patternFill>
    </fill>
    <fill>
      <patternFill patternType="solid">
        <fgColor rgb="FFBFE1F6"/>
        <bgColor rgb="FFBFE1F6"/>
      </patternFill>
    </fill>
    <fill>
      <patternFill patternType="solid">
        <fgColor rgb="FFFFE5A0"/>
        <bgColor rgb="FFFFE5A0"/>
      </patternFill>
    </fill>
    <fill>
      <patternFill patternType="solid">
        <fgColor rgb="FF666666"/>
        <bgColor rgb="FF666666"/>
      </patternFill>
    </fill>
    <fill>
      <patternFill patternType="solid">
        <fgColor rgb="FF0000FF"/>
        <bgColor rgb="FF0000FF"/>
      </patternFill>
    </fill>
    <fill>
      <patternFill patternType="solid">
        <fgColor rgb="FFF7B4AE"/>
        <bgColor rgb="FFF7B4AE"/>
      </patternFill>
    </fill>
    <fill>
      <patternFill patternType="solid">
        <fgColor rgb="FFFF0000"/>
        <bgColor rgb="FFFF0000"/>
      </patternFill>
    </fill>
    <fill>
      <patternFill patternType="solid">
        <fgColor theme="8"/>
        <bgColor theme="8"/>
      </patternFill>
    </fill>
    <fill>
      <patternFill patternType="solid">
        <fgColor rgb="FFD5A6BD"/>
        <bgColor rgb="FFD5A6BD"/>
      </patternFill>
    </fill>
    <fill>
      <patternFill patternType="solid">
        <fgColor rgb="FFF6F8F9"/>
        <bgColor rgb="FFF6F8F9"/>
      </patternFill>
    </fill>
    <fill>
      <patternFill patternType="solid">
        <fgColor rgb="FFD9EAD3"/>
        <bgColor rgb="FFD9EAD3"/>
      </patternFill>
    </fill>
    <fill>
      <patternFill patternType="solid">
        <fgColor theme="7"/>
        <bgColor theme="7"/>
      </patternFill>
    </fill>
    <fill>
      <patternFill patternType="solid">
        <fgColor rgb="FFD9D9D9"/>
        <bgColor rgb="FFD9D9D9"/>
      </patternFill>
    </fill>
    <fill>
      <patternFill patternType="solid">
        <fgColor rgb="FFE69138"/>
        <bgColor rgb="FFE69138"/>
      </patternFill>
    </fill>
    <fill>
      <patternFill patternType="solid">
        <fgColor rgb="FFDD7E6B"/>
        <bgColor rgb="FFDD7E6B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theme="9"/>
        <bgColor theme="9"/>
      </patternFill>
    </fill>
    <fill>
      <patternFill patternType="solid">
        <fgColor rgb="FFA61C00"/>
        <bgColor rgb="FFA61C00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CC4125"/>
        <bgColor rgb="FFCC4125"/>
      </patternFill>
    </fill>
    <fill>
      <patternFill patternType="solid">
        <fgColor rgb="FFF3F3F3"/>
        <bgColor rgb="FFF3F3F3"/>
      </patternFill>
    </fill>
    <fill>
      <patternFill patternType="solid">
        <fgColor rgb="FFCAEDFB"/>
        <bgColor rgb="FFCAEDFB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</fills>
  <borders count="5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FF00FF"/>
      </left>
      <right/>
      <top style="medium">
        <color rgb="FFFF00FF"/>
      </top>
      <bottom style="medium">
        <color rgb="FF000000"/>
      </bottom>
      <diagonal/>
    </border>
    <border>
      <left/>
      <right/>
      <top style="medium">
        <color rgb="FFFF00FF"/>
      </top>
      <bottom style="medium">
        <color rgb="FF000000"/>
      </bottom>
      <diagonal/>
    </border>
    <border>
      <left/>
      <right style="medium">
        <color rgb="FF000000"/>
      </right>
      <top style="medium">
        <color rgb="FFFF00FF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0">
    <xf numFmtId="0" fontId="0" fillId="0" borderId="0" xfId="0"/>
    <xf numFmtId="0" fontId="15" fillId="26" borderId="11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9" fillId="0" borderId="14" xfId="0" applyFont="1" applyBorder="1"/>
    <xf numFmtId="0" fontId="20" fillId="0" borderId="0" xfId="0" applyFont="1" applyAlignment="1">
      <alignment horizontal="center" vertical="center"/>
    </xf>
    <xf numFmtId="164" fontId="10" fillId="14" borderId="7" xfId="0" applyNumberFormat="1" applyFont="1" applyFill="1" applyBorder="1" applyAlignment="1">
      <alignment horizontal="center" vertical="center"/>
    </xf>
    <xf numFmtId="164" fontId="10" fillId="15" borderId="7" xfId="0" applyNumberFormat="1" applyFont="1" applyFill="1" applyBorder="1" applyAlignment="1">
      <alignment horizontal="center" vertical="center"/>
    </xf>
    <xf numFmtId="164" fontId="10" fillId="16" borderId="7" xfId="0" applyNumberFormat="1" applyFont="1" applyFill="1" applyBorder="1" applyAlignment="1">
      <alignment horizontal="center" vertical="center"/>
    </xf>
    <xf numFmtId="164" fontId="10" fillId="17" borderId="7" xfId="0" applyNumberFormat="1" applyFont="1" applyFill="1" applyBorder="1" applyAlignment="1">
      <alignment horizontal="center" vertical="center"/>
    </xf>
    <xf numFmtId="164" fontId="10" fillId="18" borderId="7" xfId="0" applyNumberFormat="1" applyFont="1" applyFill="1" applyBorder="1" applyAlignment="1">
      <alignment horizontal="center" vertical="center"/>
    </xf>
    <xf numFmtId="164" fontId="10" fillId="28" borderId="7" xfId="0" applyNumberFormat="1" applyFont="1" applyFill="1" applyBorder="1" applyAlignment="1">
      <alignment horizontal="center" vertical="center"/>
    </xf>
    <xf numFmtId="164" fontId="10" fillId="29" borderId="7" xfId="0" applyNumberFormat="1" applyFont="1" applyFill="1" applyBorder="1" applyAlignment="1">
      <alignment horizontal="center" vertical="center"/>
    </xf>
    <xf numFmtId="164" fontId="12" fillId="14" borderId="7" xfId="0" applyNumberFormat="1" applyFont="1" applyFill="1" applyBorder="1" applyAlignment="1">
      <alignment horizontal="center"/>
    </xf>
    <xf numFmtId="164" fontId="12" fillId="15" borderId="7" xfId="0" applyNumberFormat="1" applyFont="1" applyFill="1" applyBorder="1" applyAlignment="1">
      <alignment horizontal="center"/>
    </xf>
    <xf numFmtId="164" fontId="12" fillId="16" borderId="7" xfId="0" applyNumberFormat="1" applyFont="1" applyFill="1" applyBorder="1" applyAlignment="1">
      <alignment horizontal="center"/>
    </xf>
    <xf numFmtId="164" fontId="12" fillId="17" borderId="7" xfId="0" applyNumberFormat="1" applyFont="1" applyFill="1" applyBorder="1" applyAlignment="1">
      <alignment horizontal="center"/>
    </xf>
    <xf numFmtId="164" fontId="12" fillId="18" borderId="7" xfId="0" applyNumberFormat="1" applyFont="1" applyFill="1" applyBorder="1" applyAlignment="1">
      <alignment horizontal="center"/>
    </xf>
    <xf numFmtId="164" fontId="12" fillId="28" borderId="7" xfId="0" applyNumberFormat="1" applyFont="1" applyFill="1" applyBorder="1" applyAlignment="1">
      <alignment horizontal="center"/>
    </xf>
    <xf numFmtId="164" fontId="12" fillId="29" borderId="7" xfId="0" applyNumberFormat="1" applyFont="1" applyFill="1" applyBorder="1" applyAlignment="1">
      <alignment horizontal="center"/>
    </xf>
    <xf numFmtId="164" fontId="19" fillId="14" borderId="7" xfId="0" applyNumberFormat="1" applyFont="1" applyFill="1" applyBorder="1" applyAlignment="1">
      <alignment horizontal="center"/>
    </xf>
    <xf numFmtId="164" fontId="19" fillId="15" borderId="7" xfId="0" applyNumberFormat="1" applyFont="1" applyFill="1" applyBorder="1" applyAlignment="1">
      <alignment horizontal="center"/>
    </xf>
    <xf numFmtId="164" fontId="19" fillId="16" borderId="7" xfId="0" applyNumberFormat="1" applyFont="1" applyFill="1" applyBorder="1" applyAlignment="1">
      <alignment horizontal="center"/>
    </xf>
    <xf numFmtId="164" fontId="19" fillId="17" borderId="7" xfId="0" applyNumberFormat="1" applyFont="1" applyFill="1" applyBorder="1" applyAlignment="1">
      <alignment horizontal="center"/>
    </xf>
    <xf numFmtId="164" fontId="19" fillId="18" borderId="7" xfId="0" applyNumberFormat="1" applyFont="1" applyFill="1" applyBorder="1" applyAlignment="1">
      <alignment horizontal="center"/>
    </xf>
    <xf numFmtId="164" fontId="19" fillId="28" borderId="7" xfId="0" applyNumberFormat="1" applyFont="1" applyFill="1" applyBorder="1" applyAlignment="1">
      <alignment horizontal="center"/>
    </xf>
    <xf numFmtId="164" fontId="19" fillId="29" borderId="7" xfId="0" applyNumberFormat="1" applyFont="1" applyFill="1" applyBorder="1" applyAlignment="1">
      <alignment horizontal="center"/>
    </xf>
    <xf numFmtId="0" fontId="18" fillId="8" borderId="7" xfId="0" applyFont="1" applyFill="1" applyBorder="1" applyAlignment="1">
      <alignment horizontal="center" vertical="center"/>
    </xf>
    <xf numFmtId="3" fontId="18" fillId="8" borderId="7" xfId="0" applyNumberFormat="1" applyFont="1" applyFill="1" applyBorder="1" applyAlignment="1">
      <alignment horizontal="center" vertical="center"/>
    </xf>
    <xf numFmtId="3" fontId="12" fillId="8" borderId="7" xfId="0" applyNumberFormat="1" applyFont="1" applyFill="1" applyBorder="1" applyAlignment="1">
      <alignment horizontal="center"/>
    </xf>
    <xf numFmtId="3" fontId="18" fillId="33" borderId="7" xfId="0" applyNumberFormat="1" applyFont="1" applyFill="1" applyBorder="1" applyAlignment="1">
      <alignment horizontal="center" vertical="center"/>
    </xf>
    <xf numFmtId="0" fontId="12" fillId="23" borderId="7" xfId="0" applyFont="1" applyFill="1" applyBorder="1" applyAlignment="1">
      <alignment horizontal="center" vertical="center"/>
    </xf>
    <xf numFmtId="0" fontId="19" fillId="23" borderId="7" xfId="0" applyFont="1" applyFill="1" applyBorder="1" applyAlignment="1">
      <alignment horizontal="center" vertical="center"/>
    </xf>
    <xf numFmtId="0" fontId="13" fillId="23" borderId="7" xfId="0" applyFont="1" applyFill="1" applyBorder="1" applyAlignment="1">
      <alignment horizontal="center" vertical="center"/>
    </xf>
    <xf numFmtId="0" fontId="19" fillId="23" borderId="7" xfId="0" applyFont="1" applyFill="1" applyBorder="1" applyAlignment="1">
      <alignment horizontal="center"/>
    </xf>
    <xf numFmtId="0" fontId="13" fillId="23" borderId="7" xfId="0" applyFont="1" applyFill="1" applyBorder="1" applyAlignment="1">
      <alignment horizontal="center"/>
    </xf>
    <xf numFmtId="0" fontId="12" fillId="23" borderId="7" xfId="0" applyFont="1" applyFill="1" applyBorder="1" applyAlignment="1">
      <alignment horizontal="center"/>
    </xf>
    <xf numFmtId="0" fontId="21" fillId="23" borderId="7" xfId="0" applyFont="1" applyFill="1" applyBorder="1" applyAlignment="1">
      <alignment horizontal="center"/>
    </xf>
    <xf numFmtId="0" fontId="22" fillId="23" borderId="7" xfId="0" applyFont="1" applyFill="1" applyBorder="1" applyAlignment="1">
      <alignment horizontal="center"/>
    </xf>
    <xf numFmtId="0" fontId="23" fillId="23" borderId="7" xfId="0" applyFont="1" applyFill="1" applyBorder="1" applyAlignment="1">
      <alignment horizontal="center"/>
    </xf>
    <xf numFmtId="165" fontId="8" fillId="23" borderId="7" xfId="0" applyNumberFormat="1" applyFont="1" applyFill="1" applyBorder="1" applyAlignment="1">
      <alignment horizontal="center"/>
    </xf>
    <xf numFmtId="0" fontId="18" fillId="23" borderId="7" xfId="0" applyFont="1" applyFill="1" applyBorder="1" applyAlignment="1">
      <alignment horizontal="center"/>
    </xf>
    <xf numFmtId="0" fontId="24" fillId="23" borderId="7" xfId="0" applyFont="1" applyFill="1" applyBorder="1" applyAlignment="1">
      <alignment horizontal="center"/>
    </xf>
    <xf numFmtId="165" fontId="12" fillId="23" borderId="7" xfId="0" applyNumberFormat="1" applyFont="1" applyFill="1" applyBorder="1" applyAlignment="1">
      <alignment horizontal="center"/>
    </xf>
    <xf numFmtId="165" fontId="24" fillId="23" borderId="7" xfId="0" applyNumberFormat="1" applyFont="1" applyFill="1" applyBorder="1" applyAlignment="1">
      <alignment horizontal="center"/>
    </xf>
    <xf numFmtId="165" fontId="13" fillId="23" borderId="7" xfId="0" applyNumberFormat="1" applyFont="1" applyFill="1" applyBorder="1" applyAlignment="1">
      <alignment horizontal="center"/>
    </xf>
    <xf numFmtId="165" fontId="25" fillId="23" borderId="7" xfId="0" applyNumberFormat="1" applyFont="1" applyFill="1" applyBorder="1" applyAlignment="1">
      <alignment horizontal="center"/>
    </xf>
    <xf numFmtId="165" fontId="26" fillId="23" borderId="7" xfId="0" applyNumberFormat="1" applyFont="1" applyFill="1" applyBorder="1" applyAlignment="1">
      <alignment horizontal="center"/>
    </xf>
    <xf numFmtId="165" fontId="27" fillId="23" borderId="7" xfId="0" applyNumberFormat="1" applyFont="1" applyFill="1" applyBorder="1"/>
    <xf numFmtId="0" fontId="11" fillId="22" borderId="7" xfId="0" applyFont="1" applyFill="1" applyBorder="1" applyAlignment="1">
      <alignment horizontal="center" vertical="center"/>
    </xf>
    <xf numFmtId="0" fontId="12" fillId="35" borderId="7" xfId="0" applyFont="1" applyFill="1" applyBorder="1" applyAlignment="1">
      <alignment horizontal="center" vertical="center"/>
    </xf>
    <xf numFmtId="0" fontId="19" fillId="36" borderId="7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9" fillId="8" borderId="7" xfId="0" applyFont="1" applyFill="1" applyBorder="1" applyAlignment="1">
      <alignment horizontal="center" vertical="center"/>
    </xf>
    <xf numFmtId="0" fontId="19" fillId="5" borderId="7" xfId="0" applyFont="1" applyFill="1" applyBorder="1" applyAlignment="1">
      <alignment horizontal="center"/>
    </xf>
    <xf numFmtId="0" fontId="13" fillId="9" borderId="7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3" fillId="37" borderId="7" xfId="0" applyFont="1" applyFill="1" applyBorder="1" applyAlignment="1">
      <alignment horizontal="center"/>
    </xf>
    <xf numFmtId="0" fontId="13" fillId="6" borderId="7" xfId="0" applyFont="1" applyFill="1" applyBorder="1" applyAlignment="1">
      <alignment horizontal="center"/>
    </xf>
    <xf numFmtId="0" fontId="19" fillId="38" borderId="7" xfId="0" applyFont="1" applyFill="1" applyBorder="1" applyAlignment="1">
      <alignment horizontal="center"/>
    </xf>
    <xf numFmtId="0" fontId="13" fillId="39" borderId="7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13" fillId="40" borderId="7" xfId="0" applyFont="1" applyFill="1" applyBorder="1" applyAlignment="1">
      <alignment horizontal="center"/>
    </xf>
    <xf numFmtId="0" fontId="21" fillId="41" borderId="7" xfId="0" applyFont="1" applyFill="1" applyBorder="1" applyAlignment="1">
      <alignment horizontal="center"/>
    </xf>
    <xf numFmtId="0" fontId="22" fillId="42" borderId="7" xfId="0" applyFont="1" applyFill="1" applyBorder="1" applyAlignment="1">
      <alignment horizontal="center"/>
    </xf>
    <xf numFmtId="0" fontId="12" fillId="5" borderId="7" xfId="0" applyFont="1" applyFill="1" applyBorder="1" applyAlignment="1">
      <alignment horizontal="center"/>
    </xf>
    <xf numFmtId="0" fontId="12" fillId="38" borderId="7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3" fillId="43" borderId="7" xfId="0" applyFont="1" applyFill="1" applyBorder="1" applyAlignment="1">
      <alignment horizontal="center"/>
    </xf>
    <xf numFmtId="0" fontId="12" fillId="38" borderId="7" xfId="0" applyFont="1" applyFill="1" applyBorder="1" applyAlignment="1">
      <alignment horizontal="center"/>
    </xf>
    <xf numFmtId="0" fontId="23" fillId="40" borderId="7" xfId="0" applyFont="1" applyFill="1" applyBorder="1" applyAlignment="1">
      <alignment horizontal="center"/>
    </xf>
    <xf numFmtId="165" fontId="8" fillId="6" borderId="7" xfId="0" applyNumberFormat="1" applyFont="1" applyFill="1" applyBorder="1" applyAlignment="1">
      <alignment horizontal="center"/>
    </xf>
    <xf numFmtId="0" fontId="18" fillId="2" borderId="7" xfId="0" applyFont="1" applyFill="1" applyBorder="1" applyAlignment="1">
      <alignment horizontal="center"/>
    </xf>
    <xf numFmtId="0" fontId="24" fillId="5" borderId="7" xfId="0" applyFont="1" applyFill="1" applyBorder="1" applyAlignment="1">
      <alignment horizontal="center"/>
    </xf>
    <xf numFmtId="165" fontId="12" fillId="2" borderId="7" xfId="0" applyNumberFormat="1" applyFont="1" applyFill="1" applyBorder="1" applyAlignment="1">
      <alignment horizontal="center"/>
    </xf>
    <xf numFmtId="165" fontId="12" fillId="38" borderId="7" xfId="0" applyNumberFormat="1" applyFont="1" applyFill="1" applyBorder="1" applyAlignment="1">
      <alignment horizontal="center"/>
    </xf>
    <xf numFmtId="165" fontId="24" fillId="5" borderId="7" xfId="0" applyNumberFormat="1" applyFont="1" applyFill="1" applyBorder="1" applyAlignment="1">
      <alignment horizontal="center"/>
    </xf>
    <xf numFmtId="165" fontId="13" fillId="9" borderId="7" xfId="0" applyNumberFormat="1" applyFont="1" applyFill="1" applyBorder="1" applyAlignment="1">
      <alignment horizontal="center"/>
    </xf>
    <xf numFmtId="165" fontId="25" fillId="41" borderId="7" xfId="0" applyNumberFormat="1" applyFont="1" applyFill="1" applyBorder="1" applyAlignment="1">
      <alignment horizontal="center"/>
    </xf>
    <xf numFmtId="165" fontId="26" fillId="41" borderId="7" xfId="0" applyNumberFormat="1" applyFont="1" applyFill="1" applyBorder="1" applyAlignment="1">
      <alignment horizontal="center"/>
    </xf>
    <xf numFmtId="0" fontId="13" fillId="21" borderId="7" xfId="0" applyFont="1" applyFill="1" applyBorder="1" applyAlignment="1">
      <alignment horizontal="center"/>
    </xf>
    <xf numFmtId="0" fontId="13" fillId="44" borderId="7" xfId="0" applyFont="1" applyFill="1" applyBorder="1" applyAlignment="1">
      <alignment horizontal="center"/>
    </xf>
    <xf numFmtId="0" fontId="13" fillId="30" borderId="7" xfId="0" applyFont="1" applyFill="1" applyBorder="1" applyAlignment="1">
      <alignment horizontal="center"/>
    </xf>
    <xf numFmtId="0" fontId="11" fillId="19" borderId="7" xfId="0" applyFont="1" applyFill="1" applyBorder="1" applyAlignment="1">
      <alignment horizontal="center" vertical="center"/>
    </xf>
    <xf numFmtId="0" fontId="19" fillId="6" borderId="7" xfId="0" applyFont="1" applyFill="1" applyBorder="1" applyAlignment="1">
      <alignment horizontal="center" vertical="center"/>
    </xf>
    <xf numFmtId="0" fontId="19" fillId="45" borderId="7" xfId="0" applyFont="1" applyFill="1" applyBorder="1" applyAlignment="1">
      <alignment horizontal="center"/>
    </xf>
    <xf numFmtId="0" fontId="13" fillId="40" borderId="7" xfId="0" applyFont="1" applyFill="1" applyBorder="1" applyAlignment="1">
      <alignment horizontal="center" vertical="center"/>
    </xf>
    <xf numFmtId="0" fontId="18" fillId="38" borderId="7" xfId="0" applyFont="1" applyFill="1" applyBorder="1" applyAlignment="1">
      <alignment horizontal="center"/>
    </xf>
    <xf numFmtId="0" fontId="8" fillId="40" borderId="7" xfId="0" applyFont="1" applyFill="1" applyBorder="1" applyAlignment="1">
      <alignment horizontal="center"/>
    </xf>
    <xf numFmtId="0" fontId="25" fillId="41" borderId="7" xfId="0" applyFont="1" applyFill="1" applyBorder="1" applyAlignment="1">
      <alignment horizontal="center"/>
    </xf>
    <xf numFmtId="0" fontId="13" fillId="46" borderId="7" xfId="0" applyFont="1" applyFill="1" applyBorder="1" applyAlignment="1">
      <alignment horizontal="center"/>
    </xf>
    <xf numFmtId="0" fontId="12" fillId="6" borderId="7" xfId="0" applyFont="1" applyFill="1" applyBorder="1" applyAlignment="1">
      <alignment horizontal="center" vertical="center"/>
    </xf>
    <xf numFmtId="0" fontId="28" fillId="36" borderId="7" xfId="0" applyFont="1" applyFill="1" applyBorder="1" applyAlignment="1">
      <alignment horizontal="center" vertical="center"/>
    </xf>
    <xf numFmtId="0" fontId="13" fillId="9" borderId="7" xfId="0" applyFont="1" applyFill="1" applyBorder="1" applyAlignment="1">
      <alignment horizontal="center" vertical="center"/>
    </xf>
    <xf numFmtId="0" fontId="13" fillId="10" borderId="7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/>
    </xf>
    <xf numFmtId="0" fontId="28" fillId="2" borderId="7" xfId="0" applyFont="1" applyFill="1" applyBorder="1" applyAlignment="1">
      <alignment horizontal="center"/>
    </xf>
    <xf numFmtId="0" fontId="12" fillId="5" borderId="7" xfId="0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/>
    </xf>
    <xf numFmtId="0" fontId="18" fillId="5" borderId="7" xfId="0" applyFont="1" applyFill="1" applyBorder="1" applyAlignment="1">
      <alignment horizontal="center"/>
    </xf>
    <xf numFmtId="165" fontId="29" fillId="6" borderId="7" xfId="0" applyNumberFormat="1" applyFont="1" applyFill="1" applyBorder="1" applyAlignment="1">
      <alignment horizontal="center"/>
    </xf>
    <xf numFmtId="165" fontId="24" fillId="2" borderId="7" xfId="0" applyNumberFormat="1" applyFont="1" applyFill="1" applyBorder="1" applyAlignment="1">
      <alignment horizontal="center"/>
    </xf>
    <xf numFmtId="0" fontId="13" fillId="3" borderId="7" xfId="0" applyFont="1" applyFill="1" applyBorder="1" applyAlignment="1">
      <alignment horizontal="center"/>
    </xf>
    <xf numFmtId="0" fontId="13" fillId="6" borderId="7" xfId="0" applyFont="1" applyFill="1" applyBorder="1" applyAlignment="1">
      <alignment horizontal="center" vertical="center"/>
    </xf>
    <xf numFmtId="165" fontId="13" fillId="6" borderId="7" xfId="0" applyNumberFormat="1" applyFont="1" applyFill="1" applyBorder="1" applyAlignment="1">
      <alignment horizontal="center"/>
    </xf>
    <xf numFmtId="0" fontId="12" fillId="31" borderId="7" xfId="0" applyFont="1" applyFill="1" applyBorder="1" applyAlignment="1">
      <alignment horizontal="center"/>
    </xf>
    <xf numFmtId="0" fontId="21" fillId="41" borderId="7" xfId="0" applyFont="1" applyFill="1" applyBorder="1" applyAlignment="1">
      <alignment horizontal="center" vertical="center"/>
    </xf>
    <xf numFmtId="0" fontId="13" fillId="28" borderId="7" xfId="0" applyFont="1" applyFill="1" applyBorder="1" applyAlignment="1">
      <alignment horizontal="center"/>
    </xf>
    <xf numFmtId="0" fontId="13" fillId="47" borderId="7" xfId="0" applyFont="1" applyFill="1" applyBorder="1" applyAlignment="1">
      <alignment horizontal="center"/>
    </xf>
    <xf numFmtId="0" fontId="19" fillId="35" borderId="7" xfId="0" applyFont="1" applyFill="1" applyBorder="1" applyAlignment="1">
      <alignment horizontal="center" vertical="center"/>
    </xf>
    <xf numFmtId="0" fontId="19" fillId="7" borderId="7" xfId="0" applyFont="1" applyFill="1" applyBorder="1" applyAlignment="1">
      <alignment horizontal="center"/>
    </xf>
    <xf numFmtId="165" fontId="21" fillId="41" borderId="7" xfId="0" applyNumberFormat="1" applyFont="1" applyFill="1" applyBorder="1" applyAlignment="1">
      <alignment horizontal="center"/>
    </xf>
    <xf numFmtId="0" fontId="12" fillId="9" borderId="7" xfId="0" applyFont="1" applyFill="1" applyBorder="1" applyAlignment="1">
      <alignment horizontal="center"/>
    </xf>
    <xf numFmtId="165" fontId="18" fillId="2" borderId="7" xfId="0" applyNumberFormat="1" applyFont="1" applyFill="1" applyBorder="1" applyAlignment="1">
      <alignment horizontal="center"/>
    </xf>
    <xf numFmtId="0" fontId="30" fillId="41" borderId="7" xfId="0" applyFont="1" applyFill="1" applyBorder="1" applyAlignment="1">
      <alignment horizontal="center"/>
    </xf>
    <xf numFmtId="0" fontId="13" fillId="46" borderId="7" xfId="0" applyFont="1" applyFill="1" applyBorder="1" applyAlignment="1">
      <alignment horizontal="center" vertical="center"/>
    </xf>
    <xf numFmtId="165" fontId="18" fillId="38" borderId="7" xfId="0" applyNumberFormat="1" applyFont="1" applyFill="1" applyBorder="1" applyAlignment="1">
      <alignment horizontal="center"/>
    </xf>
    <xf numFmtId="0" fontId="19" fillId="46" borderId="7" xfId="0" applyFont="1" applyFill="1" applyBorder="1" applyAlignment="1">
      <alignment horizontal="center"/>
    </xf>
    <xf numFmtId="0" fontId="24" fillId="2" borderId="7" xfId="0" applyFont="1" applyFill="1" applyBorder="1" applyAlignment="1">
      <alignment horizontal="center"/>
    </xf>
    <xf numFmtId="0" fontId="31" fillId="44" borderId="7" xfId="0" applyFont="1" applyFill="1" applyBorder="1" applyAlignment="1">
      <alignment horizontal="center"/>
    </xf>
    <xf numFmtId="0" fontId="13" fillId="48" borderId="7" xfId="0" applyFont="1" applyFill="1" applyBorder="1" applyAlignment="1">
      <alignment horizontal="center"/>
    </xf>
    <xf numFmtId="165" fontId="23" fillId="40" borderId="7" xfId="0" applyNumberFormat="1" applyFont="1" applyFill="1" applyBorder="1" applyAlignment="1">
      <alignment horizontal="center"/>
    </xf>
    <xf numFmtId="165" fontId="30" fillId="41" borderId="7" xfId="0" applyNumberFormat="1" applyFont="1" applyFill="1" applyBorder="1" applyAlignment="1">
      <alignment horizontal="center"/>
    </xf>
    <xf numFmtId="165" fontId="13" fillId="40" borderId="7" xfId="0" applyNumberFormat="1" applyFont="1" applyFill="1" applyBorder="1" applyAlignment="1">
      <alignment horizontal="center"/>
    </xf>
    <xf numFmtId="0" fontId="12" fillId="23" borderId="7" xfId="0" applyFont="1" applyFill="1" applyBorder="1"/>
    <xf numFmtId="14" fontId="32" fillId="23" borderId="7" xfId="0" applyNumberFormat="1" applyFont="1" applyFill="1" applyBorder="1" applyAlignment="1">
      <alignment horizontal="center"/>
    </xf>
    <xf numFmtId="0" fontId="10" fillId="36" borderId="7" xfId="0" applyFont="1" applyFill="1" applyBorder="1" applyAlignment="1">
      <alignment horizontal="center" vertical="center"/>
    </xf>
    <xf numFmtId="0" fontId="10" fillId="8" borderId="7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8" fillId="37" borderId="7" xfId="0" applyFont="1" applyFill="1" applyBorder="1" applyAlignment="1">
      <alignment horizontal="center"/>
    </xf>
    <xf numFmtId="0" fontId="8" fillId="6" borderId="7" xfId="0" applyFont="1" applyFill="1" applyBorder="1" applyAlignment="1">
      <alignment horizontal="center"/>
    </xf>
    <xf numFmtId="0" fontId="10" fillId="38" borderId="7" xfId="0" applyFont="1" applyFill="1" applyBorder="1" applyAlignment="1">
      <alignment horizontal="center"/>
    </xf>
    <xf numFmtId="0" fontId="8" fillId="39" borderId="7" xfId="0" applyFont="1" applyFill="1" applyBorder="1" applyAlignment="1">
      <alignment horizontal="center"/>
    </xf>
    <xf numFmtId="0" fontId="33" fillId="42" borderId="7" xfId="0" applyFont="1" applyFill="1" applyBorder="1" applyAlignment="1">
      <alignment horizontal="center"/>
    </xf>
    <xf numFmtId="0" fontId="18" fillId="38" borderId="7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8" fillId="43" borderId="7" xfId="0" applyFont="1" applyFill="1" applyBorder="1" applyAlignment="1">
      <alignment horizontal="center"/>
    </xf>
    <xf numFmtId="165" fontId="18" fillId="5" borderId="7" xfId="0" applyNumberFormat="1" applyFont="1" applyFill="1" applyBorder="1" applyAlignment="1">
      <alignment horizontal="center"/>
    </xf>
    <xf numFmtId="165" fontId="8" fillId="9" borderId="7" xfId="0" applyNumberFormat="1" applyFont="1" applyFill="1" applyBorder="1" applyAlignment="1">
      <alignment horizontal="center"/>
    </xf>
    <xf numFmtId="165" fontId="34" fillId="41" borderId="7" xfId="0" applyNumberFormat="1" applyFont="1" applyFill="1" applyBorder="1" applyAlignment="1">
      <alignment horizontal="center"/>
    </xf>
    <xf numFmtId="0" fontId="8" fillId="21" borderId="7" xfId="0" applyFont="1" applyFill="1" applyBorder="1" applyAlignment="1">
      <alignment horizontal="center"/>
    </xf>
    <xf numFmtId="0" fontId="8" fillId="36" borderId="7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/>
    </xf>
    <xf numFmtId="0" fontId="8" fillId="40" borderId="7" xfId="0" applyFont="1" applyFill="1" applyBorder="1" applyAlignment="1">
      <alignment horizontal="center" vertical="center"/>
    </xf>
    <xf numFmtId="0" fontId="35" fillId="30" borderId="7" xfId="0" applyFont="1" applyFill="1" applyBorder="1" applyAlignment="1">
      <alignment horizontal="center"/>
    </xf>
    <xf numFmtId="0" fontId="10" fillId="6" borderId="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/>
    </xf>
    <xf numFmtId="0" fontId="36" fillId="2" borderId="7" xfId="0" applyFont="1" applyFill="1" applyBorder="1" applyAlignment="1">
      <alignment horizontal="center"/>
    </xf>
    <xf numFmtId="0" fontId="18" fillId="5" borderId="7" xfId="0" applyFont="1" applyFill="1" applyBorder="1" applyAlignment="1">
      <alignment horizontal="center" vertical="center"/>
    </xf>
    <xf numFmtId="0" fontId="8" fillId="46" borderId="7" xfId="0" applyFont="1" applyFill="1" applyBorder="1" applyAlignment="1">
      <alignment horizontal="center"/>
    </xf>
    <xf numFmtId="0" fontId="8" fillId="6" borderId="7" xfId="0" applyFont="1" applyFill="1" applyBorder="1" applyAlignment="1">
      <alignment horizontal="center" vertical="center"/>
    </xf>
    <xf numFmtId="0" fontId="18" fillId="31" borderId="7" xfId="0" applyFont="1" applyFill="1" applyBorder="1" applyAlignment="1">
      <alignment horizontal="center"/>
    </xf>
    <xf numFmtId="0" fontId="30" fillId="41" borderId="7" xfId="0" applyFont="1" applyFill="1" applyBorder="1" applyAlignment="1">
      <alignment horizontal="center" vertical="center"/>
    </xf>
    <xf numFmtId="0" fontId="8" fillId="28" borderId="7" xfId="0" applyFont="1" applyFill="1" applyBorder="1" applyAlignment="1">
      <alignment horizontal="center"/>
    </xf>
    <xf numFmtId="0" fontId="10" fillId="35" borderId="7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/>
    </xf>
    <xf numFmtId="0" fontId="18" fillId="9" borderId="7" xfId="0" applyFont="1" applyFill="1" applyBorder="1" applyAlignment="1">
      <alignment horizontal="center"/>
    </xf>
    <xf numFmtId="0" fontId="8" fillId="46" borderId="7" xfId="0" applyFont="1" applyFill="1" applyBorder="1" applyAlignment="1">
      <alignment horizontal="center" vertical="center"/>
    </xf>
    <xf numFmtId="0" fontId="8" fillId="48" borderId="7" xfId="0" applyFont="1" applyFill="1" applyBorder="1" applyAlignment="1">
      <alignment horizontal="center"/>
    </xf>
    <xf numFmtId="165" fontId="8" fillId="40" borderId="7" xfId="0" applyNumberFormat="1" applyFont="1" applyFill="1" applyBorder="1" applyAlignment="1">
      <alignment horizontal="center"/>
    </xf>
    <xf numFmtId="0" fontId="10" fillId="22" borderId="7" xfId="0" applyFont="1" applyFill="1" applyBorder="1" applyAlignment="1">
      <alignment horizontal="center" vertical="center"/>
    </xf>
    <xf numFmtId="0" fontId="37" fillId="22" borderId="7" xfId="0" applyFont="1" applyFill="1" applyBorder="1" applyAlignment="1">
      <alignment horizontal="center" vertical="center"/>
    </xf>
    <xf numFmtId="0" fontId="8" fillId="27" borderId="7" xfId="0" applyFont="1" applyFill="1" applyBorder="1" applyAlignment="1">
      <alignment horizontal="center" vertical="center"/>
    </xf>
    <xf numFmtId="0" fontId="10" fillId="19" borderId="7" xfId="0" applyFont="1" applyFill="1" applyBorder="1" applyAlignment="1">
      <alignment horizontal="center" vertical="center"/>
    </xf>
    <xf numFmtId="0" fontId="37" fillId="19" borderId="7" xfId="0" applyFont="1" applyFill="1" applyBorder="1" applyAlignment="1">
      <alignment horizontal="center" vertical="center"/>
    </xf>
    <xf numFmtId="0" fontId="38" fillId="0" borderId="7" xfId="0" applyFont="1" applyBorder="1" applyAlignment="1">
      <alignment horizontal="center" vertical="center"/>
    </xf>
    <xf numFmtId="0" fontId="1" fillId="0" borderId="28" xfId="0" applyFont="1" applyBorder="1"/>
    <xf numFmtId="0" fontId="14" fillId="13" borderId="29" xfId="0" applyFont="1" applyFill="1" applyBorder="1" applyAlignment="1">
      <alignment horizontal="center"/>
    </xf>
    <xf numFmtId="0" fontId="14" fillId="13" borderId="0" xfId="0" applyFont="1" applyFill="1" applyAlignment="1">
      <alignment horizontal="center"/>
    </xf>
    <xf numFmtId="0" fontId="27" fillId="0" borderId="0" xfId="0" applyFont="1" applyAlignment="1">
      <alignment horizontal="right"/>
    </xf>
    <xf numFmtId="166" fontId="6" fillId="0" borderId="31" xfId="0" applyNumberFormat="1" applyFont="1" applyBorder="1" applyAlignment="1">
      <alignment horizontal="right"/>
    </xf>
    <xf numFmtId="166" fontId="6" fillId="0" borderId="20" xfId="0" applyNumberFormat="1" applyFont="1" applyBorder="1" applyAlignment="1">
      <alignment horizontal="right"/>
    </xf>
    <xf numFmtId="166" fontId="6" fillId="0" borderId="14" xfId="0" applyNumberFormat="1" applyFont="1" applyBorder="1" applyAlignment="1">
      <alignment horizontal="right"/>
    </xf>
    <xf numFmtId="166" fontId="6" fillId="50" borderId="14" xfId="0" applyNumberFormat="1" applyFont="1" applyFill="1" applyBorder="1" applyAlignment="1">
      <alignment horizontal="right"/>
    </xf>
    <xf numFmtId="166" fontId="6" fillId="8" borderId="14" xfId="0" applyNumberFormat="1" applyFont="1" applyFill="1" applyBorder="1" applyAlignment="1">
      <alignment horizontal="right"/>
    </xf>
    <xf numFmtId="166" fontId="6" fillId="0" borderId="0" xfId="0" applyNumberFormat="1" applyFont="1" applyAlignment="1">
      <alignment horizontal="right"/>
    </xf>
    <xf numFmtId="0" fontId="39" fillId="0" borderId="0" xfId="0" applyFont="1"/>
    <xf numFmtId="0" fontId="40" fillId="6" borderId="0" xfId="0" applyFont="1" applyFill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4" fillId="48" borderId="7" xfId="0" applyFont="1" applyFill="1" applyBorder="1" applyAlignment="1">
      <alignment horizontal="center"/>
    </xf>
    <xf numFmtId="0" fontId="4" fillId="32" borderId="7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31" fillId="43" borderId="26" xfId="0" applyFont="1" applyFill="1" applyBorder="1" applyAlignment="1">
      <alignment horizontal="center"/>
    </xf>
    <xf numFmtId="0" fontId="4" fillId="51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1" fillId="9" borderId="7" xfId="0" applyFont="1" applyFill="1" applyBorder="1" applyAlignment="1">
      <alignment horizontal="center" vertical="center"/>
    </xf>
    <xf numFmtId="0" fontId="40" fillId="5" borderId="14" xfId="0" applyFont="1" applyFill="1" applyBorder="1" applyAlignment="1">
      <alignment horizontal="center" vertical="center"/>
    </xf>
    <xf numFmtId="0" fontId="40" fillId="5" borderId="7" xfId="0" applyFont="1" applyFill="1" applyBorder="1" applyAlignment="1">
      <alignment horizontal="center"/>
    </xf>
    <xf numFmtId="0" fontId="4" fillId="46" borderId="7" xfId="0" applyFont="1" applyFill="1" applyBorder="1" applyAlignment="1">
      <alignment horizontal="center"/>
    </xf>
    <xf numFmtId="0" fontId="1" fillId="0" borderId="0" xfId="0" applyFont="1"/>
    <xf numFmtId="0" fontId="18" fillId="52" borderId="7" xfId="0" applyFont="1" applyFill="1" applyBorder="1" applyAlignment="1">
      <alignment horizontal="center" vertical="center"/>
    </xf>
    <xf numFmtId="3" fontId="18" fillId="52" borderId="7" xfId="0" applyNumberFormat="1" applyFont="1" applyFill="1" applyBorder="1" applyAlignment="1">
      <alignment horizontal="center" vertical="center"/>
    </xf>
    <xf numFmtId="0" fontId="41" fillId="23" borderId="7" xfId="0" applyFont="1" applyFill="1" applyBorder="1" applyAlignment="1">
      <alignment horizontal="center" vertical="center"/>
    </xf>
    <xf numFmtId="0" fontId="18" fillId="35" borderId="7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36" fillId="36" borderId="7" xfId="0" applyFont="1" applyFill="1" applyBorder="1" applyAlignment="1">
      <alignment horizontal="center" vertical="center"/>
    </xf>
    <xf numFmtId="0" fontId="10" fillId="38" borderId="7" xfId="0" applyFont="1" applyFill="1" applyBorder="1" applyAlignment="1">
      <alignment horizontal="center" vertical="center"/>
    </xf>
    <xf numFmtId="0" fontId="8" fillId="53" borderId="7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8" fillId="28" borderId="7" xfId="0" applyFont="1" applyFill="1" applyBorder="1" applyAlignment="1">
      <alignment horizontal="center" vertical="center"/>
    </xf>
    <xf numFmtId="0" fontId="10" fillId="46" borderId="7" xfId="0" applyFont="1" applyFill="1" applyBorder="1" applyAlignment="1">
      <alignment horizontal="center"/>
    </xf>
    <xf numFmtId="0" fontId="8" fillId="44" borderId="7" xfId="0" applyFont="1" applyFill="1" applyBorder="1" applyAlignment="1">
      <alignment horizontal="center"/>
    </xf>
    <xf numFmtId="0" fontId="8" fillId="30" borderId="7" xfId="0" applyFont="1" applyFill="1" applyBorder="1" applyAlignment="1">
      <alignment horizontal="center" vertical="center"/>
    </xf>
    <xf numFmtId="0" fontId="8" fillId="43" borderId="7" xfId="0" applyFont="1" applyFill="1" applyBorder="1" applyAlignment="1">
      <alignment horizontal="center" vertical="center"/>
    </xf>
    <xf numFmtId="0" fontId="8" fillId="30" borderId="7" xfId="0" applyFont="1" applyFill="1" applyBorder="1" applyAlignment="1">
      <alignment horizontal="center"/>
    </xf>
    <xf numFmtId="0" fontId="10" fillId="54" borderId="7" xfId="0" applyFont="1" applyFill="1" applyBorder="1" applyAlignment="1">
      <alignment horizontal="center" vertical="center"/>
    </xf>
    <xf numFmtId="0" fontId="10" fillId="43" borderId="7" xfId="0" applyFont="1" applyFill="1" applyBorder="1" applyAlignment="1">
      <alignment horizontal="center" vertical="center"/>
    </xf>
    <xf numFmtId="0" fontId="36" fillId="2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48" borderId="7" xfId="0" applyFont="1" applyFill="1" applyBorder="1" applyAlignment="1">
      <alignment horizontal="center" vertical="center"/>
    </xf>
    <xf numFmtId="0" fontId="10" fillId="40" borderId="7" xfId="0" applyFont="1" applyFill="1" applyBorder="1" applyAlignment="1">
      <alignment horizontal="center" vertical="center"/>
    </xf>
    <xf numFmtId="165" fontId="8" fillId="6" borderId="7" xfId="0" applyNumberFormat="1" applyFont="1" applyFill="1" applyBorder="1" applyAlignment="1">
      <alignment horizontal="center" vertical="center"/>
    </xf>
    <xf numFmtId="165" fontId="18" fillId="2" borderId="7" xfId="0" applyNumberFormat="1" applyFont="1" applyFill="1" applyBorder="1" applyAlignment="1">
      <alignment horizontal="center" vertical="center"/>
    </xf>
    <xf numFmtId="0" fontId="8" fillId="49" borderId="7" xfId="0" applyFont="1" applyFill="1" applyBorder="1" applyAlignment="1">
      <alignment horizontal="center" vertical="center"/>
    </xf>
    <xf numFmtId="165" fontId="18" fillId="49" borderId="7" xfId="0" applyNumberFormat="1" applyFont="1" applyFill="1" applyBorder="1" applyAlignment="1">
      <alignment horizontal="center" vertical="center"/>
    </xf>
    <xf numFmtId="0" fontId="18" fillId="49" borderId="7" xfId="0" applyFont="1" applyFill="1" applyBorder="1" applyAlignment="1">
      <alignment horizontal="center" vertical="center"/>
    </xf>
    <xf numFmtId="165" fontId="18" fillId="5" borderId="7" xfId="0" applyNumberFormat="1" applyFont="1" applyFill="1" applyBorder="1" applyAlignment="1">
      <alignment horizontal="center" vertical="center"/>
    </xf>
    <xf numFmtId="165" fontId="8" fillId="23" borderId="7" xfId="0" applyNumberFormat="1" applyFont="1" applyFill="1" applyBorder="1" applyAlignment="1">
      <alignment horizontal="center" vertical="center"/>
    </xf>
    <xf numFmtId="165" fontId="8" fillId="28" borderId="7" xfId="0" applyNumberFormat="1" applyFont="1" applyFill="1" applyBorder="1" applyAlignment="1">
      <alignment horizontal="center" vertical="center"/>
    </xf>
    <xf numFmtId="165" fontId="8" fillId="40" borderId="7" xfId="0" applyNumberFormat="1" applyFont="1" applyFill="1" applyBorder="1" applyAlignment="1">
      <alignment horizontal="center" vertical="center"/>
    </xf>
    <xf numFmtId="0" fontId="10" fillId="21" borderId="7" xfId="0" applyFont="1" applyFill="1" applyBorder="1" applyAlignment="1">
      <alignment horizontal="center" vertical="center"/>
    </xf>
    <xf numFmtId="0" fontId="18" fillId="25" borderId="7" xfId="0" applyFont="1" applyFill="1" applyBorder="1" applyAlignment="1">
      <alignment horizontal="center" vertical="center"/>
    </xf>
    <xf numFmtId="0" fontId="19" fillId="25" borderId="7" xfId="0" applyFont="1" applyFill="1" applyBorder="1" applyAlignment="1">
      <alignment horizontal="center"/>
    </xf>
    <xf numFmtId="0" fontId="19" fillId="21" borderId="7" xfId="0" applyFont="1" applyFill="1" applyBorder="1" applyAlignment="1">
      <alignment horizontal="center"/>
    </xf>
    <xf numFmtId="0" fontId="42" fillId="22" borderId="7" xfId="0" applyFont="1" applyFill="1" applyBorder="1" applyAlignment="1">
      <alignment horizontal="center" vertical="center"/>
    </xf>
    <xf numFmtId="0" fontId="43" fillId="2" borderId="7" xfId="0" applyFont="1" applyFill="1" applyBorder="1" applyAlignment="1">
      <alignment horizontal="center" vertical="center"/>
    </xf>
    <xf numFmtId="0" fontId="19" fillId="5" borderId="23" xfId="0" applyFont="1" applyFill="1" applyBorder="1" applyAlignment="1">
      <alignment horizontal="center"/>
    </xf>
    <xf numFmtId="0" fontId="44" fillId="19" borderId="7" xfId="0" applyFont="1" applyFill="1" applyBorder="1" applyAlignment="1">
      <alignment horizontal="center" vertical="center"/>
    </xf>
    <xf numFmtId="0" fontId="18" fillId="27" borderId="7" xfId="0" applyFont="1" applyFill="1" applyBorder="1" applyAlignment="1">
      <alignment horizontal="center" vertical="center"/>
    </xf>
    <xf numFmtId="0" fontId="45" fillId="46" borderId="7" xfId="0" applyFont="1" applyFill="1" applyBorder="1" applyAlignment="1">
      <alignment horizontal="center"/>
    </xf>
    <xf numFmtId="0" fontId="19" fillId="5" borderId="26" xfId="0" applyFont="1" applyFill="1" applyBorder="1" applyAlignment="1">
      <alignment horizontal="center"/>
    </xf>
    <xf numFmtId="0" fontId="10" fillId="9" borderId="7" xfId="0" applyFont="1" applyFill="1" applyBorder="1" applyAlignment="1">
      <alignment horizontal="center" vertical="center"/>
    </xf>
    <xf numFmtId="0" fontId="13" fillId="12" borderId="7" xfId="0" applyFont="1" applyFill="1" applyBorder="1" applyAlignment="1">
      <alignment horizontal="center" vertical="center"/>
    </xf>
    <xf numFmtId="0" fontId="10" fillId="53" borderId="7" xfId="0" applyFont="1" applyFill="1" applyBorder="1" applyAlignment="1">
      <alignment horizontal="center" vertical="center"/>
    </xf>
    <xf numFmtId="0" fontId="19" fillId="14" borderId="7" xfId="0" applyFont="1" applyFill="1" applyBorder="1" applyAlignment="1">
      <alignment horizontal="center"/>
    </xf>
    <xf numFmtId="0" fontId="19" fillId="11" borderId="7" xfId="0" applyFont="1" applyFill="1" applyBorder="1" applyAlignment="1">
      <alignment horizontal="center"/>
    </xf>
    <xf numFmtId="0" fontId="19" fillId="29" borderId="7" xfId="0" applyFont="1" applyFill="1" applyBorder="1" applyAlignment="1">
      <alignment horizontal="center"/>
    </xf>
    <xf numFmtId="0" fontId="18" fillId="56" borderId="7" xfId="0" applyFont="1" applyFill="1" applyBorder="1" applyAlignment="1">
      <alignment horizontal="center" vertical="center"/>
    </xf>
    <xf numFmtId="0" fontId="10" fillId="57" borderId="7" xfId="0" applyFont="1" applyFill="1" applyBorder="1" applyAlignment="1">
      <alignment horizontal="center" vertical="center"/>
    </xf>
    <xf numFmtId="0" fontId="18" fillId="48" borderId="7" xfId="0" applyFont="1" applyFill="1" applyBorder="1" applyAlignment="1">
      <alignment horizontal="center" vertical="center"/>
    </xf>
    <xf numFmtId="0" fontId="8" fillId="18" borderId="7" xfId="0" applyFont="1" applyFill="1" applyBorder="1" applyAlignment="1">
      <alignment horizontal="center" vertical="center"/>
    </xf>
    <xf numFmtId="0" fontId="13" fillId="58" borderId="7" xfId="0" applyFont="1" applyFill="1" applyBorder="1" applyAlignment="1">
      <alignment horizontal="center" vertical="center"/>
    </xf>
    <xf numFmtId="0" fontId="10" fillId="30" borderId="7" xfId="0" applyFont="1" applyFill="1" applyBorder="1" applyAlignment="1">
      <alignment horizontal="center" vertical="center"/>
    </xf>
    <xf numFmtId="0" fontId="19" fillId="28" borderId="7" xfId="0" applyFont="1" applyFill="1" applyBorder="1" applyAlignment="1">
      <alignment horizontal="center"/>
    </xf>
    <xf numFmtId="0" fontId="18" fillId="0" borderId="7" xfId="0" applyFont="1" applyBorder="1" applyAlignment="1">
      <alignment horizontal="center" vertical="center"/>
    </xf>
    <xf numFmtId="0" fontId="13" fillId="59" borderId="7" xfId="0" applyFont="1" applyFill="1" applyBorder="1" applyAlignment="1">
      <alignment horizontal="center" vertical="center"/>
    </xf>
    <xf numFmtId="0" fontId="10" fillId="27" borderId="7" xfId="0" applyFont="1" applyFill="1" applyBorder="1" applyAlignment="1">
      <alignment horizontal="center" vertical="center"/>
    </xf>
    <xf numFmtId="0" fontId="20" fillId="23" borderId="11" xfId="0" applyFont="1" applyFill="1" applyBorder="1" applyAlignment="1">
      <alignment horizontal="center" vertical="center"/>
    </xf>
    <xf numFmtId="0" fontId="10" fillId="25" borderId="17" xfId="0" applyFont="1" applyFill="1" applyBorder="1" applyAlignment="1">
      <alignment horizontal="center" vertical="center"/>
    </xf>
    <xf numFmtId="164" fontId="10" fillId="25" borderId="17" xfId="0" applyNumberFormat="1" applyFont="1" applyFill="1" applyBorder="1" applyAlignment="1">
      <alignment horizontal="center" vertical="center"/>
    </xf>
    <xf numFmtId="0" fontId="10" fillId="26" borderId="17" xfId="0" applyFont="1" applyFill="1" applyBorder="1" applyAlignment="1">
      <alignment horizontal="center" vertical="center"/>
    </xf>
    <xf numFmtId="164" fontId="10" fillId="26" borderId="11" xfId="0" applyNumberFormat="1" applyFont="1" applyFill="1" applyBorder="1" applyAlignment="1">
      <alignment horizontal="center" vertical="center"/>
    </xf>
    <xf numFmtId="0" fontId="10" fillId="25" borderId="11" xfId="0" applyFont="1" applyFill="1" applyBorder="1" applyAlignment="1">
      <alignment horizontal="center" vertical="center"/>
    </xf>
    <xf numFmtId="164" fontId="10" fillId="25" borderId="11" xfId="0" applyNumberFormat="1" applyFont="1" applyFill="1" applyBorder="1" applyAlignment="1">
      <alignment horizontal="center" vertical="center"/>
    </xf>
    <xf numFmtId="0" fontId="10" fillId="26" borderId="11" xfId="0" applyFont="1" applyFill="1" applyBorder="1" applyAlignment="1">
      <alignment horizontal="center" vertical="center"/>
    </xf>
    <xf numFmtId="0" fontId="47" fillId="24" borderId="11" xfId="0" applyFont="1" applyFill="1" applyBorder="1" applyAlignment="1">
      <alignment horizontal="center" vertical="center"/>
    </xf>
    <xf numFmtId="0" fontId="41" fillId="4" borderId="11" xfId="0" applyFont="1" applyFill="1" applyBorder="1" applyAlignment="1">
      <alignment horizontal="center" vertical="center"/>
    </xf>
    <xf numFmtId="0" fontId="41" fillId="20" borderId="11" xfId="0" applyFont="1" applyFill="1" applyBorder="1" applyAlignment="1">
      <alignment horizontal="center" vertical="center"/>
    </xf>
    <xf numFmtId="0" fontId="41" fillId="25" borderId="11" xfId="0" applyFont="1" applyFill="1" applyBorder="1" applyAlignment="1">
      <alignment horizontal="center" vertical="center"/>
    </xf>
    <xf numFmtId="0" fontId="11" fillId="21" borderId="11" xfId="0" applyFont="1" applyFill="1" applyBorder="1" applyAlignment="1">
      <alignment horizontal="center" vertical="center"/>
    </xf>
    <xf numFmtId="0" fontId="41" fillId="21" borderId="11" xfId="0" applyFont="1" applyFill="1" applyBorder="1" applyAlignment="1">
      <alignment horizontal="center" vertical="center"/>
    </xf>
    <xf numFmtId="0" fontId="48" fillId="23" borderId="11" xfId="0" applyFont="1" applyFill="1" applyBorder="1" applyAlignment="1">
      <alignment horizontal="center" vertical="center"/>
    </xf>
    <xf numFmtId="0" fontId="47" fillId="19" borderId="11" xfId="0" applyFont="1" applyFill="1" applyBorder="1" applyAlignment="1">
      <alignment horizontal="center" vertical="center"/>
    </xf>
    <xf numFmtId="0" fontId="16" fillId="27" borderId="11" xfId="0" applyFont="1" applyFill="1" applyBorder="1" applyAlignment="1">
      <alignment horizontal="center" vertical="center"/>
    </xf>
    <xf numFmtId="0" fontId="17" fillId="23" borderId="11" xfId="0" applyFont="1" applyFill="1" applyBorder="1" applyAlignment="1">
      <alignment horizontal="center" vertical="center"/>
    </xf>
    <xf numFmtId="0" fontId="10" fillId="26" borderId="35" xfId="0" applyFont="1" applyFill="1" applyBorder="1" applyAlignment="1">
      <alignment horizontal="center" vertical="center"/>
    </xf>
    <xf numFmtId="164" fontId="10" fillId="14" borderId="11" xfId="0" applyNumberFormat="1" applyFont="1" applyFill="1" applyBorder="1" applyAlignment="1">
      <alignment horizontal="center" vertical="center"/>
    </xf>
    <xf numFmtId="164" fontId="10" fillId="15" borderId="11" xfId="0" applyNumberFormat="1" applyFont="1" applyFill="1" applyBorder="1" applyAlignment="1">
      <alignment horizontal="center" vertical="center"/>
    </xf>
    <xf numFmtId="164" fontId="10" fillId="16" borderId="11" xfId="0" applyNumberFormat="1" applyFont="1" applyFill="1" applyBorder="1" applyAlignment="1">
      <alignment horizontal="center" vertical="center"/>
    </xf>
    <xf numFmtId="164" fontId="10" fillId="17" borderId="11" xfId="0" applyNumberFormat="1" applyFont="1" applyFill="1" applyBorder="1" applyAlignment="1">
      <alignment horizontal="center" vertical="center"/>
    </xf>
    <xf numFmtId="164" fontId="10" fillId="18" borderId="11" xfId="0" applyNumberFormat="1" applyFont="1" applyFill="1" applyBorder="1" applyAlignment="1">
      <alignment horizontal="center" vertical="center"/>
    </xf>
    <xf numFmtId="164" fontId="10" fillId="28" borderId="11" xfId="0" applyNumberFormat="1" applyFont="1" applyFill="1" applyBorder="1" applyAlignment="1">
      <alignment horizontal="center" vertical="center"/>
    </xf>
    <xf numFmtId="164" fontId="10" fillId="29" borderId="11" xfId="0" applyNumberFormat="1" applyFont="1" applyFill="1" applyBorder="1" applyAlignment="1">
      <alignment horizontal="center" vertical="center"/>
    </xf>
    <xf numFmtId="0" fontId="41" fillId="27" borderId="2" xfId="0" applyFont="1" applyFill="1" applyBorder="1" applyAlignment="1">
      <alignment horizontal="center" vertical="center"/>
    </xf>
    <xf numFmtId="0" fontId="17" fillId="27" borderId="11" xfId="0" applyFont="1" applyFill="1" applyBorder="1" applyAlignment="1">
      <alignment horizontal="center" vertical="center"/>
    </xf>
    <xf numFmtId="0" fontId="41" fillId="27" borderId="16" xfId="0" applyFont="1" applyFill="1" applyBorder="1" applyAlignment="1">
      <alignment horizontal="center" vertical="center"/>
    </xf>
    <xf numFmtId="0" fontId="41" fillId="27" borderId="18" xfId="0" applyFont="1" applyFill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46" fillId="24" borderId="11" xfId="0" applyFont="1" applyFill="1" applyBorder="1" applyAlignment="1">
      <alignment horizontal="center" vertical="center"/>
    </xf>
    <xf numFmtId="164" fontId="10" fillId="14" borderId="12" xfId="0" applyNumberFormat="1" applyFont="1" applyFill="1" applyBorder="1" applyAlignment="1">
      <alignment horizontal="center" vertical="center"/>
    </xf>
    <xf numFmtId="164" fontId="10" fillId="15" borderId="12" xfId="0" applyNumberFormat="1" applyFont="1" applyFill="1" applyBorder="1" applyAlignment="1">
      <alignment horizontal="center" vertical="center"/>
    </xf>
    <xf numFmtId="164" fontId="10" fillId="16" borderId="12" xfId="0" applyNumberFormat="1" applyFont="1" applyFill="1" applyBorder="1" applyAlignment="1">
      <alignment horizontal="center" vertical="center"/>
    </xf>
    <xf numFmtId="164" fontId="10" fillId="17" borderId="12" xfId="0" applyNumberFormat="1" applyFont="1" applyFill="1" applyBorder="1" applyAlignment="1">
      <alignment horizontal="center" vertical="center"/>
    </xf>
    <xf numFmtId="164" fontId="10" fillId="18" borderId="12" xfId="0" applyNumberFormat="1" applyFont="1" applyFill="1" applyBorder="1" applyAlignment="1">
      <alignment horizontal="center" vertical="center"/>
    </xf>
    <xf numFmtId="164" fontId="10" fillId="28" borderId="12" xfId="0" applyNumberFormat="1" applyFont="1" applyFill="1" applyBorder="1" applyAlignment="1">
      <alignment horizontal="center" vertical="center"/>
    </xf>
    <xf numFmtId="164" fontId="10" fillId="29" borderId="12" xfId="0" applyNumberFormat="1" applyFont="1" applyFill="1" applyBorder="1" applyAlignment="1">
      <alignment horizontal="center" vertical="center"/>
    </xf>
    <xf numFmtId="0" fontId="19" fillId="5" borderId="11" xfId="0" applyFont="1" applyFill="1" applyBorder="1" applyAlignment="1">
      <alignment horizontal="center"/>
    </xf>
    <xf numFmtId="0" fontId="51" fillId="23" borderId="11" xfId="0" applyFont="1" applyFill="1" applyBorder="1" applyAlignment="1">
      <alignment horizontal="center" vertical="center"/>
    </xf>
    <xf numFmtId="0" fontId="13" fillId="21" borderId="11" xfId="0" applyFont="1" applyFill="1" applyBorder="1" applyAlignment="1">
      <alignment horizontal="center"/>
    </xf>
    <xf numFmtId="0" fontId="13" fillId="30" borderId="11" xfId="0" applyFont="1" applyFill="1" applyBorder="1" applyAlignment="1">
      <alignment horizontal="center"/>
    </xf>
    <xf numFmtId="0" fontId="13" fillId="6" borderId="11" xfId="0" applyFont="1" applyFill="1" applyBorder="1" applyAlignment="1">
      <alignment horizontal="center"/>
    </xf>
    <xf numFmtId="0" fontId="46" fillId="27" borderId="0" xfId="0" applyFont="1" applyFill="1" applyAlignment="1">
      <alignment horizontal="center" vertical="center"/>
    </xf>
    <xf numFmtId="0" fontId="10" fillId="27" borderId="0" xfId="0" applyFont="1" applyFill="1" applyAlignment="1">
      <alignment horizontal="center" vertical="center"/>
    </xf>
    <xf numFmtId="164" fontId="10" fillId="27" borderId="0" xfId="0" applyNumberFormat="1" applyFont="1" applyFill="1" applyAlignment="1">
      <alignment horizontal="center" vertical="center"/>
    </xf>
    <xf numFmtId="0" fontId="41" fillId="27" borderId="4" xfId="0" applyFont="1" applyFill="1" applyBorder="1" applyAlignment="1">
      <alignment horizontal="center" vertical="center"/>
    </xf>
    <xf numFmtId="0" fontId="13" fillId="44" borderId="11" xfId="0" applyFont="1" applyFill="1" applyBorder="1" applyAlignment="1">
      <alignment horizontal="center"/>
    </xf>
    <xf numFmtId="0" fontId="41" fillId="27" borderId="9" xfId="0" applyFont="1" applyFill="1" applyBorder="1" applyAlignment="1">
      <alignment horizontal="center" vertical="center"/>
    </xf>
    <xf numFmtId="0" fontId="41" fillId="27" borderId="10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/>
    </xf>
    <xf numFmtId="0" fontId="52" fillId="23" borderId="11" xfId="0" applyFont="1" applyFill="1" applyBorder="1" applyAlignment="1">
      <alignment horizontal="center" vertical="center"/>
    </xf>
    <xf numFmtId="0" fontId="53" fillId="4" borderId="11" xfId="0" applyFont="1" applyFill="1" applyBorder="1" applyAlignment="1">
      <alignment horizontal="center" vertical="center"/>
    </xf>
    <xf numFmtId="0" fontId="53" fillId="21" borderId="11" xfId="0" applyFont="1" applyFill="1" applyBorder="1" applyAlignment="1">
      <alignment horizontal="center" vertical="center"/>
    </xf>
    <xf numFmtId="0" fontId="48" fillId="23" borderId="19" xfId="0" applyFont="1" applyFill="1" applyBorder="1" applyAlignment="1">
      <alignment horizontal="center" vertical="center"/>
    </xf>
    <xf numFmtId="0" fontId="18" fillId="62" borderId="11" xfId="0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1" fillId="27" borderId="11" xfId="0" applyFont="1" applyFill="1" applyBorder="1" applyAlignment="1">
      <alignment horizontal="center" vertical="center"/>
    </xf>
    <xf numFmtId="0" fontId="11" fillId="20" borderId="11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8" fillId="21" borderId="11" xfId="0" applyFont="1" applyFill="1" applyBorder="1" applyAlignment="1">
      <alignment horizontal="center" vertical="center"/>
    </xf>
    <xf numFmtId="0" fontId="11" fillId="27" borderId="11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9" borderId="11" xfId="0" applyFont="1" applyFill="1" applyBorder="1" applyAlignment="1">
      <alignment horizontal="center" vertical="center"/>
    </xf>
    <xf numFmtId="0" fontId="48" fillId="55" borderId="11" xfId="0" applyFont="1" applyFill="1" applyBorder="1" applyAlignment="1">
      <alignment horizontal="center" vertical="center"/>
    </xf>
    <xf numFmtId="0" fontId="10" fillId="20" borderId="11" xfId="0" applyFont="1" applyFill="1" applyBorder="1" applyAlignment="1">
      <alignment horizontal="center" vertical="center"/>
    </xf>
    <xf numFmtId="0" fontId="11" fillId="46" borderId="11" xfId="0" applyFont="1" applyFill="1" applyBorder="1" applyAlignment="1">
      <alignment horizontal="center" vertical="center"/>
    </xf>
    <xf numFmtId="0" fontId="48" fillId="46" borderId="11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10" fontId="20" fillId="0" borderId="0" xfId="0" applyNumberFormat="1" applyFont="1"/>
    <xf numFmtId="167" fontId="1" fillId="0" borderId="36" xfId="0" applyNumberFormat="1" applyFont="1" applyBorder="1"/>
    <xf numFmtId="167" fontId="1" fillId="0" borderId="37" xfId="0" applyNumberFormat="1" applyFont="1" applyBorder="1"/>
    <xf numFmtId="167" fontId="6" fillId="0" borderId="8" xfId="0" applyNumberFormat="1" applyFont="1" applyBorder="1" applyAlignment="1">
      <alignment horizontal="right"/>
    </xf>
    <xf numFmtId="167" fontId="6" fillId="0" borderId="13" xfId="0" applyNumberFormat="1" applyFont="1" applyBorder="1" applyAlignment="1">
      <alignment horizontal="right"/>
    </xf>
    <xf numFmtId="167" fontId="6" fillId="0" borderId="14" xfId="0" applyNumberFormat="1" applyFont="1" applyBorder="1" applyAlignment="1">
      <alignment horizontal="right"/>
    </xf>
    <xf numFmtId="166" fontId="6" fillId="0" borderId="13" xfId="0" applyNumberFormat="1" applyFont="1" applyBorder="1" applyAlignment="1">
      <alignment horizontal="right"/>
    </xf>
    <xf numFmtId="0" fontId="7" fillId="0" borderId="0" xfId="0" applyFont="1" applyAlignment="1">
      <alignment horizontal="center" vertical="center"/>
    </xf>
    <xf numFmtId="0" fontId="55" fillId="22" borderId="0" xfId="0" applyFont="1" applyFill="1" applyAlignment="1">
      <alignment horizontal="left" vertical="center"/>
    </xf>
    <xf numFmtId="3" fontId="56" fillId="22" borderId="38" xfId="0" applyNumberFormat="1" applyFont="1" applyFill="1" applyBorder="1" applyAlignment="1">
      <alignment horizontal="center" vertical="center"/>
    </xf>
    <xf numFmtId="3" fontId="56" fillId="22" borderId="39" xfId="0" applyNumberFormat="1" applyFont="1" applyFill="1" applyBorder="1" applyAlignment="1">
      <alignment horizontal="center" vertical="center"/>
    </xf>
    <xf numFmtId="3" fontId="56" fillId="22" borderId="0" xfId="0" applyNumberFormat="1" applyFont="1" applyFill="1" applyAlignment="1">
      <alignment horizontal="center" vertical="center"/>
    </xf>
    <xf numFmtId="0" fontId="1" fillId="22" borderId="0" xfId="0" applyFont="1" applyFill="1"/>
    <xf numFmtId="0" fontId="55" fillId="31" borderId="0" xfId="0" applyFont="1" applyFill="1" applyAlignment="1">
      <alignment horizontal="left" vertical="center"/>
    </xf>
    <xf numFmtId="3" fontId="56" fillId="31" borderId="0" xfId="0" applyNumberFormat="1" applyFont="1" applyFill="1" applyAlignment="1">
      <alignment horizontal="center" vertical="center"/>
    </xf>
    <xf numFmtId="3" fontId="56" fillId="31" borderId="29" xfId="0" applyNumberFormat="1" applyFont="1" applyFill="1" applyBorder="1" applyAlignment="1">
      <alignment horizontal="center" vertical="center"/>
    </xf>
    <xf numFmtId="0" fontId="1" fillId="31" borderId="0" xfId="0" applyFont="1" applyFill="1"/>
    <xf numFmtId="0" fontId="55" fillId="22" borderId="38" xfId="0" applyFont="1" applyFill="1" applyBorder="1" applyAlignment="1">
      <alignment horizontal="left" vertical="center"/>
    </xf>
    <xf numFmtId="0" fontId="1" fillId="22" borderId="38" xfId="0" applyFont="1" applyFill="1" applyBorder="1"/>
    <xf numFmtId="0" fontId="55" fillId="0" borderId="0" xfId="0" applyFont="1" applyAlignment="1">
      <alignment horizontal="left" vertical="center"/>
    </xf>
    <xf numFmtId="3" fontId="56" fillId="63" borderId="0" xfId="0" applyNumberFormat="1" applyFont="1" applyFill="1" applyAlignment="1">
      <alignment horizontal="center" vertical="center"/>
    </xf>
    <xf numFmtId="3" fontId="56" fillId="63" borderId="29" xfId="0" applyNumberFormat="1" applyFont="1" applyFill="1" applyBorder="1" applyAlignment="1">
      <alignment horizontal="center" vertical="center"/>
    </xf>
    <xf numFmtId="0" fontId="57" fillId="22" borderId="38" xfId="0" applyFont="1" applyFill="1" applyBorder="1" applyAlignment="1">
      <alignment horizontal="center" vertical="center"/>
    </xf>
    <xf numFmtId="0" fontId="1" fillId="0" borderId="38" xfId="0" applyFont="1" applyBorder="1"/>
    <xf numFmtId="0" fontId="3" fillId="6" borderId="38" xfId="0" applyFont="1" applyFill="1" applyBorder="1" applyAlignment="1">
      <alignment horizontal="center" vertical="center"/>
    </xf>
    <xf numFmtId="0" fontId="58" fillId="36" borderId="38" xfId="0" applyFont="1" applyFill="1" applyBorder="1" applyAlignment="1">
      <alignment horizontal="center" vertical="center"/>
    </xf>
    <xf numFmtId="0" fontId="3" fillId="6" borderId="39" xfId="0" applyFont="1" applyFill="1" applyBorder="1" applyAlignment="1">
      <alignment horizontal="center" vertical="center"/>
    </xf>
    <xf numFmtId="0" fontId="3" fillId="36" borderId="1" xfId="0" applyFont="1" applyFill="1" applyBorder="1" applyAlignment="1">
      <alignment horizontal="center"/>
    </xf>
    <xf numFmtId="0" fontId="3" fillId="36" borderId="24" xfId="0" applyFont="1" applyFill="1" applyBorder="1" applyAlignment="1">
      <alignment horizontal="center"/>
    </xf>
    <xf numFmtId="0" fontId="58" fillId="36" borderId="24" xfId="0" applyFont="1" applyFill="1" applyBorder="1" applyAlignment="1">
      <alignment horizontal="center"/>
    </xf>
    <xf numFmtId="0" fontId="58" fillId="36" borderId="20" xfId="0" applyFont="1" applyFill="1" applyBorder="1" applyAlignment="1">
      <alignment horizontal="center"/>
    </xf>
    <xf numFmtId="0" fontId="59" fillId="0" borderId="0" xfId="0" applyFont="1"/>
    <xf numFmtId="0" fontId="5" fillId="4" borderId="0" xfId="0" applyFont="1" applyFill="1" applyAlignment="1">
      <alignment horizontal="center" vertical="center"/>
    </xf>
    <xf numFmtId="0" fontId="58" fillId="36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35" borderId="0" xfId="0" applyFont="1" applyFill="1" applyAlignment="1">
      <alignment horizontal="center" vertical="center"/>
    </xf>
    <xf numFmtId="0" fontId="3" fillId="5" borderId="8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4" fillId="9" borderId="13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5" fillId="55" borderId="13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4" fillId="10" borderId="0" xfId="0" applyFont="1" applyFill="1" applyAlignment="1">
      <alignment horizontal="center" vertical="center"/>
    </xf>
    <xf numFmtId="0" fontId="60" fillId="36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5" fillId="4" borderId="29" xfId="0" applyFont="1" applyFill="1" applyBorder="1" applyAlignment="1">
      <alignment horizontal="center" vertical="center"/>
    </xf>
    <xf numFmtId="0" fontId="3" fillId="45" borderId="8" xfId="0" applyFont="1" applyFill="1" applyBorder="1" applyAlignment="1">
      <alignment horizontal="center"/>
    </xf>
    <xf numFmtId="0" fontId="3" fillId="45" borderId="13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35" borderId="29" xfId="0" applyFont="1" applyFill="1" applyBorder="1" applyAlignment="1">
      <alignment horizontal="center" vertical="center"/>
    </xf>
    <xf numFmtId="0" fontId="4" fillId="9" borderId="0" xfId="0" applyFont="1" applyFill="1"/>
    <xf numFmtId="0" fontId="61" fillId="2" borderId="8" xfId="0" applyFont="1" applyFill="1" applyBorder="1" applyAlignment="1">
      <alignment horizontal="center"/>
    </xf>
    <xf numFmtId="0" fontId="5" fillId="35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4" fillId="9" borderId="27" xfId="0" applyFont="1" applyFill="1" applyBorder="1" applyAlignment="1">
      <alignment horizontal="center"/>
    </xf>
    <xf numFmtId="0" fontId="58" fillId="36" borderId="29" xfId="0" applyFont="1" applyFill="1" applyBorder="1" applyAlignment="1">
      <alignment horizontal="center" vertical="center"/>
    </xf>
    <xf numFmtId="0" fontId="3" fillId="45" borderId="14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40" fillId="36" borderId="0" xfId="0" applyFont="1" applyFill="1" applyAlignment="1">
      <alignment horizontal="center"/>
    </xf>
    <xf numFmtId="0" fontId="3" fillId="8" borderId="29" xfId="0" applyFont="1" applyFill="1" applyBorder="1" applyAlignment="1">
      <alignment horizontal="center" vertical="center"/>
    </xf>
    <xf numFmtId="0" fontId="4" fillId="10" borderId="29" xfId="0" applyFont="1" applyFill="1" applyBorder="1" applyAlignment="1">
      <alignment horizontal="center" vertical="center"/>
    </xf>
    <xf numFmtId="0" fontId="62" fillId="0" borderId="40" xfId="0" applyFont="1" applyBorder="1"/>
    <xf numFmtId="0" fontId="1" fillId="0" borderId="40" xfId="0" applyFont="1" applyBorder="1"/>
    <xf numFmtId="0" fontId="1" fillId="27" borderId="38" xfId="0" applyFont="1" applyFill="1" applyBorder="1" applyAlignment="1">
      <alignment horizontal="center" vertical="center"/>
    </xf>
    <xf numFmtId="0" fontId="1" fillId="27" borderId="36" xfId="0" applyFont="1" applyFill="1" applyBorder="1"/>
    <xf numFmtId="0" fontId="3" fillId="27" borderId="36" xfId="0" applyFont="1" applyFill="1" applyBorder="1" applyAlignment="1">
      <alignment horizontal="center" vertical="center"/>
    </xf>
    <xf numFmtId="0" fontId="58" fillId="27" borderId="36" xfId="0" applyFont="1" applyFill="1" applyBorder="1" applyAlignment="1">
      <alignment horizontal="center" vertical="center"/>
    </xf>
    <xf numFmtId="0" fontId="3" fillId="27" borderId="37" xfId="0" applyFont="1" applyFill="1" applyBorder="1" applyAlignment="1">
      <alignment horizontal="center" vertical="center"/>
    </xf>
    <xf numFmtId="0" fontId="6" fillId="27" borderId="25" xfId="0" applyFont="1" applyFill="1" applyBorder="1"/>
    <xf numFmtId="0" fontId="6" fillId="27" borderId="0" xfId="0" applyFont="1" applyFill="1"/>
    <xf numFmtId="0" fontId="57" fillId="31" borderId="38" xfId="0" applyFont="1" applyFill="1" applyBorder="1" applyAlignment="1">
      <alignment horizontal="center" vertical="center"/>
    </xf>
    <xf numFmtId="0" fontId="63" fillId="0" borderId="38" xfId="0" applyFont="1" applyBorder="1"/>
    <xf numFmtId="0" fontId="3" fillId="36" borderId="8" xfId="0" applyFont="1" applyFill="1" applyBorder="1" applyAlignment="1">
      <alignment horizontal="center"/>
    </xf>
    <xf numFmtId="0" fontId="3" fillId="36" borderId="13" xfId="0" applyFont="1" applyFill="1" applyBorder="1" applyAlignment="1">
      <alignment horizontal="center"/>
    </xf>
    <xf numFmtId="0" fontId="58" fillId="36" borderId="13" xfId="0" applyFont="1" applyFill="1" applyBorder="1" applyAlignment="1">
      <alignment horizontal="center"/>
    </xf>
    <xf numFmtId="0" fontId="58" fillId="36" borderId="14" xfId="0" applyFont="1" applyFill="1" applyBorder="1" applyAlignment="1">
      <alignment horizontal="center"/>
    </xf>
    <xf numFmtId="0" fontId="3" fillId="36" borderId="3" xfId="0" applyFont="1" applyFill="1" applyBorder="1" applyAlignment="1">
      <alignment horizontal="center"/>
    </xf>
    <xf numFmtId="0" fontId="3" fillId="36" borderId="27" xfId="0" applyFont="1" applyFill="1" applyBorder="1" applyAlignment="1">
      <alignment horizontal="center"/>
    </xf>
    <xf numFmtId="0" fontId="58" fillId="36" borderId="27" xfId="0" applyFont="1" applyFill="1" applyBorder="1" applyAlignment="1">
      <alignment horizontal="center"/>
    </xf>
    <xf numFmtId="0" fontId="58" fillId="36" borderId="21" xfId="0" applyFont="1" applyFill="1" applyBorder="1" applyAlignment="1">
      <alignment horizontal="center"/>
    </xf>
    <xf numFmtId="0" fontId="64" fillId="61" borderId="0" xfId="0" applyFont="1" applyFill="1"/>
    <xf numFmtId="0" fontId="65" fillId="2" borderId="8" xfId="0" applyFont="1" applyFill="1" applyBorder="1" applyAlignment="1">
      <alignment horizontal="center"/>
    </xf>
    <xf numFmtId="0" fontId="5" fillId="35" borderId="29" xfId="0" applyFont="1" applyFill="1" applyBorder="1" applyAlignment="1">
      <alignment horizontal="center" vertical="center"/>
    </xf>
    <xf numFmtId="0" fontId="5" fillId="4" borderId="40" xfId="0" applyFont="1" applyFill="1" applyBorder="1" applyAlignment="1">
      <alignment horizontal="center" vertical="center"/>
    </xf>
    <xf numFmtId="0" fontId="58" fillId="36" borderId="40" xfId="0" applyFont="1" applyFill="1" applyBorder="1" applyAlignment="1">
      <alignment horizontal="center" vertical="center"/>
    </xf>
    <xf numFmtId="0" fontId="58" fillId="36" borderId="41" xfId="0" applyFont="1" applyFill="1" applyBorder="1" applyAlignment="1">
      <alignment horizontal="center" vertical="center"/>
    </xf>
    <xf numFmtId="0" fontId="3" fillId="35" borderId="40" xfId="0" applyFont="1" applyFill="1" applyBorder="1" applyAlignment="1">
      <alignment horizontal="center" vertical="center"/>
    </xf>
    <xf numFmtId="0" fontId="5" fillId="35" borderId="40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1" fillId="27" borderId="0" xfId="0" applyFont="1" applyFill="1" applyAlignment="1">
      <alignment horizontal="center" vertical="center"/>
    </xf>
    <xf numFmtId="0" fontId="1" fillId="0" borderId="29" xfId="0" applyFont="1" applyBorder="1"/>
    <xf numFmtId="0" fontId="6" fillId="27" borderId="7" xfId="0" applyFont="1" applyFill="1" applyBorder="1" applyAlignment="1">
      <alignment horizontal="left"/>
    </xf>
    <xf numFmtId="0" fontId="67" fillId="27" borderId="42" xfId="0" applyFont="1" applyFill="1" applyBorder="1" applyAlignment="1">
      <alignment horizontal="center"/>
    </xf>
    <xf numFmtId="0" fontId="6" fillId="49" borderId="7" xfId="0" applyFont="1" applyFill="1" applyBorder="1" applyAlignment="1">
      <alignment horizontal="left"/>
    </xf>
    <xf numFmtId="0" fontId="68" fillId="64" borderId="43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6" fillId="0" borderId="0" xfId="0" applyFont="1"/>
    <xf numFmtId="0" fontId="6" fillId="27" borderId="7" xfId="0" applyFont="1" applyFill="1" applyBorder="1"/>
    <xf numFmtId="167" fontId="1" fillId="0" borderId="38" xfId="0" applyNumberFormat="1" applyFont="1" applyBorder="1" applyAlignment="1">
      <alignment horizontal="center" vertical="center"/>
    </xf>
    <xf numFmtId="167" fontId="69" fillId="27" borderId="38" xfId="0" applyNumberFormat="1" applyFont="1" applyFill="1" applyBorder="1" applyAlignment="1">
      <alignment horizontal="center" vertical="center"/>
    </xf>
    <xf numFmtId="167" fontId="1" fillId="0" borderId="39" xfId="0" applyNumberFormat="1" applyFont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/>
    </xf>
    <xf numFmtId="167" fontId="6" fillId="0" borderId="24" xfId="0" applyNumberFormat="1" applyFont="1" applyBorder="1" applyAlignment="1">
      <alignment horizontal="center"/>
    </xf>
    <xf numFmtId="167" fontId="6" fillId="0" borderId="20" xfId="0" applyNumberFormat="1" applyFont="1" applyBorder="1" applyAlignment="1">
      <alignment horizontal="center"/>
    </xf>
    <xf numFmtId="166" fontId="6" fillId="0" borderId="24" xfId="0" applyNumberFormat="1" applyFont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0" fontId="55" fillId="34" borderId="0" xfId="0" applyFont="1" applyFill="1" applyAlignment="1">
      <alignment vertical="center"/>
    </xf>
    <xf numFmtId="3" fontId="56" fillId="34" borderId="0" xfId="0" applyNumberFormat="1" applyFont="1" applyFill="1" applyAlignment="1">
      <alignment horizontal="center" vertical="center"/>
    </xf>
    <xf numFmtId="3" fontId="56" fillId="34" borderId="29" xfId="0" applyNumberFormat="1" applyFont="1" applyFill="1" applyBorder="1" applyAlignment="1">
      <alignment horizontal="center" vertical="center"/>
    </xf>
    <xf numFmtId="3" fontId="70" fillId="34" borderId="0" xfId="0" applyNumberFormat="1" applyFont="1" applyFill="1" applyAlignment="1">
      <alignment horizontal="center"/>
    </xf>
    <xf numFmtId="0" fontId="55" fillId="0" borderId="40" xfId="0" applyFont="1" applyBorder="1" applyAlignment="1">
      <alignment vertical="center"/>
    </xf>
    <xf numFmtId="3" fontId="70" fillId="63" borderId="0" xfId="0" applyNumberFormat="1" applyFont="1" applyFill="1" applyAlignment="1">
      <alignment horizontal="center"/>
    </xf>
    <xf numFmtId="0" fontId="57" fillId="34" borderId="38" xfId="0" applyFont="1" applyFill="1" applyBorder="1" applyAlignment="1">
      <alignment horizontal="center" vertical="center"/>
    </xf>
    <xf numFmtId="0" fontId="71" fillId="0" borderId="0" xfId="0" applyFont="1"/>
    <xf numFmtId="0" fontId="4" fillId="37" borderId="14" xfId="0" applyFont="1" applyFill="1" applyBorder="1" applyAlignment="1">
      <alignment horizontal="center"/>
    </xf>
    <xf numFmtId="0" fontId="3" fillId="38" borderId="14" xfId="0" applyFont="1" applyFill="1" applyBorder="1" applyAlignment="1">
      <alignment horizontal="center"/>
    </xf>
    <xf numFmtId="0" fontId="4" fillId="6" borderId="14" xfId="0" applyFont="1" applyFill="1" applyBorder="1" applyAlignment="1">
      <alignment horizontal="center"/>
    </xf>
    <xf numFmtId="0" fontId="72" fillId="41" borderId="21" xfId="0" applyFont="1" applyFill="1" applyBorder="1" applyAlignment="1">
      <alignment horizontal="center"/>
    </xf>
    <xf numFmtId="0" fontId="4" fillId="40" borderId="21" xfId="0" applyFont="1" applyFill="1" applyBorder="1" applyAlignment="1">
      <alignment horizontal="center"/>
    </xf>
    <xf numFmtId="0" fontId="73" fillId="27" borderId="0" xfId="0" applyFont="1" applyFill="1"/>
    <xf numFmtId="0" fontId="5" fillId="6" borderId="0" xfId="0" applyFont="1" applyFill="1" applyAlignment="1">
      <alignment horizontal="center" vertical="center"/>
    </xf>
    <xf numFmtId="0" fontId="4" fillId="9" borderId="21" xfId="0" applyFont="1" applyFill="1" applyBorder="1" applyAlignment="1">
      <alignment horizontal="center"/>
    </xf>
    <xf numFmtId="0" fontId="74" fillId="42" borderId="21" xfId="0" applyFont="1" applyFill="1" applyBorder="1" applyAlignment="1">
      <alignment horizontal="center"/>
    </xf>
    <xf numFmtId="0" fontId="3" fillId="5" borderId="27" xfId="0" applyFont="1" applyFill="1" applyBorder="1" applyAlignment="1">
      <alignment horizontal="center"/>
    </xf>
    <xf numFmtId="0" fontId="4" fillId="6" borderId="21" xfId="0" applyFont="1" applyFill="1" applyBorder="1" applyAlignment="1">
      <alignment horizontal="center"/>
    </xf>
    <xf numFmtId="0" fontId="3" fillId="38" borderId="21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3" fillId="7" borderId="13" xfId="0" applyFont="1" applyFill="1" applyBorder="1" applyAlignment="1">
      <alignment horizontal="center"/>
    </xf>
    <xf numFmtId="0" fontId="5" fillId="6" borderId="14" xfId="0" applyFont="1" applyFill="1" applyBorder="1" applyAlignment="1">
      <alignment horizontal="center"/>
    </xf>
    <xf numFmtId="0" fontId="75" fillId="0" borderId="40" xfId="0" applyFont="1" applyBorder="1"/>
    <xf numFmtId="0" fontId="3" fillId="6" borderId="40" xfId="0" applyFont="1" applyFill="1" applyBorder="1" applyAlignment="1">
      <alignment horizontal="center" vertical="center"/>
    </xf>
    <xf numFmtId="0" fontId="3" fillId="6" borderId="41" xfId="0" applyFont="1" applyFill="1" applyBorder="1" applyAlignment="1">
      <alignment horizontal="center" vertical="center"/>
    </xf>
    <xf numFmtId="0" fontId="76" fillId="0" borderId="0" xfId="0" applyFont="1"/>
    <xf numFmtId="0" fontId="77" fillId="34" borderId="42" xfId="0" applyFont="1" applyFill="1" applyBorder="1" applyAlignment="1">
      <alignment horizontal="center" wrapText="1"/>
    </xf>
    <xf numFmtId="0" fontId="78" fillId="64" borderId="44" xfId="0" applyFont="1" applyFill="1" applyBorder="1" applyAlignment="1">
      <alignment horizontal="center" wrapText="1"/>
    </xf>
    <xf numFmtId="0" fontId="11" fillId="22" borderId="14" xfId="0" applyFont="1" applyFill="1" applyBorder="1" applyAlignment="1">
      <alignment horizontal="center" vertical="center"/>
    </xf>
    <xf numFmtId="0" fontId="11" fillId="19" borderId="14" xfId="0" applyFont="1" applyFill="1" applyBorder="1" applyAlignment="1">
      <alignment horizontal="center" vertical="center"/>
    </xf>
    <xf numFmtId="0" fontId="80" fillId="0" borderId="45" xfId="0" applyFont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65" borderId="45" xfId="0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9" fillId="0" borderId="0" xfId="0" applyFont="1"/>
    <xf numFmtId="0" fontId="41" fillId="27" borderId="0" xfId="0" applyFont="1" applyFill="1" applyAlignment="1">
      <alignment horizontal="center" vertical="center"/>
    </xf>
    <xf numFmtId="0" fontId="17" fillId="27" borderId="0" xfId="0" applyFont="1" applyFill="1" applyAlignment="1">
      <alignment horizontal="center" vertical="center"/>
    </xf>
    <xf numFmtId="0" fontId="11" fillId="0" borderId="45" xfId="0" applyFont="1" applyBorder="1" applyAlignment="1">
      <alignment horizontal="center"/>
    </xf>
    <xf numFmtId="0" fontId="41" fillId="27" borderId="45" xfId="0" applyFont="1" applyFill="1" applyBorder="1" applyAlignment="1">
      <alignment horizontal="center" vertical="center"/>
    </xf>
    <xf numFmtId="0" fontId="46" fillId="24" borderId="45" xfId="0" applyFont="1" applyFill="1" applyBorder="1" applyAlignment="1">
      <alignment horizontal="center" vertical="center"/>
    </xf>
    <xf numFmtId="0" fontId="10" fillId="26" borderId="45" xfId="0" applyFont="1" applyFill="1" applyBorder="1" applyAlignment="1">
      <alignment horizontal="center" vertical="center"/>
    </xf>
    <xf numFmtId="164" fontId="10" fillId="14" borderId="45" xfId="0" applyNumberFormat="1" applyFont="1" applyFill="1" applyBorder="1" applyAlignment="1">
      <alignment horizontal="center" vertical="center"/>
    </xf>
    <xf numFmtId="164" fontId="10" fillId="15" borderId="45" xfId="0" applyNumberFormat="1" applyFont="1" applyFill="1" applyBorder="1" applyAlignment="1">
      <alignment horizontal="center" vertical="center"/>
    </xf>
    <xf numFmtId="164" fontId="10" fillId="16" borderId="45" xfId="0" applyNumberFormat="1" applyFont="1" applyFill="1" applyBorder="1" applyAlignment="1">
      <alignment horizontal="center" vertical="center"/>
    </xf>
    <xf numFmtId="164" fontId="10" fillId="17" borderId="45" xfId="0" applyNumberFormat="1" applyFont="1" applyFill="1" applyBorder="1" applyAlignment="1">
      <alignment horizontal="center" vertical="center"/>
    </xf>
    <xf numFmtId="164" fontId="10" fillId="18" borderId="45" xfId="0" applyNumberFormat="1" applyFont="1" applyFill="1" applyBorder="1" applyAlignment="1">
      <alignment horizontal="center" vertical="center"/>
    </xf>
    <xf numFmtId="164" fontId="10" fillId="28" borderId="45" xfId="0" applyNumberFormat="1" applyFont="1" applyFill="1" applyBorder="1" applyAlignment="1">
      <alignment horizontal="center" vertical="center"/>
    </xf>
    <xf numFmtId="164" fontId="10" fillId="29" borderId="45" xfId="0" applyNumberFormat="1" applyFont="1" applyFill="1" applyBorder="1" applyAlignment="1">
      <alignment horizontal="center" vertical="center"/>
    </xf>
    <xf numFmtId="0" fontId="13" fillId="30" borderId="45" xfId="0" applyFont="1" applyFill="1" applyBorder="1" applyAlignment="1">
      <alignment horizontal="center"/>
    </xf>
    <xf numFmtId="0" fontId="51" fillId="23" borderId="45" xfId="0" applyFont="1" applyFill="1" applyBorder="1" applyAlignment="1">
      <alignment horizontal="center" vertical="center"/>
    </xf>
    <xf numFmtId="0" fontId="13" fillId="6" borderId="45" xfId="0" applyFont="1" applyFill="1" applyBorder="1" applyAlignment="1">
      <alignment horizontal="center"/>
    </xf>
    <xf numFmtId="0" fontId="8" fillId="21" borderId="11" xfId="0" applyFont="1" applyFill="1" applyBorder="1" applyAlignment="1">
      <alignment horizontal="center"/>
    </xf>
    <xf numFmtId="0" fontId="80" fillId="0" borderId="0" xfId="0" applyFont="1" applyAlignment="1">
      <alignment horizontal="center"/>
    </xf>
    <xf numFmtId="0" fontId="0" fillId="0" borderId="50" xfId="0" applyBorder="1" applyAlignment="1">
      <alignment horizontal="center"/>
    </xf>
    <xf numFmtId="0" fontId="19" fillId="36" borderId="14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2" fillId="35" borderId="14" xfId="0" applyFont="1" applyFill="1" applyBorder="1" applyAlignment="1">
      <alignment horizontal="center" vertical="center"/>
    </xf>
    <xf numFmtId="0" fontId="10" fillId="23" borderId="20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3" fillId="10" borderId="14" xfId="0" applyFont="1" applyFill="1" applyBorder="1" applyAlignment="1">
      <alignment horizontal="center" vertical="center"/>
    </xf>
    <xf numFmtId="0" fontId="12" fillId="23" borderId="5" xfId="0" applyFont="1" applyFill="1" applyBorder="1"/>
    <xf numFmtId="0" fontId="11" fillId="22" borderId="45" xfId="0" applyFont="1" applyFill="1" applyBorder="1" applyAlignment="1">
      <alignment horizontal="center" vertical="center"/>
    </xf>
    <xf numFmtId="0" fontId="80" fillId="0" borderId="47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48" xfId="0" applyBorder="1" applyAlignment="1">
      <alignment horizontal="center"/>
    </xf>
    <xf numFmtId="0" fontId="0" fillId="66" borderId="45" xfId="0" applyFill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66" borderId="48" xfId="0" applyFill="1" applyBorder="1" applyAlignment="1">
      <alignment horizontal="center"/>
    </xf>
    <xf numFmtId="0" fontId="0" fillId="65" borderId="0" xfId="0" applyFill="1" applyAlignment="1">
      <alignment horizontal="center"/>
    </xf>
    <xf numFmtId="0" fontId="9" fillId="65" borderId="23" xfId="0" applyFont="1" applyFill="1" applyBorder="1" applyAlignment="1">
      <alignment horizontal="center"/>
    </xf>
    <xf numFmtId="0" fontId="0" fillId="66" borderId="46" xfId="0" applyFill="1" applyBorder="1" applyAlignment="1">
      <alignment horizontal="center"/>
    </xf>
    <xf numFmtId="0" fontId="0" fillId="66" borderId="49" xfId="0" applyFill="1" applyBorder="1" applyAlignment="1">
      <alignment horizontal="center"/>
    </xf>
    <xf numFmtId="0" fontId="0" fillId="66" borderId="50" xfId="0" applyFill="1" applyBorder="1" applyAlignment="1">
      <alignment horizontal="center"/>
    </xf>
    <xf numFmtId="0" fontId="0" fillId="66" borderId="47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66" borderId="54" xfId="0" applyFill="1" applyBorder="1" applyAlignment="1">
      <alignment horizontal="center"/>
    </xf>
    <xf numFmtId="0" fontId="0" fillId="0" borderId="53" xfId="0" applyBorder="1" applyAlignment="1">
      <alignment horizontal="center"/>
    </xf>
    <xf numFmtId="0" fontId="0" fillId="66" borderId="55" xfId="0" applyFill="1" applyBorder="1" applyAlignment="1">
      <alignment horizontal="center"/>
    </xf>
    <xf numFmtId="0" fontId="11" fillId="0" borderId="50" xfId="0" applyFont="1" applyBorder="1" applyAlignment="1">
      <alignment horizontal="center"/>
    </xf>
    <xf numFmtId="164" fontId="10" fillId="14" borderId="48" xfId="0" applyNumberFormat="1" applyFont="1" applyFill="1" applyBorder="1" applyAlignment="1">
      <alignment horizontal="center" vertical="center"/>
    </xf>
    <xf numFmtId="0" fontId="17" fillId="27" borderId="45" xfId="0" applyFont="1" applyFill="1" applyBorder="1" applyAlignment="1">
      <alignment horizontal="center" vertical="center"/>
    </xf>
    <xf numFmtId="0" fontId="0" fillId="0" borderId="46" xfId="0" applyBorder="1"/>
    <xf numFmtId="0" fontId="0" fillId="0" borderId="56" xfId="0" applyBorder="1" applyAlignment="1">
      <alignment horizontal="center"/>
    </xf>
    <xf numFmtId="0" fontId="80" fillId="0" borderId="48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66" borderId="58" xfId="0" applyFill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66" borderId="53" xfId="0" applyFill="1" applyBorder="1" applyAlignment="1">
      <alignment horizontal="center"/>
    </xf>
    <xf numFmtId="0" fontId="11" fillId="19" borderId="45" xfId="0" applyFont="1" applyFill="1" applyBorder="1" applyAlignment="1">
      <alignment horizontal="center" vertical="center"/>
    </xf>
    <xf numFmtId="0" fontId="8" fillId="36" borderId="1" xfId="0" applyFont="1" applyFill="1" applyBorder="1" applyAlignment="1">
      <alignment horizontal="center" vertical="center"/>
    </xf>
    <xf numFmtId="0" fontId="9" fillId="27" borderId="24" xfId="0" applyFont="1" applyFill="1" applyBorder="1"/>
    <xf numFmtId="0" fontId="9" fillId="27" borderId="20" xfId="0" applyFont="1" applyFill="1" applyBorder="1"/>
    <xf numFmtId="0" fontId="9" fillId="49" borderId="25" xfId="0" applyFont="1" applyFill="1" applyBorder="1"/>
    <xf numFmtId="0" fontId="0" fillId="0" borderId="0" xfId="0"/>
    <xf numFmtId="0" fontId="9" fillId="49" borderId="26" xfId="0" applyFont="1" applyFill="1" applyBorder="1"/>
    <xf numFmtId="0" fontId="9" fillId="27" borderId="25" xfId="0" applyFont="1" applyFill="1" applyBorder="1"/>
    <xf numFmtId="0" fontId="9" fillId="27" borderId="26" xfId="0" applyFont="1" applyFill="1" applyBorder="1"/>
    <xf numFmtId="0" fontId="9" fillId="27" borderId="3" xfId="0" applyFont="1" applyFill="1" applyBorder="1"/>
    <xf numFmtId="0" fontId="9" fillId="27" borderId="27" xfId="0" applyFont="1" applyFill="1" applyBorder="1"/>
    <xf numFmtId="0" fontId="9" fillId="27" borderId="21" xfId="0" applyFont="1" applyFill="1" applyBorder="1"/>
    <xf numFmtId="0" fontId="9" fillId="0" borderId="24" xfId="0" applyFont="1" applyBorder="1"/>
    <xf numFmtId="0" fontId="9" fillId="0" borderId="20" xfId="0" applyFont="1" applyBorder="1"/>
    <xf numFmtId="0" fontId="9" fillId="0" borderId="25" xfId="0" applyFont="1" applyBorder="1"/>
    <xf numFmtId="0" fontId="9" fillId="0" borderId="26" xfId="0" applyFont="1" applyBorder="1"/>
    <xf numFmtId="0" fontId="9" fillId="0" borderId="3" xfId="0" applyFont="1" applyBorder="1"/>
    <xf numFmtId="0" fontId="9" fillId="0" borderId="27" xfId="0" applyFont="1" applyBorder="1"/>
    <xf numFmtId="0" fontId="9" fillId="0" borderId="21" xfId="0" applyFont="1" applyBorder="1"/>
    <xf numFmtId="165" fontId="10" fillId="36" borderId="8" xfId="0" applyNumberFormat="1" applyFont="1" applyFill="1" applyBorder="1" applyAlignment="1">
      <alignment horizontal="center"/>
    </xf>
    <xf numFmtId="0" fontId="9" fillId="0" borderId="13" xfId="0" applyFont="1" applyBorder="1"/>
    <xf numFmtId="0" fontId="9" fillId="0" borderId="14" xfId="0" applyFont="1" applyBorder="1"/>
    <xf numFmtId="0" fontId="18" fillId="36" borderId="1" xfId="0" applyFont="1" applyFill="1" applyBorder="1"/>
    <xf numFmtId="0" fontId="13" fillId="13" borderId="8" xfId="0" applyFont="1" applyFill="1" applyBorder="1" applyAlignment="1">
      <alignment horizontal="center"/>
    </xf>
    <xf numFmtId="165" fontId="19" fillId="36" borderId="8" xfId="0" applyNumberFormat="1" applyFont="1" applyFill="1" applyBorder="1" applyAlignment="1">
      <alignment horizontal="center"/>
    </xf>
    <xf numFmtId="0" fontId="12" fillId="36" borderId="1" xfId="0" applyFont="1" applyFill="1" applyBorder="1"/>
    <xf numFmtId="0" fontId="8" fillId="12" borderId="8" xfId="0" applyFont="1" applyFill="1" applyBorder="1" applyAlignment="1">
      <alignment horizontal="center" vertical="center"/>
    </xf>
    <xf numFmtId="0" fontId="8" fillId="13" borderId="8" xfId="0" applyFont="1" applyFill="1" applyBorder="1" applyAlignment="1">
      <alignment horizontal="center" vertical="center"/>
    </xf>
    <xf numFmtId="0" fontId="8" fillId="36" borderId="24" xfId="0" applyFont="1" applyFill="1" applyBorder="1" applyAlignment="1">
      <alignment horizontal="center" vertical="center"/>
    </xf>
    <xf numFmtId="0" fontId="9" fillId="49" borderId="0" xfId="0" applyFont="1" applyFill="1"/>
    <xf numFmtId="0" fontId="9" fillId="0" borderId="0" xfId="0" applyFont="1"/>
    <xf numFmtId="0" fontId="8" fillId="13" borderId="8" xfId="0" applyFont="1" applyFill="1" applyBorder="1" applyAlignment="1">
      <alignment horizontal="center"/>
    </xf>
    <xf numFmtId="0" fontId="8" fillId="12" borderId="8" xfId="0" applyFont="1" applyFill="1" applyBorder="1" applyAlignment="1">
      <alignment horizontal="center"/>
    </xf>
    <xf numFmtId="0" fontId="13" fillId="12" borderId="8" xfId="0" applyFont="1" applyFill="1" applyBorder="1" applyAlignment="1">
      <alignment horizontal="center"/>
    </xf>
    <xf numFmtId="0" fontId="9" fillId="0" borderId="15" xfId="0" applyFont="1" applyBorder="1"/>
    <xf numFmtId="0" fontId="9" fillId="0" borderId="17" xfId="0" applyFont="1" applyBorder="1"/>
    <xf numFmtId="0" fontId="14" fillId="13" borderId="24" xfId="0" applyFont="1" applyFill="1" applyBorder="1" applyAlignment="1">
      <alignment horizontal="center"/>
    </xf>
    <xf numFmtId="0" fontId="14" fillId="13" borderId="30" xfId="0" applyFont="1" applyFill="1" applyBorder="1" applyAlignment="1">
      <alignment horizontal="center"/>
    </xf>
    <xf numFmtId="0" fontId="9" fillId="27" borderId="24" xfId="0" applyFont="1" applyFill="1" applyBorder="1" applyAlignment="1">
      <alignment horizontal="center"/>
    </xf>
    <xf numFmtId="0" fontId="9" fillId="27" borderId="20" xfId="0" applyFont="1" applyFill="1" applyBorder="1" applyAlignment="1">
      <alignment horizontal="center"/>
    </xf>
    <xf numFmtId="0" fontId="9" fillId="49" borderId="3" xfId="0" applyFont="1" applyFill="1" applyBorder="1" applyAlignment="1">
      <alignment horizontal="center"/>
    </xf>
    <xf numFmtId="0" fontId="9" fillId="49" borderId="27" xfId="0" applyFont="1" applyFill="1" applyBorder="1" applyAlignment="1">
      <alignment horizontal="center"/>
    </xf>
    <xf numFmtId="0" fontId="9" fillId="49" borderId="21" xfId="0" applyFont="1" applyFill="1" applyBorder="1" applyAlignment="1">
      <alignment horizontal="center"/>
    </xf>
    <xf numFmtId="0" fontId="9" fillId="49" borderId="24" xfId="0" applyFont="1" applyFill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27" borderId="27" xfId="0" applyFont="1" applyFill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0" fillId="0" borderId="0" xfId="0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49" borderId="25" xfId="0" applyFont="1" applyFill="1" applyBorder="1" applyAlignment="1">
      <alignment horizontal="center"/>
    </xf>
    <xf numFmtId="0" fontId="9" fillId="49" borderId="26" xfId="0" applyFont="1" applyFill="1" applyBorder="1" applyAlignment="1">
      <alignment horizontal="center"/>
    </xf>
    <xf numFmtId="0" fontId="9" fillId="27" borderId="3" xfId="0" applyFont="1" applyFill="1" applyBorder="1" applyAlignment="1">
      <alignment horizontal="center"/>
    </xf>
    <xf numFmtId="0" fontId="9" fillId="27" borderId="21" xfId="0" applyFont="1" applyFill="1" applyBorder="1" applyAlignment="1">
      <alignment horizontal="center"/>
    </xf>
    <xf numFmtId="0" fontId="8" fillId="36" borderId="8" xfId="0" applyFont="1" applyFill="1" applyBorder="1" applyAlignment="1">
      <alignment horizontal="center" vertical="center"/>
    </xf>
    <xf numFmtId="0" fontId="9" fillId="27" borderId="13" xfId="0" applyFont="1" applyFill="1" applyBorder="1" applyAlignment="1">
      <alignment horizontal="center"/>
    </xf>
    <xf numFmtId="0" fontId="9" fillId="27" borderId="14" xfId="0" applyFont="1" applyFill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3" fillId="40" borderId="22" xfId="0" applyFont="1" applyFill="1" applyBorder="1" applyAlignment="1">
      <alignment horizontal="center" vertical="center"/>
    </xf>
    <xf numFmtId="0" fontId="9" fillId="27" borderId="23" xfId="0" applyFont="1" applyFill="1" applyBorder="1" applyAlignment="1">
      <alignment horizontal="center"/>
    </xf>
    <xf numFmtId="0" fontId="9" fillId="49" borderId="23" xfId="0" applyFont="1" applyFill="1" applyBorder="1" applyAlignment="1">
      <alignment horizontal="center"/>
    </xf>
    <xf numFmtId="0" fontId="9" fillId="27" borderId="5" xfId="0" applyFont="1" applyFill="1" applyBorder="1" applyAlignment="1">
      <alignment horizontal="center"/>
    </xf>
    <xf numFmtId="0" fontId="13" fillId="24" borderId="1" xfId="0" applyFont="1" applyFill="1" applyBorder="1" applyAlignment="1">
      <alignment horizontal="center"/>
    </xf>
    <xf numFmtId="0" fontId="9" fillId="49" borderId="20" xfId="0" applyFont="1" applyFill="1" applyBorder="1" applyAlignment="1">
      <alignment horizontal="center"/>
    </xf>
    <xf numFmtId="0" fontId="9" fillId="27" borderId="25" xfId="0" applyFont="1" applyFill="1" applyBorder="1" applyAlignment="1">
      <alignment horizontal="center"/>
    </xf>
    <xf numFmtId="0" fontId="9" fillId="27" borderId="26" xfId="0" applyFont="1" applyFill="1" applyBorder="1" applyAlignment="1">
      <alignment horizontal="center"/>
    </xf>
    <xf numFmtId="0" fontId="10" fillId="36" borderId="1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8" fillId="55" borderId="8" xfId="0" applyFont="1" applyFill="1" applyBorder="1" applyAlignment="1">
      <alignment horizontal="center" vertical="center"/>
    </xf>
    <xf numFmtId="0" fontId="81" fillId="31" borderId="45" xfId="0" applyFont="1" applyFill="1" applyBorder="1" applyAlignment="1">
      <alignment horizontal="center" vertical="center"/>
    </xf>
    <xf numFmtId="0" fontId="9" fillId="0" borderId="45" xfId="0" applyFont="1" applyBorder="1"/>
    <xf numFmtId="0" fontId="81" fillId="4" borderId="45" xfId="0" applyFont="1" applyFill="1" applyBorder="1" applyAlignment="1">
      <alignment horizontal="center" vertical="center"/>
    </xf>
    <xf numFmtId="0" fontId="50" fillId="4" borderId="12" xfId="0" applyFont="1" applyFill="1" applyBorder="1" applyAlignment="1">
      <alignment horizontal="center" vertical="center"/>
    </xf>
    <xf numFmtId="0" fontId="50" fillId="31" borderId="12" xfId="0" applyFont="1" applyFill="1" applyBorder="1" applyAlignment="1">
      <alignment horizontal="center" vertical="center"/>
    </xf>
    <xf numFmtId="0" fontId="46" fillId="60" borderId="32" xfId="0" applyFont="1" applyFill="1" applyBorder="1" applyAlignment="1">
      <alignment horizontal="center" vertical="center" wrapText="1"/>
    </xf>
    <xf numFmtId="0" fontId="9" fillId="0" borderId="33" xfId="0" applyFont="1" applyBorder="1"/>
    <xf numFmtId="0" fontId="9" fillId="0" borderId="34" xfId="0" applyFont="1" applyBorder="1"/>
    <xf numFmtId="0" fontId="47" fillId="24" borderId="15" xfId="0" applyFont="1" applyFill="1" applyBorder="1" applyAlignment="1">
      <alignment horizontal="center" vertical="center"/>
    </xf>
    <xf numFmtId="0" fontId="46" fillId="61" borderId="12" xfId="0" applyFont="1" applyFill="1" applyBorder="1" applyAlignment="1">
      <alignment horizontal="center" vertical="center" wrapText="1"/>
    </xf>
    <xf numFmtId="0" fontId="50" fillId="4" borderId="45" xfId="0" applyFont="1" applyFill="1" applyBorder="1" applyAlignment="1">
      <alignment horizontal="center" vertical="center"/>
    </xf>
    <xf numFmtId="0" fontId="50" fillId="31" borderId="45" xfId="0" applyFont="1" applyFill="1" applyBorder="1" applyAlignment="1">
      <alignment horizontal="center" vertical="center"/>
    </xf>
    <xf numFmtId="0" fontId="66" fillId="2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3" borderId="29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/>
    </xf>
    <xf numFmtId="0" fontId="7" fillId="0" borderId="38" xfId="0" applyFont="1" applyBorder="1" applyAlignment="1">
      <alignment horizontal="center" vertical="center"/>
    </xf>
    <xf numFmtId="0" fontId="7" fillId="22" borderId="0" xfId="0" applyFont="1" applyFill="1" applyAlignment="1">
      <alignment horizontal="center" vertical="center"/>
    </xf>
    <xf numFmtId="0" fontId="7" fillId="31" borderId="0" xfId="0" applyFont="1" applyFill="1" applyAlignment="1">
      <alignment horizontal="center" vertical="center"/>
    </xf>
    <xf numFmtId="0" fontId="9" fillId="0" borderId="40" xfId="0" applyFont="1" applyBorder="1"/>
    <xf numFmtId="0" fontId="14" fillId="13" borderId="13" xfId="0" applyFont="1" applyFill="1" applyBorder="1" applyAlignment="1">
      <alignment horizontal="center"/>
    </xf>
    <xf numFmtId="0" fontId="7" fillId="34" borderId="0" xfId="0" applyFont="1" applyFill="1" applyAlignment="1">
      <alignment horizontal="center" vertical="center"/>
    </xf>
    <xf numFmtId="0" fontId="14" fillId="13" borderId="8" xfId="0" applyFont="1" applyFill="1" applyBorder="1" applyAlignment="1">
      <alignment horizontal="center"/>
    </xf>
  </cellXfs>
  <cellStyles count="1">
    <cellStyle name="Normal" xfId="0" builtinId="0"/>
  </cellStyles>
  <dxfs count="5238"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B4A7D6"/>
          <bgColor rgb="FFB4A7D6"/>
        </patternFill>
      </fill>
    </dxf>
    <dxf>
      <font>
        <color rgb="FFFFFFFF"/>
      </font>
      <fill>
        <patternFill patternType="solid">
          <fgColor rgb="FF8E7CC3"/>
          <bgColor rgb="FF8E7CC3"/>
        </patternFill>
      </fill>
    </dxf>
    <dxf>
      <font>
        <color rgb="FFFFFFFF"/>
      </font>
      <fill>
        <patternFill patternType="solid">
          <fgColor rgb="FFA02B93"/>
          <bgColor rgb="FFA02B93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000000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FF66"/>
          <bgColor rgb="FFFFFF66"/>
        </patternFill>
      </fill>
    </dxf>
    <dxf>
      <font>
        <color rgb="FFFFFFFF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000000"/>
      </font>
      <fill>
        <patternFill patternType="solid">
          <fgColor rgb="FFF6C6AC"/>
          <bgColor rgb="FFF6C6AC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Roboto"/>
        <scheme val="none"/>
      </font>
      <fill>
        <patternFill patternType="solid">
          <fgColor rgb="FFFFFF66"/>
          <bgColor rgb="FFFFFF66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Roboto"/>
        <scheme val="none"/>
      </font>
      <fill>
        <patternFill patternType="solid">
          <fgColor rgb="FFFFFF66"/>
          <bgColor rgb="FFFFFF66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Roboto"/>
        <scheme val="none"/>
      </font>
      <fill>
        <patternFill patternType="solid">
          <fgColor rgb="FF92D050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Roboto"/>
        <scheme val="none"/>
      </font>
      <fill>
        <patternFill patternType="solid">
          <fgColor rgb="FF92D050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Roboto"/>
        <scheme val="none"/>
      </font>
      <fill>
        <patternFill patternType="solid">
          <fgColor rgb="FF4A86E8"/>
          <bgColor rgb="FF4A86E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Roboto"/>
        <scheme val="none"/>
      </font>
      <fill>
        <patternFill patternType="solid">
          <fgColor rgb="FF0000FF"/>
          <bgColor rgb="FF0000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Roboto"/>
        <scheme val="none"/>
      </font>
      <fill>
        <patternFill patternType="solid">
          <fgColor rgb="FF0000FF"/>
          <bgColor rgb="FF0000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Roboto"/>
        <scheme val="none"/>
      </font>
      <fill>
        <patternFill patternType="solid">
          <fgColor rgb="FF0000FF"/>
          <bgColor rgb="FF0000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Roboto"/>
        <scheme val="none"/>
      </font>
      <fill>
        <patternFill patternType="solid">
          <fgColor rgb="FF0000FF"/>
          <bgColor rgb="FF0000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Roboto"/>
        <scheme val="none"/>
      </font>
      <fill>
        <patternFill patternType="solid">
          <fgColor rgb="FF0000FF"/>
          <bgColor rgb="FF0000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Roboto"/>
        <scheme val="none"/>
      </font>
      <fill>
        <patternFill patternType="solid">
          <fgColor rgb="FF3C7D22"/>
          <bgColor rgb="FF3C7D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Roboto"/>
        <scheme val="none"/>
      </font>
      <fill>
        <patternFill patternType="solid">
          <fgColor rgb="FF3C7D22"/>
          <bgColor rgb="FF3C7D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Roboto"/>
        <scheme val="none"/>
      </font>
      <fill>
        <patternFill patternType="solid">
          <fgColor rgb="FF3C7D22"/>
          <bgColor rgb="FF3C7D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Roboto"/>
        <scheme val="none"/>
      </font>
      <fill>
        <patternFill patternType="solid">
          <fgColor rgb="FF3C7D22"/>
          <bgColor rgb="FF3C7D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Roboto"/>
        <scheme val="none"/>
      </font>
      <fill>
        <patternFill patternType="solid">
          <fgColor rgb="FF3C7D22"/>
          <bgColor rgb="FF3C7D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Roboto"/>
        <scheme val="none"/>
      </font>
      <fill>
        <patternFill patternType="solid">
          <fgColor rgb="FFB4A7D6"/>
          <bgColor rgb="FFB4A7D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Roboto"/>
        <scheme val="none"/>
      </font>
      <fill>
        <patternFill patternType="solid">
          <fgColor rgb="FF92D050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109">
    <tableStyle name="RM-style" pivot="0" count="2" xr9:uid="{00000000-0011-0000-FFFF-FFFF00000000}">
      <tableStyleElement type="firstRowStripe" dxfId="5237"/>
      <tableStyleElement type="secondRowStripe" dxfId="5236"/>
    </tableStyle>
    <tableStyle name="FO NEW-style" pivot="0" count="2" xr9:uid="{00000000-0011-0000-FFFF-FFFF01000000}">
      <tableStyleElement type="firstRowStripe" dxfId="5235"/>
      <tableStyleElement type="secondRowStripe" dxfId="5234"/>
    </tableStyle>
    <tableStyle name="FO NEW-style 2" pivot="0" count="2" xr9:uid="{00000000-0011-0000-FFFF-FFFF02000000}">
      <tableStyleElement type="firstRowStripe" dxfId="5233"/>
      <tableStyleElement type="secondRowStripe" dxfId="5232"/>
    </tableStyle>
    <tableStyle name="FO NEW-style 3" pivot="0" count="2" xr9:uid="{00000000-0011-0000-FFFF-FFFF03000000}">
      <tableStyleElement type="firstRowStripe" dxfId="5231"/>
      <tableStyleElement type="secondRowStripe" dxfId="5230"/>
    </tableStyle>
    <tableStyle name="FO NEW-style 4" pivot="0" count="2" xr9:uid="{00000000-0011-0000-FFFF-FFFF04000000}">
      <tableStyleElement type="firstRowStripe" dxfId="5229"/>
      <tableStyleElement type="secondRowStripe" dxfId="5228"/>
    </tableStyle>
    <tableStyle name="FO NEW-style 5" pivot="0" count="2" xr9:uid="{00000000-0011-0000-FFFF-FFFF05000000}">
      <tableStyleElement type="firstRowStripe" dxfId="5227"/>
      <tableStyleElement type="secondRowStripe" dxfId="5226"/>
    </tableStyle>
    <tableStyle name="FO NEW-style 6" pivot="0" count="2" xr9:uid="{00000000-0011-0000-FFFF-FFFF06000000}">
      <tableStyleElement type="firstRowStripe" dxfId="5225"/>
      <tableStyleElement type="secondRowStripe" dxfId="5224"/>
    </tableStyle>
    <tableStyle name="FO NEW-style 7" pivot="0" count="2" xr9:uid="{00000000-0011-0000-FFFF-FFFF07000000}">
      <tableStyleElement type="firstRowStripe" dxfId="5223"/>
      <tableStyleElement type="secondRowStripe" dxfId="5222"/>
    </tableStyle>
    <tableStyle name="FO NEW-style 8" pivot="0" count="2" xr9:uid="{00000000-0011-0000-FFFF-FFFF08000000}">
      <tableStyleElement type="firstRowStripe" dxfId="5221"/>
      <tableStyleElement type="secondRowStripe" dxfId="5220"/>
    </tableStyle>
    <tableStyle name="FO NEW-style 9" pivot="0" count="2" xr9:uid="{00000000-0011-0000-FFFF-FFFF09000000}">
      <tableStyleElement type="firstRowStripe" dxfId="5219"/>
      <tableStyleElement type="secondRowStripe" dxfId="5218"/>
    </tableStyle>
    <tableStyle name="FO NEW-style 10" pivot="0" count="2" xr9:uid="{00000000-0011-0000-FFFF-FFFF0A000000}">
      <tableStyleElement type="firstRowStripe" dxfId="5217"/>
      <tableStyleElement type="secondRowStripe" dxfId="5216"/>
    </tableStyle>
    <tableStyle name="FO NEW-style 11" pivot="0" count="2" xr9:uid="{00000000-0011-0000-FFFF-FFFF0B000000}">
      <tableStyleElement type="firstRowStripe" dxfId="5215"/>
      <tableStyleElement type="secondRowStripe" dxfId="5214"/>
    </tableStyle>
    <tableStyle name="FO NEW-style 12" pivot="0" count="2" xr9:uid="{00000000-0011-0000-FFFF-FFFF0C000000}">
      <tableStyleElement type="firstRowStripe" dxfId="5213"/>
      <tableStyleElement type="secondRowStripe" dxfId="5212"/>
    </tableStyle>
    <tableStyle name="FO NEW-style 13" pivot="0" count="2" xr9:uid="{00000000-0011-0000-FFFF-FFFF0D000000}">
      <tableStyleElement type="firstRowStripe" dxfId="5211"/>
      <tableStyleElement type="secondRowStripe" dxfId="5210"/>
    </tableStyle>
    <tableStyle name="FO NEW-style 14" pivot="0" count="2" xr9:uid="{00000000-0011-0000-FFFF-FFFF0E000000}">
      <tableStyleElement type="firstRowStripe" dxfId="5209"/>
      <tableStyleElement type="secondRowStripe" dxfId="5208"/>
    </tableStyle>
    <tableStyle name="FO NEW-style 15" pivot="0" count="2" xr9:uid="{00000000-0011-0000-FFFF-FFFF0F000000}">
      <tableStyleElement type="firstRowStripe" dxfId="5207"/>
      <tableStyleElement type="secondRowStripe" dxfId="5206"/>
    </tableStyle>
    <tableStyle name="FO NEW-style 16" pivot="0" count="2" xr9:uid="{00000000-0011-0000-FFFF-FFFF10000000}">
      <tableStyleElement type="firstRowStripe" dxfId="5205"/>
      <tableStyleElement type="secondRowStripe" dxfId="5204"/>
    </tableStyle>
    <tableStyle name="FO NEW-style 17" pivot="0" count="2" xr9:uid="{00000000-0011-0000-FFFF-FFFF11000000}">
      <tableStyleElement type="firstRowStripe" dxfId="5203"/>
      <tableStyleElement type="secondRowStripe" dxfId="5202"/>
    </tableStyle>
    <tableStyle name="FO NEW-style 18" pivot="0" count="2" xr9:uid="{00000000-0011-0000-FFFF-FFFF12000000}">
      <tableStyleElement type="firstRowStripe" dxfId="5201"/>
      <tableStyleElement type="secondRowStripe" dxfId="5200"/>
    </tableStyle>
    <tableStyle name="FO NEW-style 19" pivot="0" count="2" xr9:uid="{00000000-0011-0000-FFFF-FFFF13000000}">
      <tableStyleElement type="firstRowStripe" dxfId="5199"/>
      <tableStyleElement type="secondRowStripe" dxfId="5198"/>
    </tableStyle>
    <tableStyle name="FO NEW-style 20" pivot="0" count="2" xr9:uid="{00000000-0011-0000-FFFF-FFFF14000000}">
      <tableStyleElement type="firstRowStripe" dxfId="5197"/>
      <tableStyleElement type="secondRowStripe" dxfId="5196"/>
    </tableStyle>
    <tableStyle name="FO NEW-style 21" pivot="0" count="2" xr9:uid="{00000000-0011-0000-FFFF-FFFF15000000}">
      <tableStyleElement type="firstRowStripe" dxfId="5195"/>
      <tableStyleElement type="secondRowStripe" dxfId="5194"/>
    </tableStyle>
    <tableStyle name="SUP---style" pivot="0" count="2" xr9:uid="{00000000-0011-0000-FFFF-FFFF16000000}">
      <tableStyleElement type="firstRowStripe" dxfId="5193"/>
      <tableStyleElement type="secondRowStripe" dxfId="5192"/>
    </tableStyle>
    <tableStyle name="SUP---style 2" pivot="0" count="2" xr9:uid="{00000000-0011-0000-FFFF-FFFF17000000}">
      <tableStyleElement type="firstRowStripe" dxfId="5191"/>
      <tableStyleElement type="secondRowStripe" dxfId="5190"/>
    </tableStyle>
    <tableStyle name="New BO-style" pivot="0" count="2" xr9:uid="{00000000-0011-0000-FFFF-FFFF18000000}">
      <tableStyleElement type="firstRowStripe" dxfId="5189"/>
      <tableStyleElement type="secondRowStripe" dxfId="5188"/>
    </tableStyle>
    <tableStyle name="New BO-style 2" pivot="0" count="2" xr9:uid="{00000000-0011-0000-FFFF-FFFF19000000}">
      <tableStyleElement type="firstRowStripe" dxfId="5187"/>
      <tableStyleElement type="secondRowStripe" dxfId="5186"/>
    </tableStyle>
    <tableStyle name="New BO-style 3" pivot="0" count="2" xr9:uid="{00000000-0011-0000-FFFF-FFFF1A000000}">
      <tableStyleElement type="firstRowStripe" dxfId="5185"/>
      <tableStyleElement type="secondRowStripe" dxfId="5184"/>
    </tableStyle>
    <tableStyle name="New BO-style 4" pivot="0" count="2" xr9:uid="{00000000-0011-0000-FFFF-FFFF1B000000}">
      <tableStyleElement type="firstRowStripe" dxfId="5183"/>
      <tableStyleElement type="secondRowStripe" dxfId="5182"/>
    </tableStyle>
    <tableStyle name="New BO-style 5" pivot="0" count="2" xr9:uid="{00000000-0011-0000-FFFF-FFFF1C000000}">
      <tableStyleElement type="firstRowStripe" dxfId="5181"/>
      <tableStyleElement type="secondRowStripe" dxfId="5180"/>
    </tableStyle>
    <tableStyle name="New BO-style 6" pivot="0" count="2" xr9:uid="{00000000-0011-0000-FFFF-FFFF1D000000}">
      <tableStyleElement type="firstRowStripe" dxfId="5179"/>
      <tableStyleElement type="secondRowStripe" dxfId="5178"/>
    </tableStyle>
    <tableStyle name="New BO-style 7" pivot="0" count="2" xr9:uid="{00000000-0011-0000-FFFF-FFFF1E000000}">
      <tableStyleElement type="firstRowStripe" dxfId="5177"/>
      <tableStyleElement type="secondRowStripe" dxfId="5176"/>
    </tableStyle>
    <tableStyle name="New BO-style 8" pivot="0" count="2" xr9:uid="{00000000-0011-0000-FFFF-FFFF1F000000}">
      <tableStyleElement type="firstRowStripe" dxfId="5175"/>
      <tableStyleElement type="secondRowStripe" dxfId="5174"/>
    </tableStyle>
    <tableStyle name="New BO-style 9" pivot="0" count="2" xr9:uid="{00000000-0011-0000-FFFF-FFFF20000000}">
      <tableStyleElement type="firstRowStripe" dxfId="5173"/>
      <tableStyleElement type="secondRowStripe" dxfId="5172"/>
    </tableStyle>
    <tableStyle name="New BO-style 10" pivot="0" count="2" xr9:uid="{00000000-0011-0000-FFFF-FFFF21000000}">
      <tableStyleElement type="firstRowStripe" dxfId="5171"/>
      <tableStyleElement type="secondRowStripe" dxfId="5170"/>
    </tableStyle>
    <tableStyle name="New BO-style 11" pivot="0" count="2" xr9:uid="{00000000-0011-0000-FFFF-FFFF22000000}">
      <tableStyleElement type="firstRowStripe" dxfId="5169"/>
      <tableStyleElement type="secondRowStripe" dxfId="5168"/>
    </tableStyle>
    <tableStyle name="New BO-style 12" pivot="0" count="2" xr9:uid="{00000000-0011-0000-FFFF-FFFF23000000}">
      <tableStyleElement type="firstRowStripe" dxfId="5167"/>
      <tableStyleElement type="secondRowStripe" dxfId="5166"/>
    </tableStyle>
    <tableStyle name="New BO-style 13" pivot="0" count="2" xr9:uid="{00000000-0011-0000-FFFF-FFFF24000000}">
      <tableStyleElement type="firstRowStripe" dxfId="5165"/>
      <tableStyleElement type="secondRowStripe" dxfId="5164"/>
    </tableStyle>
    <tableStyle name="New BO-style 14" pivot="0" count="2" xr9:uid="{00000000-0011-0000-FFFF-FFFF25000000}">
      <tableStyleElement type="firstRowStripe" dxfId="5163"/>
      <tableStyleElement type="secondRowStripe" dxfId="5162"/>
    </tableStyle>
    <tableStyle name="New BO-style 15" pivot="0" count="2" xr9:uid="{00000000-0011-0000-FFFF-FFFF26000000}">
      <tableStyleElement type="firstRowStripe" dxfId="5161"/>
      <tableStyleElement type="secondRowStripe" dxfId="5160"/>
    </tableStyle>
    <tableStyle name="New BO-style 16" pivot="0" count="2" xr9:uid="{00000000-0011-0000-FFFF-FFFF27000000}">
      <tableStyleElement type="firstRowStripe" dxfId="5159"/>
      <tableStyleElement type="secondRowStripe" dxfId="5158"/>
    </tableStyle>
    <tableStyle name="New BO-style 17" pivot="0" count="2" xr9:uid="{00000000-0011-0000-FFFF-FFFF28000000}">
      <tableStyleElement type="firstRowStripe" dxfId="5157"/>
      <tableStyleElement type="secondRowStripe" dxfId="5156"/>
    </tableStyle>
    <tableStyle name="New BO-style 18" pivot="0" count="2" xr9:uid="{00000000-0011-0000-FFFF-FFFF29000000}">
      <tableStyleElement type="firstRowStripe" dxfId="5155"/>
      <tableStyleElement type="secondRowStripe" dxfId="5154"/>
    </tableStyle>
    <tableStyle name="New BO-style 19" pivot="0" count="2" xr9:uid="{00000000-0011-0000-FFFF-FFFF2A000000}">
      <tableStyleElement type="firstRowStripe" dxfId="5153"/>
      <tableStyleElement type="secondRowStripe" dxfId="5152"/>
    </tableStyle>
    <tableStyle name="New BO-style 20" pivot="0" count="2" xr9:uid="{00000000-0011-0000-FFFF-FFFF2B000000}">
      <tableStyleElement type="firstRowStripe" dxfId="5151"/>
      <tableStyleElement type="secondRowStripe" dxfId="5150"/>
    </tableStyle>
    <tableStyle name="New BO-style 21" pivot="0" count="2" xr9:uid="{00000000-0011-0000-FFFF-FFFF2C000000}">
      <tableStyleElement type="firstRowStripe" dxfId="5149"/>
      <tableStyleElement type="secondRowStripe" dxfId="5148"/>
    </tableStyle>
    <tableStyle name="New BO-style 22" pivot="0" count="2" xr9:uid="{00000000-0011-0000-FFFF-FFFF2D000000}">
      <tableStyleElement type="firstRowStripe" dxfId="5147"/>
      <tableStyleElement type="secondRowStripe" dxfId="5146"/>
    </tableStyle>
    <tableStyle name="New BO-style 23" pivot="0" count="2" xr9:uid="{00000000-0011-0000-FFFF-FFFF2E000000}">
      <tableStyleElement type="firstRowStripe" dxfId="5145"/>
      <tableStyleElement type="secondRowStripe" dxfId="5144"/>
    </tableStyle>
    <tableStyle name="New BO-style 24" pivot="0" count="2" xr9:uid="{00000000-0011-0000-FFFF-FFFF2F000000}">
      <tableStyleElement type="firstRowStripe" dxfId="5143"/>
      <tableStyleElement type="secondRowStripe" dxfId="5142"/>
    </tableStyle>
    <tableStyle name="New BO-style 25" pivot="0" count="2" xr9:uid="{00000000-0011-0000-FFFF-FFFF30000000}">
      <tableStyleElement type="firstRowStripe" dxfId="5141"/>
      <tableStyleElement type="secondRowStripe" dxfId="5140"/>
    </tableStyle>
    <tableStyle name="New BO-style 26" pivot="0" count="2" xr9:uid="{00000000-0011-0000-FFFF-FFFF31000000}">
      <tableStyleElement type="firstRowStripe" dxfId="5139"/>
      <tableStyleElement type="secondRowStripe" dxfId="5138"/>
    </tableStyle>
    <tableStyle name="New BO-style 27" pivot="0" count="2" xr9:uid="{00000000-0011-0000-FFFF-FFFF32000000}">
      <tableStyleElement type="firstRowStripe" dxfId="5137"/>
      <tableStyleElement type="secondRowStripe" dxfId="5136"/>
    </tableStyle>
    <tableStyle name="New BO-style 28" pivot="0" count="2" xr9:uid="{00000000-0011-0000-FFFF-FFFF33000000}">
      <tableStyleElement type="firstRowStripe" dxfId="5135"/>
      <tableStyleElement type="secondRowStripe" dxfId="5134"/>
    </tableStyle>
    <tableStyle name="New BO-style 29" pivot="0" count="2" xr9:uid="{00000000-0011-0000-FFFF-FFFF34000000}">
      <tableStyleElement type="firstRowStripe" dxfId="5133"/>
      <tableStyleElement type="secondRowStripe" dxfId="5132"/>
    </tableStyle>
    <tableStyle name="New BO-style 30" pivot="0" count="2" xr9:uid="{00000000-0011-0000-FFFF-FFFF35000000}">
      <tableStyleElement type="firstRowStripe" dxfId="5131"/>
      <tableStyleElement type="secondRowStripe" dxfId="5130"/>
    </tableStyle>
    <tableStyle name="New BO-style 31" pivot="0" count="2" xr9:uid="{00000000-0011-0000-FFFF-FFFF36000000}">
      <tableStyleElement type="firstRowStripe" dxfId="5129"/>
      <tableStyleElement type="secondRowStripe" dxfId="5128"/>
    </tableStyle>
    <tableStyle name="New BO-style 32" pivot="0" count="2" xr9:uid="{00000000-0011-0000-FFFF-FFFF37000000}">
      <tableStyleElement type="firstRowStripe" dxfId="5127"/>
      <tableStyleElement type="secondRowStripe" dxfId="5126"/>
    </tableStyle>
    <tableStyle name="New BO-style 33" pivot="0" count="2" xr9:uid="{00000000-0011-0000-FFFF-FFFF38000000}">
      <tableStyleElement type="firstRowStripe" dxfId="5125"/>
      <tableStyleElement type="secondRowStripe" dxfId="5124"/>
    </tableStyle>
    <tableStyle name="New BO-style 34" pivot="0" count="2" xr9:uid="{00000000-0011-0000-FFFF-FFFF39000000}">
      <tableStyleElement type="firstRowStripe" dxfId="5123"/>
      <tableStyleElement type="secondRowStripe" dxfId="5122"/>
    </tableStyle>
    <tableStyle name="New BO-style 35" pivot="0" count="2" xr9:uid="{00000000-0011-0000-FFFF-FFFF3A000000}">
      <tableStyleElement type="firstRowStripe" dxfId="5121"/>
      <tableStyleElement type="secondRowStripe" dxfId="5120"/>
    </tableStyle>
    <tableStyle name="New BO-style 36" pivot="0" count="2" xr9:uid="{00000000-0011-0000-FFFF-FFFF3B000000}">
      <tableStyleElement type="firstRowStripe" dxfId="5119"/>
      <tableStyleElement type="secondRowStripe" dxfId="5118"/>
    </tableStyle>
    <tableStyle name="New BO-style 37" pivot="0" count="2" xr9:uid="{00000000-0011-0000-FFFF-FFFF3C000000}">
      <tableStyleElement type="firstRowStripe" dxfId="5117"/>
      <tableStyleElement type="secondRowStripe" dxfId="5116"/>
    </tableStyle>
    <tableStyle name="New BO-style 38" pivot="0" count="2" xr9:uid="{00000000-0011-0000-FFFF-FFFF3D000000}">
      <tableStyleElement type="firstRowStripe" dxfId="5115"/>
      <tableStyleElement type="secondRowStripe" dxfId="5114"/>
    </tableStyle>
    <tableStyle name="New BO-style 39" pivot="0" count="2" xr9:uid="{00000000-0011-0000-FFFF-FFFF3E000000}">
      <tableStyleElement type="firstRowStripe" dxfId="5113"/>
      <tableStyleElement type="secondRowStripe" dxfId="5112"/>
    </tableStyle>
    <tableStyle name="New BO-style 40" pivot="0" count="2" xr9:uid="{00000000-0011-0000-FFFF-FFFF3F000000}">
      <tableStyleElement type="firstRowStripe" dxfId="5111"/>
      <tableStyleElement type="secondRowStripe" dxfId="5110"/>
    </tableStyle>
    <tableStyle name="New BO-style 41" pivot="0" count="2" xr9:uid="{00000000-0011-0000-FFFF-FFFF40000000}">
      <tableStyleElement type="firstRowStripe" dxfId="5109"/>
      <tableStyleElement type="secondRowStripe" dxfId="5108"/>
    </tableStyle>
    <tableStyle name="New BO-style 42" pivot="0" count="2" xr9:uid="{00000000-0011-0000-FFFF-FFFF41000000}">
      <tableStyleElement type="firstRowStripe" dxfId="5107"/>
      <tableStyleElement type="secondRowStripe" dxfId="5106"/>
    </tableStyle>
    <tableStyle name="New BO-style 43" pivot="0" count="2" xr9:uid="{00000000-0011-0000-FFFF-FFFF42000000}">
      <tableStyleElement type="firstRowStripe" dxfId="5105"/>
      <tableStyleElement type="secondRowStripe" dxfId="5104"/>
    </tableStyle>
    <tableStyle name="New BO-style 44" pivot="0" count="2" xr9:uid="{00000000-0011-0000-FFFF-FFFF43000000}">
      <tableStyleElement type="firstRowStripe" dxfId="5103"/>
      <tableStyleElement type="secondRowStripe" dxfId="5102"/>
    </tableStyle>
    <tableStyle name="New BO-style 45" pivot="0" count="2" xr9:uid="{00000000-0011-0000-FFFF-FFFF44000000}">
      <tableStyleElement type="firstRowStripe" dxfId="5101"/>
      <tableStyleElement type="secondRowStripe" dxfId="5100"/>
    </tableStyle>
    <tableStyle name="New BO-style 46" pivot="0" count="2" xr9:uid="{00000000-0011-0000-FFFF-FFFF45000000}">
      <tableStyleElement type="firstRowStripe" dxfId="5099"/>
      <tableStyleElement type="secondRowStripe" dxfId="5098"/>
    </tableStyle>
    <tableStyle name="New BO-style 47" pivot="0" count="2" xr9:uid="{00000000-0011-0000-FFFF-FFFF46000000}">
      <tableStyleElement type="firstRowStripe" dxfId="5097"/>
      <tableStyleElement type="secondRowStripe" dxfId="5096"/>
    </tableStyle>
    <tableStyle name="New BO-style 48" pivot="0" count="2" xr9:uid="{00000000-0011-0000-FFFF-FFFF47000000}">
      <tableStyleElement type="firstRowStripe" dxfId="5095"/>
      <tableStyleElement type="secondRowStripe" dxfId="5094"/>
    </tableStyle>
    <tableStyle name="New BO-style 49" pivot="0" count="2" xr9:uid="{00000000-0011-0000-FFFF-FFFF48000000}">
      <tableStyleElement type="firstRowStripe" dxfId="5093"/>
      <tableStyleElement type="secondRowStripe" dxfId="5092"/>
    </tableStyle>
    <tableStyle name="New BO-style 50" pivot="0" count="2" xr9:uid="{00000000-0011-0000-FFFF-FFFF49000000}">
      <tableStyleElement type="firstRowStripe" dxfId="5091"/>
      <tableStyleElement type="secondRowStripe" dxfId="5090"/>
    </tableStyle>
    <tableStyle name="New BO-style 51" pivot="0" count="2" xr9:uid="{00000000-0011-0000-FFFF-FFFF4A000000}">
      <tableStyleElement type="firstRowStripe" dxfId="5089"/>
      <tableStyleElement type="secondRowStripe" dxfId="5088"/>
    </tableStyle>
    <tableStyle name="New BO-style 52" pivot="0" count="2" xr9:uid="{00000000-0011-0000-FFFF-FFFF4B000000}">
      <tableStyleElement type="firstRowStripe" dxfId="5087"/>
      <tableStyleElement type="secondRowStripe" dxfId="5086"/>
    </tableStyle>
    <tableStyle name="New BO-style 53" pivot="0" count="2" xr9:uid="{00000000-0011-0000-FFFF-FFFF4C000000}">
      <tableStyleElement type="firstRowStripe" dxfId="5085"/>
      <tableStyleElement type="secondRowStripe" dxfId="5084"/>
    </tableStyle>
    <tableStyle name="New BO-style 54" pivot="0" count="2" xr9:uid="{00000000-0011-0000-FFFF-FFFF4D000000}">
      <tableStyleElement type="firstRowStripe" dxfId="5083"/>
      <tableStyleElement type="secondRowStripe" dxfId="5082"/>
    </tableStyle>
    <tableStyle name="New BO-style 55" pivot="0" count="2" xr9:uid="{00000000-0011-0000-FFFF-FFFF4E000000}">
      <tableStyleElement type="firstRowStripe" dxfId="5081"/>
      <tableStyleElement type="secondRowStripe" dxfId="5080"/>
    </tableStyle>
    <tableStyle name="New BO-style 56" pivot="0" count="2" xr9:uid="{00000000-0011-0000-FFFF-FFFF4F000000}">
      <tableStyleElement type="firstRowStripe" dxfId="5079"/>
      <tableStyleElement type="secondRowStripe" dxfId="5078"/>
    </tableStyle>
    <tableStyle name="New BO-style 57" pivot="0" count="2" xr9:uid="{00000000-0011-0000-FFFF-FFFF50000000}">
      <tableStyleElement type="firstRowStripe" dxfId="5077"/>
      <tableStyleElement type="secondRowStripe" dxfId="5076"/>
    </tableStyle>
    <tableStyle name="New BO-style 58" pivot="0" count="2" xr9:uid="{00000000-0011-0000-FFFF-FFFF51000000}">
      <tableStyleElement type="firstRowStripe" dxfId="5075"/>
      <tableStyleElement type="secondRowStripe" dxfId="5074"/>
    </tableStyle>
    <tableStyle name="New BO-style 59" pivot="0" count="2" xr9:uid="{00000000-0011-0000-FFFF-FFFF52000000}">
      <tableStyleElement type="firstRowStripe" dxfId="5073"/>
      <tableStyleElement type="secondRowStripe" dxfId="5072"/>
    </tableStyle>
    <tableStyle name="New BO-style 60" pivot="0" count="2" xr9:uid="{00000000-0011-0000-FFFF-FFFF53000000}">
      <tableStyleElement type="firstRowStripe" dxfId="5071"/>
      <tableStyleElement type="secondRowStripe" dxfId="5070"/>
    </tableStyle>
    <tableStyle name="New BO-style 61" pivot="0" count="2" xr9:uid="{00000000-0011-0000-FFFF-FFFF54000000}">
      <tableStyleElement type="firstRowStripe" dxfId="5069"/>
      <tableStyleElement type="secondRowStripe" dxfId="5068"/>
    </tableStyle>
    <tableStyle name="New BO-style 62" pivot="0" count="2" xr9:uid="{00000000-0011-0000-FFFF-FFFF55000000}">
      <tableStyleElement type="firstRowStripe" dxfId="5067"/>
      <tableStyleElement type="secondRowStripe" dxfId="5066"/>
    </tableStyle>
    <tableStyle name="BO-style" pivot="0" count="2" xr9:uid="{00000000-0011-0000-FFFF-FFFF56000000}">
      <tableStyleElement type="firstRowStripe" dxfId="5065"/>
      <tableStyleElement type="secondRowStripe" dxfId="5064"/>
    </tableStyle>
    <tableStyle name="BO-style 2" pivot="0" count="2" xr9:uid="{00000000-0011-0000-FFFF-FFFF57000000}">
      <tableStyleElement type="firstRowStripe" dxfId="5063"/>
      <tableStyleElement type="secondRowStripe" dxfId="5062"/>
    </tableStyle>
    <tableStyle name="BO-style 3" pivot="0" count="2" xr9:uid="{00000000-0011-0000-FFFF-FFFF58000000}">
      <tableStyleElement type="firstRowStripe" dxfId="5061"/>
      <tableStyleElement type="secondRowStripe" dxfId="5060"/>
    </tableStyle>
    <tableStyle name="BO-style 4" pivot="0" count="2" xr9:uid="{00000000-0011-0000-FFFF-FFFF59000000}">
      <tableStyleElement type="firstRowStripe" dxfId="5059"/>
      <tableStyleElement type="secondRowStripe" dxfId="5058"/>
    </tableStyle>
    <tableStyle name="BO-style 5" pivot="0" count="2" xr9:uid="{00000000-0011-0000-FFFF-FFFF5A000000}">
      <tableStyleElement type="firstRowStripe" dxfId="5057"/>
      <tableStyleElement type="secondRowStripe" dxfId="5056"/>
    </tableStyle>
    <tableStyle name="BO-style 6" pivot="0" count="2" xr9:uid="{00000000-0011-0000-FFFF-FFFF5B000000}">
      <tableStyleElement type="firstRowStripe" dxfId="5055"/>
      <tableStyleElement type="secondRowStripe" dxfId="5054"/>
    </tableStyle>
    <tableStyle name="BO-style 7" pivot="0" count="2" xr9:uid="{00000000-0011-0000-FFFF-FFFF5C000000}">
      <tableStyleElement type="firstRowStripe" dxfId="5053"/>
      <tableStyleElement type="secondRowStripe" dxfId="5052"/>
    </tableStyle>
    <tableStyle name="BO-style 8" pivot="0" count="2" xr9:uid="{00000000-0011-0000-FFFF-FFFF5D000000}">
      <tableStyleElement type="firstRowStripe" dxfId="5051"/>
      <tableStyleElement type="secondRowStripe" dxfId="5050"/>
    </tableStyle>
    <tableStyle name="BO-style 9" pivot="0" count="2" xr9:uid="{00000000-0011-0000-FFFF-FFFF5E000000}">
      <tableStyleElement type="firstRowStripe" dxfId="5049"/>
      <tableStyleElement type="secondRowStripe" dxfId="5048"/>
    </tableStyle>
    <tableStyle name="BO-style 10" pivot="0" count="2" xr9:uid="{00000000-0011-0000-FFFF-FFFF5F000000}">
      <tableStyleElement type="firstRowStripe" dxfId="5047"/>
      <tableStyleElement type="secondRowStripe" dxfId="5046"/>
    </tableStyle>
    <tableStyle name="BO-style 11" pivot="0" count="2" xr9:uid="{00000000-0011-0000-FFFF-FFFF60000000}">
      <tableStyleElement type="firstRowStripe" dxfId="5045"/>
      <tableStyleElement type="secondRowStripe" dxfId="5044"/>
    </tableStyle>
    <tableStyle name="BO-style 12" pivot="0" count="2" xr9:uid="{00000000-0011-0000-FFFF-FFFF61000000}">
      <tableStyleElement type="firstRowStripe" dxfId="5043"/>
      <tableStyleElement type="secondRowStripe" dxfId="5042"/>
    </tableStyle>
    <tableStyle name="BO-style 13" pivot="0" count="2" xr9:uid="{00000000-0011-0000-FFFF-FFFF62000000}">
      <tableStyleElement type="firstRowStripe" dxfId="5041"/>
      <tableStyleElement type="secondRowStripe" dxfId="5040"/>
    </tableStyle>
    <tableStyle name="BO-style 14" pivot="0" count="2" xr9:uid="{00000000-0011-0000-FFFF-FFFF63000000}">
      <tableStyleElement type="firstRowStripe" dxfId="5039"/>
      <tableStyleElement type="secondRowStripe" dxfId="5038"/>
    </tableStyle>
    <tableStyle name="BO-style 15" pivot="0" count="2" xr9:uid="{00000000-0011-0000-FFFF-FFFF64000000}">
      <tableStyleElement type="firstRowStripe" dxfId="5037"/>
      <tableStyleElement type="secondRowStripe" dxfId="5036"/>
    </tableStyle>
    <tableStyle name="FO2-style" pivot="0" count="2" xr9:uid="{00000000-0011-0000-FFFF-FFFF65000000}">
      <tableStyleElement type="firstRowStripe" dxfId="5035"/>
      <tableStyleElement type="secondRowStripe" dxfId="5034"/>
    </tableStyle>
    <tableStyle name="FO2-style 2" pivot="0" count="2" xr9:uid="{00000000-0011-0000-FFFF-FFFF66000000}">
      <tableStyleElement type="firstRowStripe" dxfId="5033"/>
      <tableStyleElement type="secondRowStripe" dxfId="5032"/>
    </tableStyle>
    <tableStyle name="FO2-style 3" pivot="0" count="2" xr9:uid="{00000000-0011-0000-FFFF-FFFF67000000}">
      <tableStyleElement type="firstRowStripe" dxfId="5031"/>
      <tableStyleElement type="secondRowStripe" dxfId="5030"/>
    </tableStyle>
    <tableStyle name="FO2-style 4" pivot="0" count="2" xr9:uid="{00000000-0011-0000-FFFF-FFFF68000000}">
      <tableStyleElement type="firstRowStripe" dxfId="5029"/>
      <tableStyleElement type="secondRowStripe" dxfId="5028"/>
    </tableStyle>
    <tableStyle name="FO2-style 5" pivot="0" count="2" xr9:uid="{00000000-0011-0000-FFFF-FFFF69000000}">
      <tableStyleElement type="firstRowStripe" dxfId="5027"/>
      <tableStyleElement type="secondRowStripe" dxfId="5026"/>
    </tableStyle>
    <tableStyle name="FO2-style 6" pivot="0" count="2" xr9:uid="{00000000-0011-0000-FFFF-FFFF6A000000}">
      <tableStyleElement type="firstRowStripe" dxfId="5025"/>
      <tableStyleElement type="secondRowStripe" dxfId="5024"/>
    </tableStyle>
    <tableStyle name="FO2-style 7" pivot="0" count="2" xr9:uid="{00000000-0011-0000-FFFF-FFFF6B000000}">
      <tableStyleElement type="firstRowStripe" dxfId="5023"/>
      <tableStyleElement type="secondRowStripe" dxfId="5022"/>
    </tableStyle>
    <tableStyle name="FO2-style 8" pivot="0" count="2" xr9:uid="{00000000-0011-0000-FFFF-FFFF6C000000}">
      <tableStyleElement type="firstRowStripe" dxfId="5021"/>
      <tableStyleElement type="secondRowStripe" dxfId="50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139700</xdr:colOff>
      <xdr:row>19</xdr:row>
      <xdr:rowOff>95250</xdr:rowOff>
    </xdr:from>
    <xdr:to>
      <xdr:col>6</xdr:col>
      <xdr:colOff>139700</xdr:colOff>
      <xdr:row>25</xdr:row>
      <xdr:rowOff>38100</xdr:rowOff>
    </xdr:to>
    <xdr:sp macro="" textlink="">
      <xdr:nvSpPr>
        <xdr:cNvPr id="7170" name="Text Box 2" hidden="1">
          <a:extLst>
            <a:ext uri="{FF2B5EF4-FFF2-40B4-BE49-F238E27FC236}">
              <a16:creationId xmlns:a16="http://schemas.microsoft.com/office/drawing/2014/main" id="{D69A80EC-2007-FFD8-5BC9-01E67AF1D3D3}"/>
            </a:ext>
          </a:extLst>
        </xdr:cNvPr>
        <xdr:cNvSpPr txBox="1">
          <a:spLocks noChangeArrowheads="1"/>
        </xdr:cNvSpPr>
      </xdr:nvSpPr>
      <xdr:spPr bwMode="auto">
        <a:xfrm>
          <a:off x="2844800" y="3175000"/>
          <a:ext cx="3530600" cy="1092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asseur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</sheetNames>
    <sheetDataSet>
      <sheetData sheetId="0">
        <row r="10">
          <cell r="D10" t="str">
            <v>05H00 ➡ 14H00</v>
          </cell>
          <cell r="E10" t="str">
            <v>05H00 ➡ 14H00</v>
          </cell>
          <cell r="F10" t="str">
            <v>05H00 ➡ 14H00</v>
          </cell>
          <cell r="H10" t="str">
            <v>OFF</v>
          </cell>
          <cell r="J10" t="str">
            <v>OFF</v>
          </cell>
        </row>
        <row r="11">
          <cell r="D11" t="str">
            <v>05H00 ➡ 14H00</v>
          </cell>
          <cell r="E11" t="str">
            <v>05H00 ➡ 14H00</v>
          </cell>
          <cell r="F11" t="str">
            <v>07H00 ➡ 16H00</v>
          </cell>
          <cell r="H11" t="str">
            <v>08H00 ➡ 17H00</v>
          </cell>
          <cell r="J11" t="str">
            <v>05H00 ➡ 14H00</v>
          </cell>
        </row>
        <row r="12">
          <cell r="D12" t="str">
            <v>07H00 ➡ 16H00</v>
          </cell>
          <cell r="E12" t="str">
            <v>07H00 ➡ 16H00</v>
          </cell>
          <cell r="F12" t="str">
            <v>08H00 ➡ 17H00</v>
          </cell>
          <cell r="H12" t="str">
            <v>08H00 ➡ 17H00</v>
          </cell>
          <cell r="J12" t="str">
            <v>08H00 ➡ 17H00</v>
          </cell>
        </row>
        <row r="13">
          <cell r="D13" t="str">
            <v>08H00 ➡ 17H00</v>
          </cell>
          <cell r="E13" t="str">
            <v>08H00 ➡ 17H00</v>
          </cell>
          <cell r="F13" t="str">
            <v>08H00 ➡ 17H00</v>
          </cell>
          <cell r="H13" t="str">
            <v>13H00 ➡ 22H00</v>
          </cell>
          <cell r="J13" t="str">
            <v>OFF</v>
          </cell>
        </row>
        <row r="14">
          <cell r="D14" t="str">
            <v>08H00 ➡ 17H00</v>
          </cell>
          <cell r="E14" t="str">
            <v>08H00 ➡ 17H00</v>
          </cell>
          <cell r="F14" t="str">
            <v>09H00 ➡ 18H00</v>
          </cell>
          <cell r="H14" t="str">
            <v>OFF</v>
          </cell>
          <cell r="J14" t="str">
            <v>OFF</v>
          </cell>
        </row>
        <row r="15">
          <cell r="D15" t="str">
            <v>12H00 ➡ 21H00</v>
          </cell>
          <cell r="E15" t="str">
            <v>09H00 ➡ 18H00</v>
          </cell>
          <cell r="F15" t="str">
            <v>12H00 ➡ 21H00</v>
          </cell>
          <cell r="H15" t="str">
            <v>05H00 ➡ 14H00</v>
          </cell>
          <cell r="J15" t="str">
            <v>05H00 ➡ 14H00</v>
          </cell>
        </row>
        <row r="16">
          <cell r="D16" t="str">
            <v>13H00 ➡ 22H00</v>
          </cell>
          <cell r="E16" t="str">
            <v>12H00 ➡ 21H00</v>
          </cell>
          <cell r="F16" t="str">
            <v>13H00 ➡ 22H00</v>
          </cell>
          <cell r="H16" t="str">
            <v>OFF</v>
          </cell>
          <cell r="J16" t="str">
            <v>13H00 ➡ 22H00</v>
          </cell>
        </row>
        <row r="17">
          <cell r="D17" t="str">
            <v>OFF</v>
          </cell>
          <cell r="E17" t="str">
            <v>13H00 ➡ 22H00</v>
          </cell>
          <cell r="F17" t="str">
            <v>OFF</v>
          </cell>
          <cell r="H17" t="str">
            <v>12H00 ➡ 21H00</v>
          </cell>
          <cell r="J17" t="str">
            <v>12H00 ➡ 21H00</v>
          </cell>
        </row>
        <row r="18">
          <cell r="D18" t="str">
            <v>OFF</v>
          </cell>
          <cell r="E18" t="str">
            <v>OFF</v>
          </cell>
          <cell r="F18" t="str">
            <v>OFF</v>
          </cell>
          <cell r="H18" t="str">
            <v>07H00 ➡ 16H00</v>
          </cell>
          <cell r="J18" t="str">
            <v>07H00 ➡ 16H00</v>
          </cell>
        </row>
        <row r="19">
          <cell r="D19" t="str">
            <v>OFF</v>
          </cell>
          <cell r="E19" t="str">
            <v>OFF</v>
          </cell>
          <cell r="F19" t="str">
            <v>OFF</v>
          </cell>
          <cell r="H19" t="str">
            <v>09H00 ➡ 18H00</v>
          </cell>
          <cell r="J19" t="str">
            <v>09H00 ➡ 18H00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ouad BOUNOUAR" id="{923B240C-7EE4-45BB-9FD6-D75002253CFC}" userId="" providerId="google-sheets"/>
  <person displayName="Yassine RABBAI" id="{786E305A-46F6-4A8F-AD35-8A4B179B6911}" userId="" providerId="google-sheets"/>
  <person displayName="Zouhair SADIKI" id="{7D2DD369-3E62-4F9C-9F84-998CA3889D73}" userId="" providerId="google-sheets"/>
  <person displayName="Mohamed BENSAID" id="{93F062DA-EE2B-48A3-B529-454B711D0D8E}" userId="" providerId="google-sheets"/>
  <person displayName="Malika EDEROUICH" id="{D71C9C20-B444-4914-A5CE-3FCD9ECA83E9}" userId="" providerId="google-sheets"/>
  <person displayName="Mohammed OUARDIGHI" id="{BA945301-5AAE-4A7E-B3F3-DFB26DF4A6D5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T2:CG2" headerRowCount="0">
  <tableColumns count="14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</tableColumns>
  <tableStyleInfo name="FO NEW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CP2:CW2" headerRowCount="0">
  <tableColumns count="8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</tableColumns>
  <tableStyleInfo name="FO NEW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T3:CG3" headerRowCount="0">
  <tableColumns count="14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</tableColumns>
  <tableStyleInfo name="FO NEW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BT4:CG4" headerRowCount="0">
  <tableColumns count="14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  <tableColumn id="14" xr3:uid="{00000000-0010-0000-0400-00000E000000}" name="Column14"/>
  </tableColumns>
  <tableStyleInfo name="FO NEW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BT5:CG5" headerRowCount="0">
  <tableColumns count="14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  <tableColumn id="12" xr3:uid="{00000000-0010-0000-0500-00000C000000}" name="Column12"/>
    <tableColumn id="13" xr3:uid="{00000000-0010-0000-0500-00000D000000}" name="Column13"/>
    <tableColumn id="14" xr3:uid="{00000000-0010-0000-0500-00000E000000}" name="Column14"/>
  </tableColumns>
  <tableStyleInfo name="FO NEW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O7:O17" headerRowCount="0" headerRowDxfId="5019" totalsRowDxfId="5018">
  <tableColumns count="1">
    <tableColumn id="1" xr3:uid="{00000000-0010-0000-0600-000001000000}" name="Column1" dataDxfId="5017"/>
  </tableColumns>
  <tableStyleInfo name="FO NEW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Y7" headerRowCount="0">
  <tableColumns count="1">
    <tableColumn id="1" xr3:uid="{00000000-0010-0000-0700-000001000000}" name="Column1"/>
  </tableColumns>
  <tableStyleInfo name="FO NEW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A8:AA9" headerRowCount="0">
  <tableColumns count="1">
    <tableColumn id="1" xr3:uid="{00000000-0010-0000-0800-000001000000}" name="Column1"/>
  </tableColumns>
  <tableStyleInfo name="FO NEW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X9:Z9" headerRowCount="0">
  <tableColumns count="3">
    <tableColumn id="1" xr3:uid="{00000000-0010-0000-0900-000001000000}" name="Column1"/>
    <tableColumn id="2" xr3:uid="{00000000-0010-0000-0900-000002000000}" name="Column2"/>
    <tableColumn id="3" xr3:uid="{00000000-0010-0000-0900-000003000000}" name="Column3"/>
  </tableColumns>
  <tableStyleInfo name="FO NEW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Y10" headerRowCount="0">
  <tableColumns count="1">
    <tableColumn id="1" xr3:uid="{00000000-0010-0000-0A00-000001000000}" name="Column1"/>
  </tableColumns>
  <tableStyleInfo name="FO NEW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Z10:AC11" headerRowCount="0">
  <tableColumns count="4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</tableColumns>
  <tableStyleInfo name="FO NEW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X11:Y12" headerRowCount="0">
  <tableColumns count="2">
    <tableColumn id="1" xr3:uid="{00000000-0010-0000-0C00-000001000000}" name="Column1"/>
    <tableColumn id="2" xr3:uid="{00000000-0010-0000-0C00-000002000000}" name="Column2"/>
  </tableColumns>
  <tableStyleInfo name="FO NEW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O18:O19" headerRowCount="0">
  <tableColumns count="1">
    <tableColumn id="1" xr3:uid="{00000000-0010-0000-0D00-000001000000}" name="Column1"/>
  </tableColumns>
  <tableStyleInfo name="FO NEW-style 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O21:O31" headerRowCount="0">
  <tableColumns count="1">
    <tableColumn id="1" xr3:uid="{00000000-0010-0000-0E00-000001000000}" name="Column1"/>
  </tableColumns>
  <tableStyleInfo name="FO NEW-style 14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Y21" headerRowCount="0">
  <tableColumns count="1">
    <tableColumn id="1" xr3:uid="{00000000-0010-0000-0F00-000001000000}" name="Column1"/>
  </tableColumns>
  <tableStyleInfo name="FO NEW-style 15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AA22:AA23" headerRowCount="0">
  <tableColumns count="1">
    <tableColumn id="1" xr3:uid="{00000000-0010-0000-1000-000001000000}" name="Column1"/>
  </tableColumns>
  <tableStyleInfo name="FO NEW-style 16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X23:Z23" headerRowCount="0">
  <tableColumns count="3">
    <tableColumn id="1" xr3:uid="{00000000-0010-0000-1100-000001000000}" name="Column1"/>
    <tableColumn id="2" xr3:uid="{00000000-0010-0000-1100-000002000000}" name="Column2"/>
    <tableColumn id="3" xr3:uid="{00000000-0010-0000-1100-000003000000}" name="Column3"/>
  </tableColumns>
  <tableStyleInfo name="FO NEW-style 17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Y24" headerRowCount="0">
  <tableColumns count="1">
    <tableColumn id="1" xr3:uid="{00000000-0010-0000-1200-000001000000}" name="Column1"/>
  </tableColumns>
  <tableStyleInfo name="FO NEW-style 18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Z24:AC25" headerRowCount="0">
  <tableColumns count="4">
    <tableColumn id="1" xr3:uid="{00000000-0010-0000-1300-000001000000}" name="Column1"/>
    <tableColumn id="2" xr3:uid="{00000000-0010-0000-1300-000002000000}" name="Column2"/>
    <tableColumn id="3" xr3:uid="{00000000-0010-0000-1300-000003000000}" name="Column3"/>
    <tableColumn id="4" xr3:uid="{00000000-0010-0000-1300-000004000000}" name="Column4"/>
  </tableColumns>
  <tableStyleInfo name="FO NEW-style 19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X25:Y26" headerRowCount="0">
  <tableColumns count="2">
    <tableColumn id="1" xr3:uid="{00000000-0010-0000-1400-000001000000}" name="Column1"/>
    <tableColumn id="2" xr3:uid="{00000000-0010-0000-1400-000002000000}" name="Column2"/>
  </tableColumns>
  <tableStyleInfo name="FO NEW-style 20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O32:O34" headerRowCount="0">
  <tableColumns count="1">
    <tableColumn id="1" xr3:uid="{00000000-0010-0000-1500-000001000000}" name="Column1"/>
  </tableColumns>
  <tableStyleInfo name="FO NEW-style 21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3" displayName="Table_23" ref="B4:X4" headerRowCount="0">
  <tableColumns count="23">
    <tableColumn id="1" xr3:uid="{00000000-0010-0000-1600-000001000000}" name="Column1"/>
    <tableColumn id="2" xr3:uid="{00000000-0010-0000-1600-000002000000}" name="Column2"/>
    <tableColumn id="3" xr3:uid="{00000000-0010-0000-1600-000003000000}" name="Column3"/>
    <tableColumn id="4" xr3:uid="{00000000-0010-0000-1600-000004000000}" name="Column4"/>
    <tableColumn id="5" xr3:uid="{00000000-0010-0000-1600-000005000000}" name="Column5"/>
    <tableColumn id="6" xr3:uid="{00000000-0010-0000-1600-000006000000}" name="Column6"/>
    <tableColumn id="7" xr3:uid="{00000000-0010-0000-1600-000007000000}" name="Column7"/>
    <tableColumn id="8" xr3:uid="{00000000-0010-0000-1600-000008000000}" name="Column8"/>
    <tableColumn id="9" xr3:uid="{00000000-0010-0000-1600-000009000000}" name="Column9"/>
    <tableColumn id="10" xr3:uid="{00000000-0010-0000-1600-00000A000000}" name="Column10"/>
    <tableColumn id="11" xr3:uid="{00000000-0010-0000-1600-00000B000000}" name="Column11"/>
    <tableColumn id="12" xr3:uid="{00000000-0010-0000-1600-00000C000000}" name="Column12"/>
    <tableColumn id="13" xr3:uid="{00000000-0010-0000-1600-00000D000000}" name="Column13"/>
    <tableColumn id="14" xr3:uid="{00000000-0010-0000-1600-00000E000000}" name="Column14"/>
    <tableColumn id="15" xr3:uid="{00000000-0010-0000-1600-00000F000000}" name="Column15"/>
    <tableColumn id="16" xr3:uid="{00000000-0010-0000-1600-000010000000}" name="Column16"/>
    <tableColumn id="17" xr3:uid="{00000000-0010-0000-1600-000011000000}" name="Column17"/>
    <tableColumn id="18" xr3:uid="{00000000-0010-0000-1600-000012000000}" name="Column18"/>
    <tableColumn id="19" xr3:uid="{00000000-0010-0000-1600-000013000000}" name="Column19"/>
    <tableColumn id="20" xr3:uid="{00000000-0010-0000-1600-000014000000}" name="Column20"/>
    <tableColumn id="21" xr3:uid="{00000000-0010-0000-1600-000015000000}" name="Column21"/>
    <tableColumn id="22" xr3:uid="{00000000-0010-0000-1600-000016000000}" name="Column22"/>
    <tableColumn id="23" xr3:uid="{00000000-0010-0000-1600-000017000000}" name="Column23"/>
  </tableColumns>
  <tableStyleInfo name="SUP---style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4" displayName="Table_24" ref="CI4:CV4" headerRowCount="0">
  <tableColumns count="14">
    <tableColumn id="1" xr3:uid="{00000000-0010-0000-1700-000001000000}" name="Column1"/>
    <tableColumn id="2" xr3:uid="{00000000-0010-0000-1700-000002000000}" name="Column2"/>
    <tableColumn id="3" xr3:uid="{00000000-0010-0000-1700-000003000000}" name="Column3"/>
    <tableColumn id="4" xr3:uid="{00000000-0010-0000-1700-000004000000}" name="Column4"/>
    <tableColumn id="5" xr3:uid="{00000000-0010-0000-1700-000005000000}" name="Column5"/>
    <tableColumn id="6" xr3:uid="{00000000-0010-0000-1700-000006000000}" name="Column6"/>
    <tableColumn id="7" xr3:uid="{00000000-0010-0000-1700-000007000000}" name="Column7"/>
    <tableColumn id="8" xr3:uid="{00000000-0010-0000-1700-000008000000}" name="Column8"/>
    <tableColumn id="9" xr3:uid="{00000000-0010-0000-1700-000009000000}" name="Column9"/>
    <tableColumn id="10" xr3:uid="{00000000-0010-0000-1700-00000A000000}" name="Column10"/>
    <tableColumn id="11" xr3:uid="{00000000-0010-0000-1700-00000B000000}" name="Column11"/>
    <tableColumn id="12" xr3:uid="{00000000-0010-0000-1700-00000C000000}" name="Column12"/>
    <tableColumn id="13" xr3:uid="{00000000-0010-0000-1700-00000D000000}" name="Column13"/>
    <tableColumn id="14" xr3:uid="{00000000-0010-0000-1700-00000E000000}" name="Column14"/>
  </tableColumns>
  <tableStyleInfo name="SUP---style 2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5" displayName="Table_25" ref="BT2:CG2" headerRowCount="0" headerRowDxfId="5016" dataDxfId="5015" totalsRowDxfId="5014">
  <tableColumns count="14">
    <tableColumn id="1" xr3:uid="{00000000-0010-0000-1800-000001000000}" name="Column1" dataDxfId="5013"/>
    <tableColumn id="2" xr3:uid="{00000000-0010-0000-1800-000002000000}" name="Column2" dataDxfId="5012"/>
    <tableColumn id="3" xr3:uid="{00000000-0010-0000-1800-000003000000}" name="Column3" dataDxfId="5011"/>
    <tableColumn id="4" xr3:uid="{00000000-0010-0000-1800-000004000000}" name="Column4" dataDxfId="5010"/>
    <tableColumn id="5" xr3:uid="{00000000-0010-0000-1800-000005000000}" name="Column5" dataDxfId="5009"/>
    <tableColumn id="6" xr3:uid="{00000000-0010-0000-1800-000006000000}" name="Column6" dataDxfId="5008"/>
    <tableColumn id="7" xr3:uid="{00000000-0010-0000-1800-000007000000}" name="Column7" dataDxfId="5007"/>
    <tableColumn id="8" xr3:uid="{00000000-0010-0000-1800-000008000000}" name="Column8" dataDxfId="5006"/>
    <tableColumn id="9" xr3:uid="{00000000-0010-0000-1800-000009000000}" name="Column9" dataDxfId="5005"/>
    <tableColumn id="10" xr3:uid="{00000000-0010-0000-1800-00000A000000}" name="Column10" dataDxfId="5004"/>
    <tableColumn id="11" xr3:uid="{00000000-0010-0000-1800-00000B000000}" name="Column11" dataDxfId="5003"/>
    <tableColumn id="12" xr3:uid="{00000000-0010-0000-1800-00000C000000}" name="Column12" dataDxfId="5002"/>
    <tableColumn id="13" xr3:uid="{00000000-0010-0000-1800-00000D000000}" name="Column13" dataDxfId="5001"/>
    <tableColumn id="14" xr3:uid="{00000000-0010-0000-1800-00000E000000}" name="Column14" dataDxfId="5000"/>
  </tableColumns>
  <tableStyleInfo name="New BO-style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6" displayName="Table_26" ref="CP2:CW2" headerRowCount="0" headerRowDxfId="4999" dataDxfId="4998" totalsRowDxfId="4997">
  <tableColumns count="8">
    <tableColumn id="1" xr3:uid="{00000000-0010-0000-1900-000001000000}" name="Column1" dataDxfId="4996"/>
    <tableColumn id="2" xr3:uid="{00000000-0010-0000-1900-000002000000}" name="Column2" dataDxfId="4995"/>
    <tableColumn id="3" xr3:uid="{00000000-0010-0000-1900-000003000000}" name="Column3" dataDxfId="4994"/>
    <tableColumn id="4" xr3:uid="{00000000-0010-0000-1900-000004000000}" name="Column4" dataDxfId="4993"/>
    <tableColumn id="5" xr3:uid="{00000000-0010-0000-1900-000005000000}" name="Column5" dataDxfId="4992"/>
    <tableColumn id="6" xr3:uid="{00000000-0010-0000-1900-000006000000}" name="Column6" dataDxfId="4991"/>
    <tableColumn id="7" xr3:uid="{00000000-0010-0000-1900-000007000000}" name="Column7" dataDxfId="4990"/>
    <tableColumn id="8" xr3:uid="{00000000-0010-0000-1900-000008000000}" name="Column8" dataDxfId="4989"/>
  </tableColumns>
  <tableStyleInfo name="New BO-style 2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27" displayName="Table_27" ref="BT3:CG3" headerRowCount="0" headerRowDxfId="4988" dataDxfId="4987" totalsRowDxfId="4986">
  <tableColumns count="14">
    <tableColumn id="1" xr3:uid="{00000000-0010-0000-1A00-000001000000}" name="Column1" dataDxfId="4985"/>
    <tableColumn id="2" xr3:uid="{00000000-0010-0000-1A00-000002000000}" name="Column2" dataDxfId="4984"/>
    <tableColumn id="3" xr3:uid="{00000000-0010-0000-1A00-000003000000}" name="Column3" dataDxfId="4983"/>
    <tableColumn id="4" xr3:uid="{00000000-0010-0000-1A00-000004000000}" name="Column4" dataDxfId="4982"/>
    <tableColumn id="5" xr3:uid="{00000000-0010-0000-1A00-000005000000}" name="Column5" dataDxfId="4981"/>
    <tableColumn id="6" xr3:uid="{00000000-0010-0000-1A00-000006000000}" name="Column6" dataDxfId="4980"/>
    <tableColumn id="7" xr3:uid="{00000000-0010-0000-1A00-000007000000}" name="Column7" dataDxfId="4979"/>
    <tableColumn id="8" xr3:uid="{00000000-0010-0000-1A00-000008000000}" name="Column8" dataDxfId="4978"/>
    <tableColumn id="9" xr3:uid="{00000000-0010-0000-1A00-000009000000}" name="Column9" dataDxfId="4977"/>
    <tableColumn id="10" xr3:uid="{00000000-0010-0000-1A00-00000A000000}" name="Column10" dataDxfId="4976"/>
    <tableColumn id="11" xr3:uid="{00000000-0010-0000-1A00-00000B000000}" name="Column11" dataDxfId="4975"/>
    <tableColumn id="12" xr3:uid="{00000000-0010-0000-1A00-00000C000000}" name="Column12" dataDxfId="4974"/>
    <tableColumn id="13" xr3:uid="{00000000-0010-0000-1A00-00000D000000}" name="Column13" dataDxfId="4973"/>
    <tableColumn id="14" xr3:uid="{00000000-0010-0000-1A00-00000E000000}" name="Column14" dataDxfId="4972"/>
  </tableColumns>
  <tableStyleInfo name="New BO-style 3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28" displayName="Table_28" ref="CA5" headerRowCount="0" headerRowDxfId="4971" dataDxfId="4970" totalsRowDxfId="4969">
  <tableColumns count="1">
    <tableColumn id="1" xr3:uid="{00000000-0010-0000-1B00-000001000000}" name="Column1" dataDxfId="4968"/>
  </tableColumns>
  <tableStyleInfo name="New BO-style 4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29" displayName="Table_29" ref="BU7:BY8" headerRowCount="0" headerRowDxfId="4967" dataDxfId="4966" totalsRowDxfId="4965">
  <tableColumns count="5">
    <tableColumn id="1" xr3:uid="{00000000-0010-0000-1C00-000001000000}" name="Column1" dataDxfId="4964"/>
    <tableColumn id="2" xr3:uid="{00000000-0010-0000-1C00-000002000000}" name="Column2" dataDxfId="4963"/>
    <tableColumn id="3" xr3:uid="{00000000-0010-0000-1C00-000003000000}" name="Column3" dataDxfId="4962"/>
    <tableColumn id="4" xr3:uid="{00000000-0010-0000-1C00-000004000000}" name="Column4" dataDxfId="4961"/>
    <tableColumn id="5" xr3:uid="{00000000-0010-0000-1C00-000005000000}" name="Column5" dataDxfId="4960"/>
  </tableColumns>
  <tableStyleInfo name="New BO-style 5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30" displayName="Table_30" ref="CA7" headerRowCount="0" headerRowDxfId="4959" dataDxfId="4958" totalsRowDxfId="4957">
  <tableColumns count="1">
    <tableColumn id="1" xr3:uid="{00000000-0010-0000-1D00-000001000000}" name="Column1" dataDxfId="4956"/>
  </tableColumns>
  <tableStyleInfo name="New BO-style 6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32" displayName="Table_32" ref="BG10:JU11" headerRowCount="0" headerRowDxfId="4955" dataDxfId="4954" totalsRowDxfId="4953">
  <tableColumns count="223">
    <tableColumn id="1" xr3:uid="{00000000-0010-0000-1F00-000001000000}" name="Column1" dataDxfId="4952"/>
    <tableColumn id="2" xr3:uid="{00000000-0010-0000-1F00-000002000000}" name="Column2" dataDxfId="4951"/>
    <tableColumn id="3" xr3:uid="{00000000-0010-0000-1F00-000003000000}" name="Column3" dataDxfId="4950"/>
    <tableColumn id="4" xr3:uid="{00000000-0010-0000-1F00-000004000000}" name="Column4" dataDxfId="4949"/>
    <tableColumn id="5" xr3:uid="{00000000-0010-0000-1F00-000005000000}" name="Column5" dataDxfId="4948"/>
    <tableColumn id="6" xr3:uid="{00000000-0010-0000-1F00-000006000000}" name="Column6" dataDxfId="4947"/>
    <tableColumn id="7" xr3:uid="{00000000-0010-0000-1F00-000007000000}" name="Column7" dataDxfId="4946"/>
    <tableColumn id="8" xr3:uid="{00000000-0010-0000-1F00-000008000000}" name="Column8" dataDxfId="4945"/>
    <tableColumn id="9" xr3:uid="{00000000-0010-0000-1F00-000009000000}" name="Column9" dataDxfId="4944"/>
    <tableColumn id="10" xr3:uid="{00000000-0010-0000-1F00-00000A000000}" name="Column10" dataDxfId="4943"/>
    <tableColumn id="11" xr3:uid="{00000000-0010-0000-1F00-00000B000000}" name="Column11" dataDxfId="4942"/>
    <tableColumn id="12" xr3:uid="{00000000-0010-0000-1F00-00000C000000}" name="Column12" dataDxfId="4941"/>
    <tableColumn id="13" xr3:uid="{00000000-0010-0000-1F00-00000D000000}" name="Column13" dataDxfId="4940"/>
    <tableColumn id="14" xr3:uid="{00000000-0010-0000-1F00-00000E000000}" name="Column14" dataDxfId="4939"/>
    <tableColumn id="15" xr3:uid="{00000000-0010-0000-1F00-00000F000000}" name="Column15" dataDxfId="4938"/>
    <tableColumn id="16" xr3:uid="{00000000-0010-0000-1F00-000010000000}" name="Column16" dataDxfId="4937"/>
    <tableColumn id="17" xr3:uid="{00000000-0010-0000-1F00-000011000000}" name="Column17" dataDxfId="4936"/>
    <tableColumn id="18" xr3:uid="{00000000-0010-0000-1F00-000012000000}" name="Column18" dataDxfId="4935"/>
    <tableColumn id="19" xr3:uid="{00000000-0010-0000-1F00-000013000000}" name="Column19" dataDxfId="4934"/>
    <tableColumn id="20" xr3:uid="{00000000-0010-0000-1F00-000014000000}" name="Column20" dataDxfId="4933"/>
    <tableColumn id="21" xr3:uid="{00000000-0010-0000-1F00-000015000000}" name="Column21" dataDxfId="4932"/>
    <tableColumn id="22" xr3:uid="{00000000-0010-0000-1F00-000016000000}" name="Column22" dataDxfId="4931"/>
    <tableColumn id="23" xr3:uid="{00000000-0010-0000-1F00-000017000000}" name="Column23" dataDxfId="4930"/>
    <tableColumn id="24" xr3:uid="{00000000-0010-0000-1F00-000018000000}" name="Column24" dataDxfId="4929"/>
    <tableColumn id="25" xr3:uid="{00000000-0010-0000-1F00-000019000000}" name="Column25" dataDxfId="4928"/>
    <tableColumn id="26" xr3:uid="{00000000-0010-0000-1F00-00001A000000}" name="Column26" dataDxfId="4927"/>
    <tableColumn id="27" xr3:uid="{00000000-0010-0000-1F00-00001B000000}" name="Column27" dataDxfId="4926"/>
    <tableColumn id="28" xr3:uid="{00000000-0010-0000-1F00-00001C000000}" name="Column28" dataDxfId="4925"/>
    <tableColumn id="29" xr3:uid="{00000000-0010-0000-1F00-00001D000000}" name="Column29" dataDxfId="4924"/>
    <tableColumn id="30" xr3:uid="{00000000-0010-0000-1F00-00001E000000}" name="Column30" dataDxfId="4923"/>
    <tableColumn id="31" xr3:uid="{00000000-0010-0000-1F00-00001F000000}" name="Column31" dataDxfId="4922"/>
    <tableColumn id="32" xr3:uid="{00000000-0010-0000-1F00-000020000000}" name="Column32" dataDxfId="4921"/>
    <tableColumn id="33" xr3:uid="{00000000-0010-0000-1F00-000021000000}" name="Column33" dataDxfId="4920"/>
    <tableColumn id="34" xr3:uid="{00000000-0010-0000-1F00-000022000000}" name="Column34" dataDxfId="4919"/>
    <tableColumn id="35" xr3:uid="{00000000-0010-0000-1F00-000023000000}" name="Column35" dataDxfId="4918"/>
    <tableColumn id="36" xr3:uid="{00000000-0010-0000-1F00-000024000000}" name="Column36" dataDxfId="4917"/>
    <tableColumn id="37" xr3:uid="{00000000-0010-0000-1F00-000025000000}" name="Column37" dataDxfId="4916"/>
    <tableColumn id="38" xr3:uid="{00000000-0010-0000-1F00-000026000000}" name="Column38" dataDxfId="4915"/>
    <tableColumn id="39" xr3:uid="{00000000-0010-0000-1F00-000027000000}" name="Column39" dataDxfId="4914"/>
    <tableColumn id="40" xr3:uid="{00000000-0010-0000-1F00-000028000000}" name="Column40" dataDxfId="4913"/>
    <tableColumn id="41" xr3:uid="{00000000-0010-0000-1F00-000029000000}" name="Column41" dataDxfId="4912"/>
    <tableColumn id="42" xr3:uid="{00000000-0010-0000-1F00-00002A000000}" name="Column42" dataDxfId="4911"/>
    <tableColumn id="43" xr3:uid="{00000000-0010-0000-1F00-00002B000000}" name="Column43" dataDxfId="4910"/>
    <tableColumn id="44" xr3:uid="{00000000-0010-0000-1F00-00002C000000}" name="Column44" dataDxfId="4909"/>
    <tableColumn id="45" xr3:uid="{00000000-0010-0000-1F00-00002D000000}" name="Column45" dataDxfId="4908"/>
    <tableColumn id="46" xr3:uid="{00000000-0010-0000-1F00-00002E000000}" name="Column46" dataDxfId="4907"/>
    <tableColumn id="47" xr3:uid="{00000000-0010-0000-1F00-00002F000000}" name="Column47" dataDxfId="4906"/>
    <tableColumn id="48" xr3:uid="{00000000-0010-0000-1F00-000030000000}" name="Column48" dataDxfId="4905"/>
    <tableColumn id="49" xr3:uid="{00000000-0010-0000-1F00-000031000000}" name="Column49" dataDxfId="4904"/>
    <tableColumn id="50" xr3:uid="{00000000-0010-0000-1F00-000032000000}" name="Column50" dataDxfId="4903"/>
    <tableColumn id="51" xr3:uid="{00000000-0010-0000-1F00-000033000000}" name="Column51" dataDxfId="4902"/>
    <tableColumn id="52" xr3:uid="{00000000-0010-0000-1F00-000034000000}" name="Column52" dataDxfId="4901"/>
    <tableColumn id="53" xr3:uid="{00000000-0010-0000-1F00-000035000000}" name="Column53" dataDxfId="4900"/>
    <tableColumn id="54" xr3:uid="{00000000-0010-0000-1F00-000036000000}" name="Column54" dataDxfId="4899"/>
    <tableColumn id="55" xr3:uid="{00000000-0010-0000-1F00-000037000000}" name="Column55" dataDxfId="4898"/>
    <tableColumn id="56" xr3:uid="{00000000-0010-0000-1F00-000038000000}" name="Column56" dataDxfId="4897"/>
    <tableColumn id="57" xr3:uid="{00000000-0010-0000-1F00-000039000000}" name="Column57" dataDxfId="4896"/>
    <tableColumn id="58" xr3:uid="{00000000-0010-0000-1F00-00003A000000}" name="Column58" dataDxfId="4895"/>
    <tableColumn id="59" xr3:uid="{00000000-0010-0000-1F00-00003B000000}" name="Column59" dataDxfId="4894"/>
    <tableColumn id="60" xr3:uid="{00000000-0010-0000-1F00-00003C000000}" name="Column60" dataDxfId="4893"/>
    <tableColumn id="61" xr3:uid="{00000000-0010-0000-1F00-00003D000000}" name="Column61" dataDxfId="4892"/>
    <tableColumn id="62" xr3:uid="{00000000-0010-0000-1F00-00003E000000}" name="Column62" dataDxfId="4891"/>
    <tableColumn id="63" xr3:uid="{00000000-0010-0000-1F00-00003F000000}" name="Column63" dataDxfId="4890"/>
    <tableColumn id="64" xr3:uid="{00000000-0010-0000-1F00-000040000000}" name="Column64" dataDxfId="4889"/>
    <tableColumn id="65" xr3:uid="{00000000-0010-0000-1F00-000041000000}" name="Column65" dataDxfId="4888"/>
    <tableColumn id="66" xr3:uid="{00000000-0010-0000-1F00-000042000000}" name="Column66" dataDxfId="4887"/>
    <tableColumn id="67" xr3:uid="{00000000-0010-0000-1F00-000043000000}" name="Column67" dataDxfId="4886"/>
    <tableColumn id="68" xr3:uid="{00000000-0010-0000-1F00-000044000000}" name="Column68" dataDxfId="4885"/>
    <tableColumn id="69" xr3:uid="{00000000-0010-0000-1F00-000045000000}" name="Column69" dataDxfId="4884"/>
    <tableColumn id="70" xr3:uid="{00000000-0010-0000-1F00-000046000000}" name="Column70" dataDxfId="4883"/>
    <tableColumn id="71" xr3:uid="{00000000-0010-0000-1F00-000047000000}" name="Column71" dataDxfId="4882"/>
    <tableColumn id="72" xr3:uid="{00000000-0010-0000-1F00-000048000000}" name="Column72" dataDxfId="4881"/>
    <tableColumn id="73" xr3:uid="{00000000-0010-0000-1F00-000049000000}" name="Column73" dataDxfId="4880"/>
    <tableColumn id="74" xr3:uid="{00000000-0010-0000-1F00-00004A000000}" name="Column74" dataDxfId="4879"/>
    <tableColumn id="75" xr3:uid="{00000000-0010-0000-1F00-00004B000000}" name="Column75" dataDxfId="4878"/>
    <tableColumn id="76" xr3:uid="{00000000-0010-0000-1F00-00004C000000}" name="Column76" dataDxfId="4877"/>
    <tableColumn id="77" xr3:uid="{00000000-0010-0000-1F00-00004D000000}" name="Column77" dataDxfId="4876"/>
    <tableColumn id="78" xr3:uid="{00000000-0010-0000-1F00-00004E000000}" name="Column78" dataDxfId="4875"/>
    <tableColumn id="79" xr3:uid="{00000000-0010-0000-1F00-00004F000000}" name="Column79" dataDxfId="4874"/>
    <tableColumn id="80" xr3:uid="{00000000-0010-0000-1F00-000050000000}" name="Column80" dataDxfId="4873"/>
    <tableColumn id="81" xr3:uid="{00000000-0010-0000-1F00-000051000000}" name="Column81" dataDxfId="4872"/>
    <tableColumn id="82" xr3:uid="{00000000-0010-0000-1F00-000052000000}" name="Column82" dataDxfId="4871"/>
    <tableColumn id="83" xr3:uid="{00000000-0010-0000-1F00-000053000000}" name="Column83" dataDxfId="4870"/>
    <tableColumn id="84" xr3:uid="{00000000-0010-0000-1F00-000054000000}" name="Column84" dataDxfId="4869"/>
    <tableColumn id="85" xr3:uid="{00000000-0010-0000-1F00-000055000000}" name="Column85" dataDxfId="4868"/>
    <tableColumn id="86" xr3:uid="{00000000-0010-0000-1F00-000056000000}" name="Column86" dataDxfId="4867"/>
    <tableColumn id="87" xr3:uid="{00000000-0010-0000-1F00-000057000000}" name="Column87" dataDxfId="4866"/>
    <tableColumn id="88" xr3:uid="{00000000-0010-0000-1F00-000058000000}" name="Column88" dataDxfId="4865"/>
    <tableColumn id="89" xr3:uid="{00000000-0010-0000-1F00-000059000000}" name="Column89" dataDxfId="4864"/>
    <tableColumn id="90" xr3:uid="{00000000-0010-0000-1F00-00005A000000}" name="Column90" dataDxfId="4863"/>
    <tableColumn id="91" xr3:uid="{00000000-0010-0000-1F00-00005B000000}" name="Column91" dataDxfId="4862"/>
    <tableColumn id="92" xr3:uid="{00000000-0010-0000-1F00-00005C000000}" name="Column92" dataDxfId="4861"/>
    <tableColumn id="93" xr3:uid="{00000000-0010-0000-1F00-00005D000000}" name="Column93" dataDxfId="4860"/>
    <tableColumn id="94" xr3:uid="{00000000-0010-0000-1F00-00005E000000}" name="Column94" dataDxfId="4859"/>
    <tableColumn id="95" xr3:uid="{00000000-0010-0000-1F00-00005F000000}" name="Column95" dataDxfId="4858"/>
    <tableColumn id="96" xr3:uid="{00000000-0010-0000-1F00-000060000000}" name="Column96" dataDxfId="4857"/>
    <tableColumn id="97" xr3:uid="{00000000-0010-0000-1F00-000061000000}" name="Column97" dataDxfId="4856"/>
    <tableColumn id="98" xr3:uid="{00000000-0010-0000-1F00-000062000000}" name="Column98" dataDxfId="4855"/>
    <tableColumn id="99" xr3:uid="{00000000-0010-0000-1F00-000063000000}" name="Column99" dataDxfId="4854"/>
    <tableColumn id="100" xr3:uid="{00000000-0010-0000-1F00-000064000000}" name="Column100" dataDxfId="4853"/>
    <tableColumn id="101" xr3:uid="{00000000-0010-0000-1F00-000065000000}" name="Column101" dataDxfId="4852"/>
    <tableColumn id="102" xr3:uid="{00000000-0010-0000-1F00-000066000000}" name="Column102" dataDxfId="4851"/>
    <tableColumn id="103" xr3:uid="{00000000-0010-0000-1F00-000067000000}" name="Column103" dataDxfId="4850"/>
    <tableColumn id="104" xr3:uid="{00000000-0010-0000-1F00-000068000000}" name="Column104" dataDxfId="4849"/>
    <tableColumn id="105" xr3:uid="{00000000-0010-0000-1F00-000069000000}" name="Column105" dataDxfId="4848"/>
    <tableColumn id="106" xr3:uid="{00000000-0010-0000-1F00-00006A000000}" name="Column106" dataDxfId="4847"/>
    <tableColumn id="107" xr3:uid="{00000000-0010-0000-1F00-00006B000000}" name="Column107" dataDxfId="4846"/>
    <tableColumn id="108" xr3:uid="{00000000-0010-0000-1F00-00006C000000}" name="Column108" dataDxfId="4845"/>
    <tableColumn id="109" xr3:uid="{00000000-0010-0000-1F00-00006D000000}" name="Column109" dataDxfId="4844"/>
    <tableColumn id="110" xr3:uid="{00000000-0010-0000-1F00-00006E000000}" name="Column110" dataDxfId="4843"/>
    <tableColumn id="111" xr3:uid="{00000000-0010-0000-1F00-00006F000000}" name="Column111" dataDxfId="4842"/>
    <tableColumn id="112" xr3:uid="{00000000-0010-0000-1F00-000070000000}" name="Column112" dataDxfId="4841"/>
    <tableColumn id="113" xr3:uid="{00000000-0010-0000-1F00-000071000000}" name="Column113" dataDxfId="4840"/>
    <tableColumn id="114" xr3:uid="{00000000-0010-0000-1F00-000072000000}" name="Column114" dataDxfId="4839"/>
    <tableColumn id="115" xr3:uid="{00000000-0010-0000-1F00-000073000000}" name="Column115" dataDxfId="4838"/>
    <tableColumn id="116" xr3:uid="{00000000-0010-0000-1F00-000074000000}" name="Column116" dataDxfId="4837"/>
    <tableColumn id="117" xr3:uid="{00000000-0010-0000-1F00-000075000000}" name="Column117" dataDxfId="4836"/>
    <tableColumn id="118" xr3:uid="{00000000-0010-0000-1F00-000076000000}" name="Column118" dataDxfId="4835"/>
    <tableColumn id="119" xr3:uid="{00000000-0010-0000-1F00-000077000000}" name="Column119" dataDxfId="4834"/>
    <tableColumn id="120" xr3:uid="{00000000-0010-0000-1F00-000078000000}" name="Column120" dataDxfId="4833"/>
    <tableColumn id="121" xr3:uid="{00000000-0010-0000-1F00-000079000000}" name="Column121" dataDxfId="4832"/>
    <tableColumn id="122" xr3:uid="{00000000-0010-0000-1F00-00007A000000}" name="Column122" dataDxfId="4831"/>
    <tableColumn id="123" xr3:uid="{00000000-0010-0000-1F00-00007B000000}" name="Column123" dataDxfId="4830"/>
    <tableColumn id="124" xr3:uid="{00000000-0010-0000-1F00-00007C000000}" name="Column124" dataDxfId="4829"/>
    <tableColumn id="125" xr3:uid="{00000000-0010-0000-1F00-00007D000000}" name="Column125" dataDxfId="4828"/>
    <tableColumn id="126" xr3:uid="{00000000-0010-0000-1F00-00007E000000}" name="Column126" dataDxfId="4827"/>
    <tableColumn id="127" xr3:uid="{00000000-0010-0000-1F00-00007F000000}" name="Column127" dataDxfId="4826"/>
    <tableColumn id="128" xr3:uid="{00000000-0010-0000-1F00-000080000000}" name="Column128" dataDxfId="4825"/>
    <tableColumn id="129" xr3:uid="{00000000-0010-0000-1F00-000081000000}" name="Column129" dataDxfId="4824"/>
    <tableColumn id="130" xr3:uid="{00000000-0010-0000-1F00-000082000000}" name="Column130" dataDxfId="4823"/>
    <tableColumn id="131" xr3:uid="{00000000-0010-0000-1F00-000083000000}" name="Column131" dataDxfId="4822"/>
    <tableColumn id="132" xr3:uid="{00000000-0010-0000-1F00-000084000000}" name="Column132" dataDxfId="4821"/>
    <tableColumn id="133" xr3:uid="{00000000-0010-0000-1F00-000085000000}" name="Column133" dataDxfId="4820"/>
    <tableColumn id="134" xr3:uid="{00000000-0010-0000-1F00-000086000000}" name="Column134" dataDxfId="4819"/>
    <tableColumn id="135" xr3:uid="{00000000-0010-0000-1F00-000087000000}" name="Column135" dataDxfId="4818"/>
    <tableColumn id="136" xr3:uid="{00000000-0010-0000-1F00-000088000000}" name="Column136" dataDxfId="4817"/>
    <tableColumn id="137" xr3:uid="{00000000-0010-0000-1F00-000089000000}" name="Column137" dataDxfId="4816"/>
    <tableColumn id="138" xr3:uid="{00000000-0010-0000-1F00-00008A000000}" name="Column138" dataDxfId="4815"/>
    <tableColumn id="139" xr3:uid="{00000000-0010-0000-1F00-00008B000000}" name="Column139" dataDxfId="4814"/>
    <tableColumn id="140" xr3:uid="{00000000-0010-0000-1F00-00008C000000}" name="Column140" dataDxfId="4813"/>
    <tableColumn id="141" xr3:uid="{00000000-0010-0000-1F00-00008D000000}" name="Column141" dataDxfId="4812"/>
    <tableColumn id="142" xr3:uid="{00000000-0010-0000-1F00-00008E000000}" name="Column142" dataDxfId="4811"/>
    <tableColumn id="143" xr3:uid="{00000000-0010-0000-1F00-00008F000000}" name="Column143" dataDxfId="4810"/>
    <tableColumn id="144" xr3:uid="{00000000-0010-0000-1F00-000090000000}" name="Column144" dataDxfId="4809"/>
    <tableColumn id="145" xr3:uid="{00000000-0010-0000-1F00-000091000000}" name="Column145" dataDxfId="4808"/>
    <tableColumn id="146" xr3:uid="{00000000-0010-0000-1F00-000092000000}" name="Column146" dataDxfId="4807"/>
    <tableColumn id="147" xr3:uid="{00000000-0010-0000-1F00-000093000000}" name="Column147" dataDxfId="4806"/>
    <tableColumn id="148" xr3:uid="{00000000-0010-0000-1F00-000094000000}" name="Column148" dataDxfId="4805"/>
    <tableColumn id="149" xr3:uid="{00000000-0010-0000-1F00-000095000000}" name="Column149" dataDxfId="4804"/>
    <tableColumn id="150" xr3:uid="{00000000-0010-0000-1F00-000096000000}" name="Column150" dataDxfId="4803"/>
    <tableColumn id="151" xr3:uid="{00000000-0010-0000-1F00-000097000000}" name="Column151" dataDxfId="4802"/>
    <tableColumn id="152" xr3:uid="{00000000-0010-0000-1F00-000098000000}" name="Column152" dataDxfId="4801"/>
    <tableColumn id="153" xr3:uid="{00000000-0010-0000-1F00-000099000000}" name="Column153" dataDxfId="4800"/>
    <tableColumn id="154" xr3:uid="{00000000-0010-0000-1F00-00009A000000}" name="Column154" dataDxfId="4799"/>
    <tableColumn id="155" xr3:uid="{00000000-0010-0000-1F00-00009B000000}" name="Column155" dataDxfId="4798"/>
    <tableColumn id="156" xr3:uid="{00000000-0010-0000-1F00-00009C000000}" name="Column156" dataDxfId="4797"/>
    <tableColumn id="157" xr3:uid="{00000000-0010-0000-1F00-00009D000000}" name="Column157" dataDxfId="4796"/>
    <tableColumn id="158" xr3:uid="{00000000-0010-0000-1F00-00009E000000}" name="Column158" dataDxfId="4795"/>
    <tableColumn id="159" xr3:uid="{00000000-0010-0000-1F00-00009F000000}" name="Column159" dataDxfId="4794"/>
    <tableColumn id="160" xr3:uid="{00000000-0010-0000-1F00-0000A0000000}" name="Column160" dataDxfId="4793"/>
    <tableColumn id="161" xr3:uid="{00000000-0010-0000-1F00-0000A1000000}" name="Column161" dataDxfId="4792"/>
    <tableColumn id="162" xr3:uid="{00000000-0010-0000-1F00-0000A2000000}" name="Column162" dataDxfId="4791"/>
    <tableColumn id="163" xr3:uid="{00000000-0010-0000-1F00-0000A3000000}" name="Column163" dataDxfId="4790"/>
    <tableColumn id="164" xr3:uid="{00000000-0010-0000-1F00-0000A4000000}" name="Column164" dataDxfId="4789"/>
    <tableColumn id="165" xr3:uid="{00000000-0010-0000-1F00-0000A5000000}" name="Column165" dataDxfId="4788"/>
    <tableColumn id="166" xr3:uid="{00000000-0010-0000-1F00-0000A6000000}" name="Column166" dataDxfId="4787"/>
    <tableColumn id="167" xr3:uid="{00000000-0010-0000-1F00-0000A7000000}" name="Column167" dataDxfId="4786"/>
    <tableColumn id="168" xr3:uid="{00000000-0010-0000-1F00-0000A8000000}" name="Column168" dataDxfId="4785"/>
    <tableColumn id="169" xr3:uid="{00000000-0010-0000-1F00-0000A9000000}" name="Column169" dataDxfId="4784"/>
    <tableColumn id="170" xr3:uid="{00000000-0010-0000-1F00-0000AA000000}" name="Column170" dataDxfId="4783"/>
    <tableColumn id="171" xr3:uid="{00000000-0010-0000-1F00-0000AB000000}" name="Column171" dataDxfId="4782"/>
    <tableColumn id="172" xr3:uid="{00000000-0010-0000-1F00-0000AC000000}" name="Column172" dataDxfId="4781"/>
    <tableColumn id="173" xr3:uid="{00000000-0010-0000-1F00-0000AD000000}" name="Column173" dataDxfId="4780"/>
    <tableColumn id="174" xr3:uid="{00000000-0010-0000-1F00-0000AE000000}" name="Column174" dataDxfId="4779"/>
    <tableColumn id="175" xr3:uid="{00000000-0010-0000-1F00-0000AF000000}" name="Column175" dataDxfId="4778"/>
    <tableColumn id="176" xr3:uid="{00000000-0010-0000-1F00-0000B0000000}" name="Column176" dataDxfId="4777"/>
    <tableColumn id="177" xr3:uid="{00000000-0010-0000-1F00-0000B1000000}" name="Column177" dataDxfId="4776"/>
    <tableColumn id="178" xr3:uid="{00000000-0010-0000-1F00-0000B2000000}" name="Column178" dataDxfId="4775"/>
    <tableColumn id="179" xr3:uid="{00000000-0010-0000-1F00-0000B3000000}" name="Column179" dataDxfId="4774"/>
    <tableColumn id="180" xr3:uid="{00000000-0010-0000-1F00-0000B4000000}" name="Column180" dataDxfId="4773"/>
    <tableColumn id="181" xr3:uid="{00000000-0010-0000-1F00-0000B5000000}" name="Column181" dataDxfId="4772"/>
    <tableColumn id="182" xr3:uid="{00000000-0010-0000-1F00-0000B6000000}" name="Column182" dataDxfId="4771"/>
    <tableColumn id="183" xr3:uid="{00000000-0010-0000-1F00-0000B7000000}" name="Column183" dataDxfId="4770"/>
    <tableColumn id="184" xr3:uid="{00000000-0010-0000-1F00-0000B8000000}" name="Column184" dataDxfId="4769"/>
    <tableColumn id="185" xr3:uid="{00000000-0010-0000-1F00-0000B9000000}" name="Column185" dataDxfId="4768"/>
    <tableColumn id="186" xr3:uid="{00000000-0010-0000-1F00-0000BA000000}" name="Column186" dataDxfId="4767"/>
    <tableColumn id="187" xr3:uid="{00000000-0010-0000-1F00-0000BB000000}" name="Column187" dataDxfId="4766"/>
    <tableColumn id="188" xr3:uid="{00000000-0010-0000-1F00-0000BC000000}" name="Column188" dataDxfId="4765"/>
    <tableColumn id="189" xr3:uid="{00000000-0010-0000-1F00-0000BD000000}" name="Column189" dataDxfId="4764"/>
    <tableColumn id="190" xr3:uid="{00000000-0010-0000-1F00-0000BE000000}" name="Column190" dataDxfId="4763"/>
    <tableColumn id="191" xr3:uid="{00000000-0010-0000-1F00-0000BF000000}" name="Column191" dataDxfId="4762"/>
    <tableColumn id="192" xr3:uid="{00000000-0010-0000-1F00-0000C0000000}" name="Column192" dataDxfId="4761"/>
    <tableColumn id="193" xr3:uid="{00000000-0010-0000-1F00-0000C1000000}" name="Column193" dataDxfId="4760"/>
    <tableColumn id="194" xr3:uid="{00000000-0010-0000-1F00-0000C2000000}" name="Column194" dataDxfId="4759"/>
    <tableColumn id="195" xr3:uid="{00000000-0010-0000-1F00-0000C3000000}" name="Column195" dataDxfId="4758"/>
    <tableColumn id="196" xr3:uid="{00000000-0010-0000-1F00-0000C4000000}" name="Column196" dataDxfId="4757"/>
    <tableColumn id="197" xr3:uid="{00000000-0010-0000-1F00-0000C5000000}" name="Column197" dataDxfId="4756"/>
    <tableColumn id="198" xr3:uid="{00000000-0010-0000-1F00-0000C6000000}" name="Column198" dataDxfId="4755"/>
    <tableColumn id="199" xr3:uid="{00000000-0010-0000-1F00-0000C7000000}" name="Column199" dataDxfId="4754"/>
    <tableColumn id="200" xr3:uid="{00000000-0010-0000-1F00-0000C8000000}" name="Column200" dataDxfId="4753"/>
    <tableColumn id="201" xr3:uid="{00000000-0010-0000-1F00-0000C9000000}" name="Column201" dataDxfId="4752"/>
    <tableColumn id="202" xr3:uid="{00000000-0010-0000-1F00-0000CA000000}" name="Column202" dataDxfId="4751"/>
    <tableColumn id="203" xr3:uid="{00000000-0010-0000-1F00-0000CB000000}" name="Column203" dataDxfId="4750"/>
    <tableColumn id="204" xr3:uid="{00000000-0010-0000-1F00-0000CC000000}" name="Column204" dataDxfId="4749"/>
    <tableColumn id="205" xr3:uid="{00000000-0010-0000-1F00-0000CD000000}" name="Column205" dataDxfId="4748"/>
    <tableColumn id="206" xr3:uid="{00000000-0010-0000-1F00-0000CE000000}" name="Column206" dataDxfId="4747"/>
    <tableColumn id="207" xr3:uid="{00000000-0010-0000-1F00-0000CF000000}" name="Column207" dataDxfId="4746"/>
    <tableColumn id="208" xr3:uid="{00000000-0010-0000-1F00-0000D0000000}" name="Column208" dataDxfId="4745"/>
    <tableColumn id="209" xr3:uid="{00000000-0010-0000-1F00-0000D1000000}" name="Column209" dataDxfId="4744"/>
    <tableColumn id="210" xr3:uid="{00000000-0010-0000-1F00-0000D2000000}" name="Column210" dataDxfId="4743"/>
    <tableColumn id="211" xr3:uid="{00000000-0010-0000-1F00-0000D3000000}" name="Column211" dataDxfId="4742"/>
    <tableColumn id="212" xr3:uid="{00000000-0010-0000-1F00-0000D4000000}" name="Column212" dataDxfId="4741"/>
    <tableColumn id="213" xr3:uid="{00000000-0010-0000-1F00-0000D5000000}" name="Column213" dataDxfId="4740"/>
    <tableColumn id="214" xr3:uid="{00000000-0010-0000-1F00-0000D6000000}" name="Column214" dataDxfId="4739"/>
    <tableColumn id="215" xr3:uid="{00000000-0010-0000-1F00-0000D7000000}" name="Column215" dataDxfId="4738"/>
    <tableColumn id="216" xr3:uid="{00000000-0010-0000-1F00-0000D8000000}" name="Column216" dataDxfId="4737"/>
    <tableColumn id="217" xr3:uid="{00000000-0010-0000-1F00-0000D9000000}" name="Column217" dataDxfId="4736"/>
    <tableColumn id="218" xr3:uid="{00000000-0010-0000-1F00-0000DA000000}" name="Column218" dataDxfId="4735"/>
    <tableColumn id="219" xr3:uid="{00000000-0010-0000-1F00-0000DB000000}" name="Column219" dataDxfId="4734"/>
    <tableColumn id="220" xr3:uid="{00000000-0010-0000-1F00-0000DC000000}" name="Column220" dataDxfId="4733"/>
    <tableColumn id="221" xr3:uid="{00000000-0010-0000-1F00-0000DD000000}" name="Column221" dataDxfId="4732"/>
    <tableColumn id="222" xr3:uid="{00000000-0010-0000-1F00-0000DE000000}" name="Column222" dataDxfId="4731"/>
    <tableColumn id="223" xr3:uid="{00000000-0010-0000-1F00-0000DF000000}" name="Column223" dataDxfId="4730"/>
  </tableColumns>
  <tableStyleInfo name="New BO-style 8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33" displayName="Table_33" ref="Y12:Z14" headerRowCount="0" headerRowDxfId="4729" dataDxfId="4728" totalsRowDxfId="4727">
  <tableColumns count="2">
    <tableColumn id="1" xr3:uid="{00000000-0010-0000-2000-000001000000}" name="Column1" dataDxfId="4726"/>
    <tableColumn id="2" xr3:uid="{00000000-0010-0000-2000-000002000000}" name="Column2" dataDxfId="4725"/>
  </tableColumns>
  <tableStyleInfo name="New BO-style 9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34" displayName="Table_34" ref="BN12:BR14" headerRowCount="0" headerRowDxfId="4724" dataDxfId="4723" totalsRowDxfId="4722">
  <tableColumns count="5">
    <tableColumn id="1" xr3:uid="{00000000-0010-0000-2100-000001000000}" name="Column1" dataDxfId="4721"/>
    <tableColumn id="2" xr3:uid="{00000000-0010-0000-2100-000002000000}" name="Column2" dataDxfId="4720"/>
    <tableColumn id="3" xr3:uid="{00000000-0010-0000-2100-000003000000}" name="Column3" dataDxfId="4719"/>
    <tableColumn id="4" xr3:uid="{00000000-0010-0000-2100-000004000000}" name="Column4" dataDxfId="4718"/>
    <tableColumn id="5" xr3:uid="{00000000-0010-0000-2100-000005000000}" name="Column5" dataDxfId="4717"/>
  </tableColumns>
  <tableStyleInfo name="New BO-style 10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_35" displayName="Table_35" ref="CH12:KA13" headerRowCount="0" headerRowDxfId="4716" dataDxfId="4715" totalsRowDxfId="4714">
  <tableColumns count="202">
    <tableColumn id="1" xr3:uid="{00000000-0010-0000-2200-000001000000}" name="Column1" dataDxfId="4713"/>
    <tableColumn id="2" xr3:uid="{00000000-0010-0000-2200-000002000000}" name="Column2" dataDxfId="4712"/>
    <tableColumn id="3" xr3:uid="{00000000-0010-0000-2200-000003000000}" name="Column3" dataDxfId="4711"/>
    <tableColumn id="4" xr3:uid="{00000000-0010-0000-2200-000004000000}" name="Column4" dataDxfId="4710"/>
    <tableColumn id="5" xr3:uid="{00000000-0010-0000-2200-000005000000}" name="Column5" dataDxfId="4709"/>
    <tableColumn id="6" xr3:uid="{00000000-0010-0000-2200-000006000000}" name="Column6" dataDxfId="4708"/>
    <tableColumn id="7" xr3:uid="{00000000-0010-0000-2200-000007000000}" name="Column7" dataDxfId="4707"/>
    <tableColumn id="8" xr3:uid="{00000000-0010-0000-2200-000008000000}" name="Column8" dataDxfId="4706"/>
    <tableColumn id="9" xr3:uid="{00000000-0010-0000-2200-000009000000}" name="Column9" dataDxfId="4705"/>
    <tableColumn id="10" xr3:uid="{00000000-0010-0000-2200-00000A000000}" name="Column10" dataDxfId="4704"/>
    <tableColumn id="11" xr3:uid="{00000000-0010-0000-2200-00000B000000}" name="Column11" dataDxfId="4703"/>
    <tableColumn id="12" xr3:uid="{00000000-0010-0000-2200-00000C000000}" name="Column12" dataDxfId="4702"/>
    <tableColumn id="13" xr3:uid="{00000000-0010-0000-2200-00000D000000}" name="Column13" dataDxfId="4701"/>
    <tableColumn id="14" xr3:uid="{00000000-0010-0000-2200-00000E000000}" name="Column14" dataDxfId="4700"/>
    <tableColumn id="15" xr3:uid="{00000000-0010-0000-2200-00000F000000}" name="Column15" dataDxfId="4699"/>
    <tableColumn id="16" xr3:uid="{00000000-0010-0000-2200-000010000000}" name="Column16" dataDxfId="4698"/>
    <tableColumn id="17" xr3:uid="{00000000-0010-0000-2200-000011000000}" name="Column17" dataDxfId="4697"/>
    <tableColumn id="18" xr3:uid="{00000000-0010-0000-2200-000012000000}" name="Column18" dataDxfId="4696"/>
    <tableColumn id="19" xr3:uid="{00000000-0010-0000-2200-000013000000}" name="Column19" dataDxfId="4695"/>
    <tableColumn id="20" xr3:uid="{00000000-0010-0000-2200-000014000000}" name="Column20" dataDxfId="4694"/>
    <tableColumn id="21" xr3:uid="{00000000-0010-0000-2200-000015000000}" name="Column21" dataDxfId="4693"/>
    <tableColumn id="22" xr3:uid="{00000000-0010-0000-2200-000016000000}" name="Column22" dataDxfId="4692"/>
    <tableColumn id="23" xr3:uid="{00000000-0010-0000-2200-000017000000}" name="Column23" dataDxfId="4691"/>
    <tableColumn id="24" xr3:uid="{00000000-0010-0000-2200-000018000000}" name="Column24" dataDxfId="4690"/>
    <tableColumn id="25" xr3:uid="{00000000-0010-0000-2200-000019000000}" name="Column25" dataDxfId="4689"/>
    <tableColumn id="26" xr3:uid="{00000000-0010-0000-2200-00001A000000}" name="Column26" dataDxfId="4688"/>
    <tableColumn id="27" xr3:uid="{00000000-0010-0000-2200-00001B000000}" name="Column27" dataDxfId="4687"/>
    <tableColumn id="28" xr3:uid="{00000000-0010-0000-2200-00001C000000}" name="Column28" dataDxfId="4686"/>
    <tableColumn id="29" xr3:uid="{00000000-0010-0000-2200-00001D000000}" name="Column29" dataDxfId="4685"/>
    <tableColumn id="30" xr3:uid="{00000000-0010-0000-2200-00001E000000}" name="Column30" dataDxfId="4684"/>
    <tableColumn id="31" xr3:uid="{00000000-0010-0000-2200-00001F000000}" name="Column31" dataDxfId="4683"/>
    <tableColumn id="32" xr3:uid="{00000000-0010-0000-2200-000020000000}" name="Column32" dataDxfId="4682"/>
    <tableColumn id="33" xr3:uid="{00000000-0010-0000-2200-000021000000}" name="Column33" dataDxfId="4681"/>
    <tableColumn id="34" xr3:uid="{00000000-0010-0000-2200-000022000000}" name="Column34" dataDxfId="4680"/>
    <tableColumn id="35" xr3:uid="{00000000-0010-0000-2200-000023000000}" name="Column35" dataDxfId="4679"/>
    <tableColumn id="36" xr3:uid="{00000000-0010-0000-2200-000024000000}" name="Column36" dataDxfId="4678"/>
    <tableColumn id="37" xr3:uid="{00000000-0010-0000-2200-000025000000}" name="Column37" dataDxfId="4677"/>
    <tableColumn id="38" xr3:uid="{00000000-0010-0000-2200-000026000000}" name="Column38" dataDxfId="4676"/>
    <tableColumn id="39" xr3:uid="{00000000-0010-0000-2200-000027000000}" name="Column39" dataDxfId="4675"/>
    <tableColumn id="40" xr3:uid="{00000000-0010-0000-2200-000028000000}" name="Column40" dataDxfId="4674"/>
    <tableColumn id="41" xr3:uid="{00000000-0010-0000-2200-000029000000}" name="Column41" dataDxfId="4673"/>
    <tableColumn id="42" xr3:uid="{00000000-0010-0000-2200-00002A000000}" name="Column42" dataDxfId="4672"/>
    <tableColumn id="43" xr3:uid="{00000000-0010-0000-2200-00002B000000}" name="Column43" dataDxfId="4671"/>
    <tableColumn id="44" xr3:uid="{00000000-0010-0000-2200-00002C000000}" name="Column44" dataDxfId="4670"/>
    <tableColumn id="45" xr3:uid="{00000000-0010-0000-2200-00002D000000}" name="Column45" dataDxfId="4669"/>
    <tableColumn id="46" xr3:uid="{00000000-0010-0000-2200-00002E000000}" name="Column46" dataDxfId="4668"/>
    <tableColumn id="47" xr3:uid="{00000000-0010-0000-2200-00002F000000}" name="Column47" dataDxfId="4667"/>
    <tableColumn id="48" xr3:uid="{00000000-0010-0000-2200-000030000000}" name="Column48" dataDxfId="4666"/>
    <tableColumn id="49" xr3:uid="{00000000-0010-0000-2200-000031000000}" name="Column49" dataDxfId="4665"/>
    <tableColumn id="50" xr3:uid="{00000000-0010-0000-2200-000032000000}" name="Column50" dataDxfId="4664"/>
    <tableColumn id="51" xr3:uid="{00000000-0010-0000-2200-000033000000}" name="Column51" dataDxfId="4663"/>
    <tableColumn id="52" xr3:uid="{00000000-0010-0000-2200-000034000000}" name="Column52" dataDxfId="4662"/>
    <tableColumn id="53" xr3:uid="{00000000-0010-0000-2200-000035000000}" name="Column53" dataDxfId="4661"/>
    <tableColumn id="54" xr3:uid="{00000000-0010-0000-2200-000036000000}" name="Column54" dataDxfId="4660"/>
    <tableColumn id="55" xr3:uid="{00000000-0010-0000-2200-000037000000}" name="Column55" dataDxfId="4659"/>
    <tableColumn id="56" xr3:uid="{00000000-0010-0000-2200-000038000000}" name="Column56" dataDxfId="4658"/>
    <tableColumn id="57" xr3:uid="{00000000-0010-0000-2200-000039000000}" name="Column57" dataDxfId="4657"/>
    <tableColumn id="58" xr3:uid="{00000000-0010-0000-2200-00003A000000}" name="Column58" dataDxfId="4656"/>
    <tableColumn id="59" xr3:uid="{00000000-0010-0000-2200-00003B000000}" name="Column59" dataDxfId="4655"/>
    <tableColumn id="60" xr3:uid="{00000000-0010-0000-2200-00003C000000}" name="Column60" dataDxfId="4654"/>
    <tableColumn id="61" xr3:uid="{00000000-0010-0000-2200-00003D000000}" name="Column61" dataDxfId="4653"/>
    <tableColumn id="62" xr3:uid="{00000000-0010-0000-2200-00003E000000}" name="Column62" dataDxfId="4652"/>
    <tableColumn id="63" xr3:uid="{00000000-0010-0000-2200-00003F000000}" name="Column63" dataDxfId="4651"/>
    <tableColumn id="64" xr3:uid="{00000000-0010-0000-2200-000040000000}" name="Column64" dataDxfId="4650"/>
    <tableColumn id="65" xr3:uid="{00000000-0010-0000-2200-000041000000}" name="Column65" dataDxfId="4649"/>
    <tableColumn id="66" xr3:uid="{00000000-0010-0000-2200-000042000000}" name="Column66" dataDxfId="4648"/>
    <tableColumn id="67" xr3:uid="{00000000-0010-0000-2200-000043000000}" name="Column67" dataDxfId="4647"/>
    <tableColumn id="68" xr3:uid="{00000000-0010-0000-2200-000044000000}" name="Column68" dataDxfId="4646"/>
    <tableColumn id="69" xr3:uid="{00000000-0010-0000-2200-000045000000}" name="Column69" dataDxfId="4645"/>
    <tableColumn id="70" xr3:uid="{00000000-0010-0000-2200-000046000000}" name="Column70" dataDxfId="4644"/>
    <tableColumn id="71" xr3:uid="{00000000-0010-0000-2200-000047000000}" name="Column71" dataDxfId="4643"/>
    <tableColumn id="72" xr3:uid="{00000000-0010-0000-2200-000048000000}" name="Column72" dataDxfId="4642"/>
    <tableColumn id="73" xr3:uid="{00000000-0010-0000-2200-000049000000}" name="Column73" dataDxfId="4641"/>
    <tableColumn id="74" xr3:uid="{00000000-0010-0000-2200-00004A000000}" name="Column74" dataDxfId="4640"/>
    <tableColumn id="75" xr3:uid="{00000000-0010-0000-2200-00004B000000}" name="Column75" dataDxfId="4639"/>
    <tableColumn id="76" xr3:uid="{00000000-0010-0000-2200-00004C000000}" name="Column76" dataDxfId="4638"/>
    <tableColumn id="77" xr3:uid="{00000000-0010-0000-2200-00004D000000}" name="Column77" dataDxfId="4637"/>
    <tableColumn id="78" xr3:uid="{00000000-0010-0000-2200-00004E000000}" name="Column78" dataDxfId="4636"/>
    <tableColumn id="79" xr3:uid="{00000000-0010-0000-2200-00004F000000}" name="Column79" dataDxfId="4635"/>
    <tableColumn id="80" xr3:uid="{00000000-0010-0000-2200-000050000000}" name="Column80" dataDxfId="4634"/>
    <tableColumn id="81" xr3:uid="{00000000-0010-0000-2200-000051000000}" name="Column81" dataDxfId="4633"/>
    <tableColumn id="82" xr3:uid="{00000000-0010-0000-2200-000052000000}" name="Column82" dataDxfId="4632"/>
    <tableColumn id="83" xr3:uid="{00000000-0010-0000-2200-000053000000}" name="Column83" dataDxfId="4631"/>
    <tableColumn id="84" xr3:uid="{00000000-0010-0000-2200-000054000000}" name="Column84" dataDxfId="4630"/>
    <tableColumn id="85" xr3:uid="{00000000-0010-0000-2200-000055000000}" name="Column85" dataDxfId="4629"/>
    <tableColumn id="86" xr3:uid="{00000000-0010-0000-2200-000056000000}" name="Column86" dataDxfId="4628"/>
    <tableColumn id="87" xr3:uid="{00000000-0010-0000-2200-000057000000}" name="Column87" dataDxfId="4627"/>
    <tableColumn id="88" xr3:uid="{00000000-0010-0000-2200-000058000000}" name="Column88" dataDxfId="4626"/>
    <tableColumn id="89" xr3:uid="{00000000-0010-0000-2200-000059000000}" name="Column89" dataDxfId="4625"/>
    <tableColumn id="90" xr3:uid="{00000000-0010-0000-2200-00005A000000}" name="Column90" dataDxfId="4624"/>
    <tableColumn id="91" xr3:uid="{00000000-0010-0000-2200-00005B000000}" name="Column91" dataDxfId="4623"/>
    <tableColumn id="92" xr3:uid="{00000000-0010-0000-2200-00005C000000}" name="Column92" dataDxfId="4622"/>
    <tableColumn id="93" xr3:uid="{00000000-0010-0000-2200-00005D000000}" name="Column93" dataDxfId="4621"/>
    <tableColumn id="94" xr3:uid="{00000000-0010-0000-2200-00005E000000}" name="Column94" dataDxfId="4620"/>
    <tableColumn id="95" xr3:uid="{00000000-0010-0000-2200-00005F000000}" name="Column95" dataDxfId="4619"/>
    <tableColumn id="96" xr3:uid="{00000000-0010-0000-2200-000060000000}" name="Column96" dataDxfId="4618"/>
    <tableColumn id="97" xr3:uid="{00000000-0010-0000-2200-000061000000}" name="Column97" dataDxfId="4617"/>
    <tableColumn id="98" xr3:uid="{00000000-0010-0000-2200-000062000000}" name="Column98" dataDxfId="4616"/>
    <tableColumn id="99" xr3:uid="{00000000-0010-0000-2200-000063000000}" name="Column99" dataDxfId="4615"/>
    <tableColumn id="100" xr3:uid="{00000000-0010-0000-2200-000064000000}" name="Column100" dataDxfId="4614"/>
    <tableColumn id="101" xr3:uid="{00000000-0010-0000-2200-000065000000}" name="Column101" dataDxfId="4613"/>
    <tableColumn id="102" xr3:uid="{00000000-0010-0000-2200-000066000000}" name="Column102" dataDxfId="4612"/>
    <tableColumn id="103" xr3:uid="{00000000-0010-0000-2200-000067000000}" name="Column103" dataDxfId="4611"/>
    <tableColumn id="104" xr3:uid="{00000000-0010-0000-2200-000068000000}" name="Column104" dataDxfId="4610"/>
    <tableColumn id="105" xr3:uid="{00000000-0010-0000-2200-000069000000}" name="Column105" dataDxfId="4609"/>
    <tableColumn id="106" xr3:uid="{00000000-0010-0000-2200-00006A000000}" name="Column106" dataDxfId="4608"/>
    <tableColumn id="107" xr3:uid="{00000000-0010-0000-2200-00006B000000}" name="Column107" dataDxfId="4607"/>
    <tableColumn id="108" xr3:uid="{00000000-0010-0000-2200-00006C000000}" name="Column108" dataDxfId="4606"/>
    <tableColumn id="109" xr3:uid="{00000000-0010-0000-2200-00006D000000}" name="Column109" dataDxfId="4605"/>
    <tableColumn id="110" xr3:uid="{00000000-0010-0000-2200-00006E000000}" name="Column110" dataDxfId="4604"/>
    <tableColumn id="111" xr3:uid="{00000000-0010-0000-2200-00006F000000}" name="Column111" dataDxfId="4603"/>
    <tableColumn id="112" xr3:uid="{00000000-0010-0000-2200-000070000000}" name="Column112" dataDxfId="4602"/>
    <tableColumn id="113" xr3:uid="{00000000-0010-0000-2200-000071000000}" name="Column113" dataDxfId="4601"/>
    <tableColumn id="114" xr3:uid="{00000000-0010-0000-2200-000072000000}" name="Column114" dataDxfId="4600"/>
    <tableColumn id="115" xr3:uid="{00000000-0010-0000-2200-000073000000}" name="Column115" dataDxfId="4599"/>
    <tableColumn id="116" xr3:uid="{00000000-0010-0000-2200-000074000000}" name="Column116" dataDxfId="4598"/>
    <tableColumn id="117" xr3:uid="{00000000-0010-0000-2200-000075000000}" name="Column117" dataDxfId="4597"/>
    <tableColumn id="118" xr3:uid="{00000000-0010-0000-2200-000076000000}" name="Column118" dataDxfId="4596"/>
    <tableColumn id="119" xr3:uid="{00000000-0010-0000-2200-000077000000}" name="Column119" dataDxfId="4595"/>
    <tableColumn id="120" xr3:uid="{00000000-0010-0000-2200-000078000000}" name="Column120" dataDxfId="4594"/>
    <tableColumn id="121" xr3:uid="{00000000-0010-0000-2200-000079000000}" name="Column121" dataDxfId="4593"/>
    <tableColumn id="122" xr3:uid="{00000000-0010-0000-2200-00007A000000}" name="Column122" dataDxfId="4592"/>
    <tableColumn id="123" xr3:uid="{00000000-0010-0000-2200-00007B000000}" name="Column123" dataDxfId="4591"/>
    <tableColumn id="124" xr3:uid="{00000000-0010-0000-2200-00007C000000}" name="Column124" dataDxfId="4590"/>
    <tableColumn id="125" xr3:uid="{00000000-0010-0000-2200-00007D000000}" name="Column125" dataDxfId="4589"/>
    <tableColumn id="126" xr3:uid="{00000000-0010-0000-2200-00007E000000}" name="Column126" dataDxfId="4588"/>
    <tableColumn id="127" xr3:uid="{00000000-0010-0000-2200-00007F000000}" name="Column127" dataDxfId="4587"/>
    <tableColumn id="128" xr3:uid="{00000000-0010-0000-2200-000080000000}" name="Column128" dataDxfId="4586"/>
    <tableColumn id="129" xr3:uid="{00000000-0010-0000-2200-000081000000}" name="Column129" dataDxfId="4585"/>
    <tableColumn id="130" xr3:uid="{00000000-0010-0000-2200-000082000000}" name="Column130" dataDxfId="4584"/>
    <tableColumn id="131" xr3:uid="{00000000-0010-0000-2200-000083000000}" name="Column131" dataDxfId="4583"/>
    <tableColumn id="132" xr3:uid="{00000000-0010-0000-2200-000084000000}" name="Column132" dataDxfId="4582"/>
    <tableColumn id="133" xr3:uid="{00000000-0010-0000-2200-000085000000}" name="Column133" dataDxfId="4581"/>
    <tableColumn id="134" xr3:uid="{00000000-0010-0000-2200-000086000000}" name="Column134" dataDxfId="4580"/>
    <tableColumn id="135" xr3:uid="{00000000-0010-0000-2200-000087000000}" name="Column135" dataDxfId="4579"/>
    <tableColumn id="136" xr3:uid="{00000000-0010-0000-2200-000088000000}" name="Column136" dataDxfId="4578"/>
    <tableColumn id="137" xr3:uid="{00000000-0010-0000-2200-000089000000}" name="Column137" dataDxfId="4577"/>
    <tableColumn id="138" xr3:uid="{00000000-0010-0000-2200-00008A000000}" name="Column138" dataDxfId="4576"/>
    <tableColumn id="139" xr3:uid="{00000000-0010-0000-2200-00008B000000}" name="Column139" dataDxfId="4575"/>
    <tableColumn id="140" xr3:uid="{00000000-0010-0000-2200-00008C000000}" name="Column140" dataDxfId="4574"/>
    <tableColumn id="141" xr3:uid="{00000000-0010-0000-2200-00008D000000}" name="Column141" dataDxfId="4573"/>
    <tableColumn id="142" xr3:uid="{00000000-0010-0000-2200-00008E000000}" name="Column142" dataDxfId="4572"/>
    <tableColumn id="143" xr3:uid="{00000000-0010-0000-2200-00008F000000}" name="Column143" dataDxfId="4571"/>
    <tableColumn id="144" xr3:uid="{00000000-0010-0000-2200-000090000000}" name="Column144" dataDxfId="4570"/>
    <tableColumn id="145" xr3:uid="{00000000-0010-0000-2200-000091000000}" name="Column145" dataDxfId="4569"/>
    <tableColumn id="146" xr3:uid="{00000000-0010-0000-2200-000092000000}" name="Column146" dataDxfId="4568"/>
    <tableColumn id="147" xr3:uid="{00000000-0010-0000-2200-000093000000}" name="Column147" dataDxfId="4567"/>
    <tableColumn id="148" xr3:uid="{00000000-0010-0000-2200-000094000000}" name="Column148" dataDxfId="4566"/>
    <tableColumn id="149" xr3:uid="{00000000-0010-0000-2200-000095000000}" name="Column149" dataDxfId="4565"/>
    <tableColumn id="150" xr3:uid="{00000000-0010-0000-2200-000096000000}" name="Column150" dataDxfId="4564"/>
    <tableColumn id="151" xr3:uid="{00000000-0010-0000-2200-000097000000}" name="Column151" dataDxfId="4563"/>
    <tableColumn id="152" xr3:uid="{00000000-0010-0000-2200-000098000000}" name="Column152" dataDxfId="4562"/>
    <tableColumn id="153" xr3:uid="{00000000-0010-0000-2200-000099000000}" name="Column153" dataDxfId="4561"/>
    <tableColumn id="154" xr3:uid="{00000000-0010-0000-2200-00009A000000}" name="Column154" dataDxfId="4560"/>
    <tableColumn id="155" xr3:uid="{00000000-0010-0000-2200-00009B000000}" name="Column155" dataDxfId="4559"/>
    <tableColumn id="156" xr3:uid="{00000000-0010-0000-2200-00009C000000}" name="Column156" dataDxfId="4558"/>
    <tableColumn id="157" xr3:uid="{00000000-0010-0000-2200-00009D000000}" name="Column157" dataDxfId="4557"/>
    <tableColumn id="158" xr3:uid="{00000000-0010-0000-2200-00009E000000}" name="Column158" dataDxfId="4556"/>
    <tableColumn id="159" xr3:uid="{00000000-0010-0000-2200-00009F000000}" name="Column159" dataDxfId="4555"/>
    <tableColumn id="160" xr3:uid="{00000000-0010-0000-2200-0000A0000000}" name="Column160" dataDxfId="4554"/>
    <tableColumn id="161" xr3:uid="{00000000-0010-0000-2200-0000A1000000}" name="Column161" dataDxfId="4553"/>
    <tableColumn id="162" xr3:uid="{00000000-0010-0000-2200-0000A2000000}" name="Column162" dataDxfId="4552"/>
    <tableColumn id="163" xr3:uid="{00000000-0010-0000-2200-0000A3000000}" name="Column163" dataDxfId="4551"/>
    <tableColumn id="164" xr3:uid="{00000000-0010-0000-2200-0000A4000000}" name="Column164" dataDxfId="4550"/>
    <tableColumn id="165" xr3:uid="{00000000-0010-0000-2200-0000A5000000}" name="Column165" dataDxfId="4549"/>
    <tableColumn id="166" xr3:uid="{00000000-0010-0000-2200-0000A6000000}" name="Column166" dataDxfId="4548"/>
    <tableColumn id="167" xr3:uid="{00000000-0010-0000-2200-0000A7000000}" name="Column167" dataDxfId="4547"/>
    <tableColumn id="168" xr3:uid="{00000000-0010-0000-2200-0000A8000000}" name="Column168" dataDxfId="4546"/>
    <tableColumn id="169" xr3:uid="{00000000-0010-0000-2200-0000A9000000}" name="Column169" dataDxfId="4545"/>
    <tableColumn id="170" xr3:uid="{00000000-0010-0000-2200-0000AA000000}" name="Column170" dataDxfId="4544"/>
    <tableColumn id="171" xr3:uid="{00000000-0010-0000-2200-0000AB000000}" name="Column171" dataDxfId="4543"/>
    <tableColumn id="172" xr3:uid="{00000000-0010-0000-2200-0000AC000000}" name="Column172" dataDxfId="4542"/>
    <tableColumn id="173" xr3:uid="{00000000-0010-0000-2200-0000AD000000}" name="Column173" dataDxfId="4541"/>
    <tableColumn id="174" xr3:uid="{00000000-0010-0000-2200-0000AE000000}" name="Column174" dataDxfId="4540"/>
    <tableColumn id="175" xr3:uid="{00000000-0010-0000-2200-0000AF000000}" name="Column175" dataDxfId="4539"/>
    <tableColumn id="176" xr3:uid="{00000000-0010-0000-2200-0000B0000000}" name="Column176" dataDxfId="4538"/>
    <tableColumn id="177" xr3:uid="{00000000-0010-0000-2200-0000B1000000}" name="Column177" dataDxfId="4537"/>
    <tableColumn id="178" xr3:uid="{00000000-0010-0000-2200-0000B2000000}" name="Column178" dataDxfId="4536"/>
    <tableColumn id="179" xr3:uid="{00000000-0010-0000-2200-0000B3000000}" name="Column179" dataDxfId="4535"/>
    <tableColumn id="180" xr3:uid="{00000000-0010-0000-2200-0000B4000000}" name="Column180" dataDxfId="4534"/>
    <tableColumn id="181" xr3:uid="{00000000-0010-0000-2200-0000B5000000}" name="Column181" dataDxfId="4533"/>
    <tableColumn id="182" xr3:uid="{00000000-0010-0000-2200-0000B6000000}" name="Column182" dataDxfId="4532"/>
    <tableColumn id="183" xr3:uid="{00000000-0010-0000-2200-0000B7000000}" name="Column183" dataDxfId="4531"/>
    <tableColumn id="184" xr3:uid="{00000000-0010-0000-2200-0000B8000000}" name="Column184" dataDxfId="4530"/>
    <tableColumn id="185" xr3:uid="{00000000-0010-0000-2200-0000B9000000}" name="Column185" dataDxfId="4529"/>
    <tableColumn id="186" xr3:uid="{00000000-0010-0000-2200-0000BA000000}" name="Column186" dataDxfId="4528"/>
    <tableColumn id="187" xr3:uid="{00000000-0010-0000-2200-0000BB000000}" name="Column187" dataDxfId="4527"/>
    <tableColumn id="188" xr3:uid="{00000000-0010-0000-2200-0000BC000000}" name="Column188" dataDxfId="4526"/>
    <tableColumn id="189" xr3:uid="{00000000-0010-0000-2200-0000BD000000}" name="Column189" dataDxfId="4525"/>
    <tableColumn id="190" xr3:uid="{00000000-0010-0000-2200-0000BE000000}" name="Column190" dataDxfId="4524"/>
    <tableColumn id="191" xr3:uid="{00000000-0010-0000-2200-0000BF000000}" name="Column191" dataDxfId="4523"/>
    <tableColumn id="192" xr3:uid="{00000000-0010-0000-2200-0000C0000000}" name="Column192" dataDxfId="4522"/>
    <tableColumn id="193" xr3:uid="{00000000-0010-0000-2200-0000C1000000}" name="Column193" dataDxfId="4521"/>
    <tableColumn id="194" xr3:uid="{00000000-0010-0000-2200-0000C2000000}" name="Column194" dataDxfId="4520"/>
    <tableColumn id="195" xr3:uid="{00000000-0010-0000-2200-0000C3000000}" name="Column195" dataDxfId="4519"/>
    <tableColumn id="196" xr3:uid="{00000000-0010-0000-2200-0000C4000000}" name="Column196" dataDxfId="4518"/>
    <tableColumn id="197" xr3:uid="{7DC3370B-C98A-4C7E-A88F-0FD803B72C3A}" name="Colonne1" dataDxfId="4517"/>
    <tableColumn id="198" xr3:uid="{AA953CA9-545B-436D-BC4C-EB768E5B8C52}" name="Colonne2" dataDxfId="4516"/>
    <tableColumn id="199" xr3:uid="{2DA727F2-51D0-4576-B7D6-679DBAEC19F5}" name="Colonne3" dataDxfId="4515"/>
    <tableColumn id="200" xr3:uid="{D8543187-CF83-442A-8C82-A07CC28737C5}" name="Colonne4" dataDxfId="4514"/>
    <tableColumn id="201" xr3:uid="{F406AC4C-2E51-4ABE-8C96-ACFAE954713E}" name="Colonne5" dataDxfId="4513"/>
    <tableColumn id="202" xr3:uid="{45313739-CE7A-409B-8FB6-B45D407E33E2}" name="Colonne6" dataDxfId="4512"/>
  </tableColumns>
  <tableStyleInfo name="New BO-style 11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_36" displayName="Table_36" ref="BU13:BY13" headerRowCount="0" headerRowDxfId="4511" dataDxfId="4510" totalsRowDxfId="4509">
  <tableColumns count="5">
    <tableColumn id="1" xr3:uid="{00000000-0010-0000-2300-000001000000}" name="Column1" dataDxfId="4508"/>
    <tableColumn id="2" xr3:uid="{00000000-0010-0000-2300-000002000000}" name="Column2" dataDxfId="4507"/>
    <tableColumn id="3" xr3:uid="{00000000-0010-0000-2300-000003000000}" name="Column3" dataDxfId="4506"/>
    <tableColumn id="4" xr3:uid="{00000000-0010-0000-2300-000004000000}" name="Column4" dataDxfId="4505"/>
    <tableColumn id="5" xr3:uid="{00000000-0010-0000-2300-000005000000}" name="Column5" dataDxfId="4504"/>
  </tableColumns>
  <tableStyleInfo name="New BO-style 12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_37" displayName="Table_37" ref="CA13:CB13" headerRowCount="0" headerRowDxfId="4503" dataDxfId="4502" totalsRowDxfId="4501">
  <tableColumns count="2">
    <tableColumn id="1" xr3:uid="{00000000-0010-0000-2400-000001000000}" name="Column1" dataDxfId="4500"/>
    <tableColumn id="2" xr3:uid="{00000000-0010-0000-2400-000002000000}" name="Column2" dataDxfId="4499"/>
  </tableColumns>
  <tableStyleInfo name="New BO-style 13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_38" displayName="Table_38" ref="CC13" headerRowCount="0" headerRowDxfId="4498" dataDxfId="4497" totalsRowDxfId="4496">
  <tableColumns count="1">
    <tableColumn id="1" xr3:uid="{00000000-0010-0000-2500-000001000000}" name="Column1" dataDxfId="4495"/>
  </tableColumns>
  <tableStyleInfo name="New BO-style 14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_39" displayName="Table_39" ref="BT14:JV14" headerRowCount="0" headerRowDxfId="4494" dataDxfId="4493" totalsRowDxfId="4492">
  <tableColumns count="211">
    <tableColumn id="1" xr3:uid="{00000000-0010-0000-2600-000001000000}" name="Column1" dataDxfId="4491"/>
    <tableColumn id="2" xr3:uid="{00000000-0010-0000-2600-000002000000}" name="Column2" dataDxfId="4490"/>
    <tableColumn id="3" xr3:uid="{00000000-0010-0000-2600-000003000000}" name="Column3" dataDxfId="4489"/>
    <tableColumn id="4" xr3:uid="{00000000-0010-0000-2600-000004000000}" name="Column4" dataDxfId="4488"/>
    <tableColumn id="5" xr3:uid="{00000000-0010-0000-2600-000005000000}" name="Column5" dataDxfId="4487"/>
    <tableColumn id="6" xr3:uid="{00000000-0010-0000-2600-000006000000}" name="Column6" dataDxfId="4486"/>
    <tableColumn id="7" xr3:uid="{00000000-0010-0000-2600-000007000000}" name="Column7" dataDxfId="4485"/>
    <tableColumn id="8" xr3:uid="{00000000-0010-0000-2600-000008000000}" name="Column8" dataDxfId="4484"/>
    <tableColumn id="9" xr3:uid="{00000000-0010-0000-2600-000009000000}" name="Column9" dataDxfId="4483"/>
    <tableColumn id="10" xr3:uid="{00000000-0010-0000-2600-00000A000000}" name="Column10" dataDxfId="4482"/>
    <tableColumn id="11" xr3:uid="{00000000-0010-0000-2600-00000B000000}" name="Column11" dataDxfId="4481"/>
    <tableColumn id="12" xr3:uid="{00000000-0010-0000-2600-00000C000000}" name="Column12" dataDxfId="4480"/>
    <tableColumn id="13" xr3:uid="{00000000-0010-0000-2600-00000D000000}" name="Column13" dataDxfId="4479"/>
    <tableColumn id="14" xr3:uid="{00000000-0010-0000-2600-00000E000000}" name="Column14" dataDxfId="4478"/>
    <tableColumn id="15" xr3:uid="{00000000-0010-0000-2600-00000F000000}" name="Column15" dataDxfId="4477"/>
    <tableColumn id="16" xr3:uid="{00000000-0010-0000-2600-000010000000}" name="Column16" dataDxfId="4476"/>
    <tableColumn id="17" xr3:uid="{00000000-0010-0000-2600-000011000000}" name="Column17" dataDxfId="4475"/>
    <tableColumn id="18" xr3:uid="{00000000-0010-0000-2600-000012000000}" name="Column18" dataDxfId="4474"/>
    <tableColumn id="19" xr3:uid="{00000000-0010-0000-2600-000013000000}" name="Column19" dataDxfId="4473"/>
    <tableColumn id="20" xr3:uid="{00000000-0010-0000-2600-000014000000}" name="Column20" dataDxfId="4472"/>
    <tableColumn id="21" xr3:uid="{00000000-0010-0000-2600-000015000000}" name="Column21" dataDxfId="4471"/>
    <tableColumn id="22" xr3:uid="{00000000-0010-0000-2600-000016000000}" name="Column22" dataDxfId="4470"/>
    <tableColumn id="23" xr3:uid="{00000000-0010-0000-2600-000017000000}" name="Column23" dataDxfId="4469"/>
    <tableColumn id="24" xr3:uid="{00000000-0010-0000-2600-000018000000}" name="Column24" dataDxfId="4468"/>
    <tableColumn id="25" xr3:uid="{00000000-0010-0000-2600-000019000000}" name="Column25" dataDxfId="4467"/>
    <tableColumn id="26" xr3:uid="{00000000-0010-0000-2600-00001A000000}" name="Column26" dataDxfId="4466"/>
    <tableColumn id="27" xr3:uid="{00000000-0010-0000-2600-00001B000000}" name="Column27" dataDxfId="4465"/>
    <tableColumn id="28" xr3:uid="{00000000-0010-0000-2600-00001C000000}" name="Column28" dataDxfId="4464"/>
    <tableColumn id="29" xr3:uid="{00000000-0010-0000-2600-00001D000000}" name="Column29" dataDxfId="4463"/>
    <tableColumn id="30" xr3:uid="{00000000-0010-0000-2600-00001E000000}" name="Column30" dataDxfId="4462"/>
    <tableColumn id="31" xr3:uid="{00000000-0010-0000-2600-00001F000000}" name="Column31" dataDxfId="4461"/>
    <tableColumn id="32" xr3:uid="{00000000-0010-0000-2600-000020000000}" name="Column32" dataDxfId="4460"/>
    <tableColumn id="33" xr3:uid="{00000000-0010-0000-2600-000021000000}" name="Column33" dataDxfId="4459"/>
    <tableColumn id="34" xr3:uid="{00000000-0010-0000-2600-000022000000}" name="Column34" dataDxfId="4458"/>
    <tableColumn id="35" xr3:uid="{00000000-0010-0000-2600-000023000000}" name="Column35" dataDxfId="4457"/>
    <tableColumn id="36" xr3:uid="{00000000-0010-0000-2600-000024000000}" name="Column36" dataDxfId="4456"/>
    <tableColumn id="37" xr3:uid="{00000000-0010-0000-2600-000025000000}" name="Column37" dataDxfId="4455"/>
    <tableColumn id="38" xr3:uid="{00000000-0010-0000-2600-000026000000}" name="Column38" dataDxfId="4454"/>
    <tableColumn id="39" xr3:uid="{00000000-0010-0000-2600-000027000000}" name="Column39" dataDxfId="4453"/>
    <tableColumn id="40" xr3:uid="{00000000-0010-0000-2600-000028000000}" name="Column40" dataDxfId="4452"/>
    <tableColumn id="41" xr3:uid="{00000000-0010-0000-2600-000029000000}" name="Column41" dataDxfId="4451"/>
    <tableColumn id="42" xr3:uid="{00000000-0010-0000-2600-00002A000000}" name="Column42" dataDxfId="4450"/>
    <tableColumn id="43" xr3:uid="{00000000-0010-0000-2600-00002B000000}" name="Column43" dataDxfId="4449"/>
    <tableColumn id="44" xr3:uid="{00000000-0010-0000-2600-00002C000000}" name="Column44" dataDxfId="4448"/>
    <tableColumn id="45" xr3:uid="{00000000-0010-0000-2600-00002D000000}" name="Column45" dataDxfId="4447"/>
    <tableColumn id="46" xr3:uid="{00000000-0010-0000-2600-00002E000000}" name="Column46" dataDxfId="4446"/>
    <tableColumn id="47" xr3:uid="{00000000-0010-0000-2600-00002F000000}" name="Column47" dataDxfId="4445"/>
    <tableColumn id="48" xr3:uid="{00000000-0010-0000-2600-000030000000}" name="Column48" dataDxfId="4444"/>
    <tableColumn id="49" xr3:uid="{00000000-0010-0000-2600-000031000000}" name="Column49" dataDxfId="4443"/>
    <tableColumn id="50" xr3:uid="{00000000-0010-0000-2600-000032000000}" name="Column50" dataDxfId="4442"/>
    <tableColumn id="51" xr3:uid="{00000000-0010-0000-2600-000033000000}" name="Column51" dataDxfId="4441"/>
    <tableColumn id="52" xr3:uid="{00000000-0010-0000-2600-000034000000}" name="Column52" dataDxfId="4440"/>
    <tableColumn id="53" xr3:uid="{00000000-0010-0000-2600-000035000000}" name="Column53" dataDxfId="4439"/>
    <tableColumn id="54" xr3:uid="{00000000-0010-0000-2600-000036000000}" name="Column54" dataDxfId="4438"/>
    <tableColumn id="55" xr3:uid="{00000000-0010-0000-2600-000037000000}" name="Column55" dataDxfId="4437"/>
    <tableColumn id="56" xr3:uid="{00000000-0010-0000-2600-000038000000}" name="Column56" dataDxfId="4436"/>
    <tableColumn id="57" xr3:uid="{00000000-0010-0000-2600-000039000000}" name="Column57" dataDxfId="4435"/>
    <tableColumn id="58" xr3:uid="{00000000-0010-0000-2600-00003A000000}" name="Column58" dataDxfId="4434"/>
    <tableColumn id="59" xr3:uid="{00000000-0010-0000-2600-00003B000000}" name="Column59" dataDxfId="4433"/>
    <tableColumn id="60" xr3:uid="{00000000-0010-0000-2600-00003C000000}" name="Column60" dataDxfId="4432"/>
    <tableColumn id="61" xr3:uid="{00000000-0010-0000-2600-00003D000000}" name="Column61" dataDxfId="4431"/>
    <tableColumn id="62" xr3:uid="{00000000-0010-0000-2600-00003E000000}" name="Column62" dataDxfId="4430"/>
    <tableColumn id="63" xr3:uid="{00000000-0010-0000-2600-00003F000000}" name="Column63" dataDxfId="4429"/>
    <tableColumn id="64" xr3:uid="{00000000-0010-0000-2600-000040000000}" name="Column64" dataDxfId="4428"/>
    <tableColumn id="65" xr3:uid="{00000000-0010-0000-2600-000041000000}" name="Column65" dataDxfId="4427"/>
    <tableColumn id="66" xr3:uid="{00000000-0010-0000-2600-000042000000}" name="Column66" dataDxfId="4426"/>
    <tableColumn id="67" xr3:uid="{00000000-0010-0000-2600-000043000000}" name="Column67" dataDxfId="4425"/>
    <tableColumn id="68" xr3:uid="{00000000-0010-0000-2600-000044000000}" name="Column68" dataDxfId="4424"/>
    <tableColumn id="69" xr3:uid="{00000000-0010-0000-2600-000045000000}" name="Column69" dataDxfId="4423"/>
    <tableColumn id="70" xr3:uid="{00000000-0010-0000-2600-000046000000}" name="Column70" dataDxfId="4422"/>
    <tableColumn id="71" xr3:uid="{00000000-0010-0000-2600-000047000000}" name="Column71" dataDxfId="4421"/>
    <tableColumn id="72" xr3:uid="{00000000-0010-0000-2600-000048000000}" name="Column72" dataDxfId="4420"/>
    <tableColumn id="73" xr3:uid="{00000000-0010-0000-2600-000049000000}" name="Column73" dataDxfId="4419"/>
    <tableColumn id="74" xr3:uid="{00000000-0010-0000-2600-00004A000000}" name="Column74" dataDxfId="4418"/>
    <tableColumn id="75" xr3:uid="{00000000-0010-0000-2600-00004B000000}" name="Column75" dataDxfId="4417"/>
    <tableColumn id="76" xr3:uid="{00000000-0010-0000-2600-00004C000000}" name="Column76" dataDxfId="4416"/>
    <tableColumn id="77" xr3:uid="{00000000-0010-0000-2600-00004D000000}" name="Column77" dataDxfId="4415"/>
    <tableColumn id="78" xr3:uid="{00000000-0010-0000-2600-00004E000000}" name="Column78" dataDxfId="4414"/>
    <tableColumn id="79" xr3:uid="{00000000-0010-0000-2600-00004F000000}" name="Column79" dataDxfId="4413"/>
    <tableColumn id="80" xr3:uid="{00000000-0010-0000-2600-000050000000}" name="Column80" dataDxfId="4412"/>
    <tableColumn id="81" xr3:uid="{00000000-0010-0000-2600-000051000000}" name="Column81" dataDxfId="4411"/>
    <tableColumn id="82" xr3:uid="{00000000-0010-0000-2600-000052000000}" name="Column82" dataDxfId="4410"/>
    <tableColumn id="83" xr3:uid="{00000000-0010-0000-2600-000053000000}" name="Column83" dataDxfId="4409"/>
    <tableColumn id="84" xr3:uid="{00000000-0010-0000-2600-000054000000}" name="Column84" dataDxfId="4408"/>
    <tableColumn id="85" xr3:uid="{00000000-0010-0000-2600-000055000000}" name="Column85" dataDxfId="4407"/>
    <tableColumn id="86" xr3:uid="{00000000-0010-0000-2600-000056000000}" name="Column86" dataDxfId="4406"/>
    <tableColumn id="87" xr3:uid="{00000000-0010-0000-2600-000057000000}" name="Column87" dataDxfId="4405"/>
    <tableColumn id="88" xr3:uid="{00000000-0010-0000-2600-000058000000}" name="Column88" dataDxfId="4404"/>
    <tableColumn id="89" xr3:uid="{00000000-0010-0000-2600-000059000000}" name="Column89" dataDxfId="4403"/>
    <tableColumn id="90" xr3:uid="{00000000-0010-0000-2600-00005A000000}" name="Column90" dataDxfId="4402"/>
    <tableColumn id="91" xr3:uid="{00000000-0010-0000-2600-00005B000000}" name="Column91" dataDxfId="4401"/>
    <tableColumn id="92" xr3:uid="{00000000-0010-0000-2600-00005C000000}" name="Column92" dataDxfId="4400"/>
    <tableColumn id="93" xr3:uid="{00000000-0010-0000-2600-00005D000000}" name="Column93" dataDxfId="4399"/>
    <tableColumn id="94" xr3:uid="{00000000-0010-0000-2600-00005E000000}" name="Column94" dataDxfId="4398"/>
    <tableColumn id="95" xr3:uid="{00000000-0010-0000-2600-00005F000000}" name="Column95" dataDxfId="4397"/>
    <tableColumn id="96" xr3:uid="{00000000-0010-0000-2600-000060000000}" name="Column96" dataDxfId="4396"/>
    <tableColumn id="97" xr3:uid="{00000000-0010-0000-2600-000061000000}" name="Column97" dataDxfId="4395"/>
    <tableColumn id="98" xr3:uid="{00000000-0010-0000-2600-000062000000}" name="Column98" dataDxfId="4394"/>
    <tableColumn id="99" xr3:uid="{00000000-0010-0000-2600-000063000000}" name="Column99" dataDxfId="4393"/>
    <tableColumn id="100" xr3:uid="{00000000-0010-0000-2600-000064000000}" name="Column100" dataDxfId="4392"/>
    <tableColumn id="101" xr3:uid="{00000000-0010-0000-2600-000065000000}" name="Column101" dataDxfId="4391"/>
    <tableColumn id="102" xr3:uid="{00000000-0010-0000-2600-000066000000}" name="Column102" dataDxfId="4390"/>
    <tableColumn id="103" xr3:uid="{00000000-0010-0000-2600-000067000000}" name="Column103" dataDxfId="4389"/>
    <tableColumn id="104" xr3:uid="{00000000-0010-0000-2600-000068000000}" name="Column104" dataDxfId="4388"/>
    <tableColumn id="105" xr3:uid="{00000000-0010-0000-2600-000069000000}" name="Column105" dataDxfId="4387"/>
    <tableColumn id="106" xr3:uid="{00000000-0010-0000-2600-00006A000000}" name="Column106" dataDxfId="4386"/>
    <tableColumn id="107" xr3:uid="{00000000-0010-0000-2600-00006B000000}" name="Column107" dataDxfId="4385"/>
    <tableColumn id="108" xr3:uid="{00000000-0010-0000-2600-00006C000000}" name="Column108" dataDxfId="4384"/>
    <tableColumn id="109" xr3:uid="{00000000-0010-0000-2600-00006D000000}" name="Column109" dataDxfId="4383"/>
    <tableColumn id="110" xr3:uid="{00000000-0010-0000-2600-00006E000000}" name="Column110" dataDxfId="4382"/>
    <tableColumn id="111" xr3:uid="{00000000-0010-0000-2600-00006F000000}" name="Column111" dataDxfId="4381"/>
    <tableColumn id="112" xr3:uid="{00000000-0010-0000-2600-000070000000}" name="Column112" dataDxfId="4380"/>
    <tableColumn id="113" xr3:uid="{00000000-0010-0000-2600-000071000000}" name="Column113" dataDxfId="4379"/>
    <tableColumn id="114" xr3:uid="{00000000-0010-0000-2600-000072000000}" name="Column114" dataDxfId="4378"/>
    <tableColumn id="115" xr3:uid="{00000000-0010-0000-2600-000073000000}" name="Column115" dataDxfId="4377"/>
    <tableColumn id="116" xr3:uid="{00000000-0010-0000-2600-000074000000}" name="Column116" dataDxfId="4376"/>
    <tableColumn id="117" xr3:uid="{00000000-0010-0000-2600-000075000000}" name="Column117" dataDxfId="4375"/>
    <tableColumn id="118" xr3:uid="{00000000-0010-0000-2600-000076000000}" name="Column118" dataDxfId="4374"/>
    <tableColumn id="119" xr3:uid="{00000000-0010-0000-2600-000077000000}" name="Column119" dataDxfId="4373"/>
    <tableColumn id="120" xr3:uid="{00000000-0010-0000-2600-000078000000}" name="Column120" dataDxfId="4372"/>
    <tableColumn id="121" xr3:uid="{00000000-0010-0000-2600-000079000000}" name="Column121" dataDxfId="4371"/>
    <tableColumn id="122" xr3:uid="{00000000-0010-0000-2600-00007A000000}" name="Column122" dataDxfId="4370"/>
    <tableColumn id="123" xr3:uid="{00000000-0010-0000-2600-00007B000000}" name="Column123" dataDxfId="4369"/>
    <tableColumn id="124" xr3:uid="{00000000-0010-0000-2600-00007C000000}" name="Column124" dataDxfId="4368"/>
    <tableColumn id="125" xr3:uid="{00000000-0010-0000-2600-00007D000000}" name="Column125" dataDxfId="4367"/>
    <tableColumn id="126" xr3:uid="{00000000-0010-0000-2600-00007E000000}" name="Column126" dataDxfId="4366"/>
    <tableColumn id="127" xr3:uid="{00000000-0010-0000-2600-00007F000000}" name="Column127" dataDxfId="4365"/>
    <tableColumn id="128" xr3:uid="{00000000-0010-0000-2600-000080000000}" name="Column128" dataDxfId="4364"/>
    <tableColumn id="129" xr3:uid="{00000000-0010-0000-2600-000081000000}" name="Column129" dataDxfId="4363"/>
    <tableColumn id="130" xr3:uid="{00000000-0010-0000-2600-000082000000}" name="Column130" dataDxfId="4362"/>
    <tableColumn id="131" xr3:uid="{00000000-0010-0000-2600-000083000000}" name="Column131" dataDxfId="4361"/>
    <tableColumn id="132" xr3:uid="{00000000-0010-0000-2600-000084000000}" name="Column132" dataDxfId="4360"/>
    <tableColumn id="133" xr3:uid="{00000000-0010-0000-2600-000085000000}" name="Column133" dataDxfId="4359"/>
    <tableColumn id="134" xr3:uid="{00000000-0010-0000-2600-000086000000}" name="Column134" dataDxfId="4358"/>
    <tableColumn id="135" xr3:uid="{00000000-0010-0000-2600-000087000000}" name="Column135" dataDxfId="4357"/>
    <tableColumn id="136" xr3:uid="{00000000-0010-0000-2600-000088000000}" name="Column136" dataDxfId="4356"/>
    <tableColumn id="137" xr3:uid="{00000000-0010-0000-2600-000089000000}" name="Column137" dataDxfId="4355"/>
    <tableColumn id="138" xr3:uid="{00000000-0010-0000-2600-00008A000000}" name="Column138" dataDxfId="4354"/>
    <tableColumn id="139" xr3:uid="{00000000-0010-0000-2600-00008B000000}" name="Column139" dataDxfId="4353"/>
    <tableColumn id="140" xr3:uid="{00000000-0010-0000-2600-00008C000000}" name="Column140" dataDxfId="4352"/>
    <tableColumn id="141" xr3:uid="{00000000-0010-0000-2600-00008D000000}" name="Column141" dataDxfId="4351"/>
    <tableColumn id="142" xr3:uid="{00000000-0010-0000-2600-00008E000000}" name="Column142" dataDxfId="4350"/>
    <tableColumn id="143" xr3:uid="{00000000-0010-0000-2600-00008F000000}" name="Column143" dataDxfId="4349"/>
    <tableColumn id="144" xr3:uid="{00000000-0010-0000-2600-000090000000}" name="Column144" dataDxfId="4348"/>
    <tableColumn id="145" xr3:uid="{00000000-0010-0000-2600-000091000000}" name="Column145" dataDxfId="4347"/>
    <tableColumn id="146" xr3:uid="{00000000-0010-0000-2600-000092000000}" name="Column146" dataDxfId="4346"/>
    <tableColumn id="147" xr3:uid="{00000000-0010-0000-2600-000093000000}" name="Column147" dataDxfId="4345"/>
    <tableColumn id="148" xr3:uid="{00000000-0010-0000-2600-000094000000}" name="Column148" dataDxfId="4344"/>
    <tableColumn id="149" xr3:uid="{00000000-0010-0000-2600-000095000000}" name="Column149" dataDxfId="4343"/>
    <tableColumn id="150" xr3:uid="{00000000-0010-0000-2600-000096000000}" name="Column150" dataDxfId="4342"/>
    <tableColumn id="151" xr3:uid="{00000000-0010-0000-2600-000097000000}" name="Column151" dataDxfId="4341"/>
    <tableColumn id="152" xr3:uid="{00000000-0010-0000-2600-000098000000}" name="Column152" dataDxfId="4340"/>
    <tableColumn id="153" xr3:uid="{00000000-0010-0000-2600-000099000000}" name="Column153" dataDxfId="4339"/>
    <tableColumn id="154" xr3:uid="{00000000-0010-0000-2600-00009A000000}" name="Column154" dataDxfId="4338"/>
    <tableColumn id="155" xr3:uid="{00000000-0010-0000-2600-00009B000000}" name="Column155" dataDxfId="4337"/>
    <tableColumn id="156" xr3:uid="{00000000-0010-0000-2600-00009C000000}" name="Column156" dataDxfId="4336"/>
    <tableColumn id="157" xr3:uid="{00000000-0010-0000-2600-00009D000000}" name="Column157" dataDxfId="4335"/>
    <tableColumn id="158" xr3:uid="{00000000-0010-0000-2600-00009E000000}" name="Column158" dataDxfId="4334"/>
    <tableColumn id="159" xr3:uid="{00000000-0010-0000-2600-00009F000000}" name="Column159" dataDxfId="4333"/>
    <tableColumn id="160" xr3:uid="{00000000-0010-0000-2600-0000A0000000}" name="Column160" dataDxfId="4332"/>
    <tableColumn id="161" xr3:uid="{00000000-0010-0000-2600-0000A1000000}" name="Column161" dataDxfId="4331"/>
    <tableColumn id="162" xr3:uid="{00000000-0010-0000-2600-0000A2000000}" name="Column162" dataDxfId="4330"/>
    <tableColumn id="163" xr3:uid="{00000000-0010-0000-2600-0000A3000000}" name="Column163" dataDxfId="4329"/>
    <tableColumn id="164" xr3:uid="{00000000-0010-0000-2600-0000A4000000}" name="Column164" dataDxfId="4328"/>
    <tableColumn id="165" xr3:uid="{00000000-0010-0000-2600-0000A5000000}" name="Column165" dataDxfId="4327"/>
    <tableColumn id="166" xr3:uid="{00000000-0010-0000-2600-0000A6000000}" name="Column166" dataDxfId="4326"/>
    <tableColumn id="167" xr3:uid="{00000000-0010-0000-2600-0000A7000000}" name="Column167" dataDxfId="4325"/>
    <tableColumn id="168" xr3:uid="{00000000-0010-0000-2600-0000A8000000}" name="Column168" dataDxfId="4324"/>
    <tableColumn id="169" xr3:uid="{00000000-0010-0000-2600-0000A9000000}" name="Column169" dataDxfId="4323"/>
    <tableColumn id="170" xr3:uid="{00000000-0010-0000-2600-0000AA000000}" name="Column170" dataDxfId="4322"/>
    <tableColumn id="171" xr3:uid="{00000000-0010-0000-2600-0000AB000000}" name="Column171" dataDxfId="4321"/>
    <tableColumn id="172" xr3:uid="{00000000-0010-0000-2600-0000AC000000}" name="Column172" dataDxfId="4320"/>
    <tableColumn id="173" xr3:uid="{00000000-0010-0000-2600-0000AD000000}" name="Column173" dataDxfId="4319"/>
    <tableColumn id="174" xr3:uid="{00000000-0010-0000-2600-0000AE000000}" name="Column174" dataDxfId="4318"/>
    <tableColumn id="175" xr3:uid="{00000000-0010-0000-2600-0000AF000000}" name="Column175" dataDxfId="4317"/>
    <tableColumn id="176" xr3:uid="{00000000-0010-0000-2600-0000B0000000}" name="Column176" dataDxfId="4316"/>
    <tableColumn id="177" xr3:uid="{00000000-0010-0000-2600-0000B1000000}" name="Column177" dataDxfId="4315"/>
    <tableColumn id="178" xr3:uid="{00000000-0010-0000-2600-0000B2000000}" name="Column178" dataDxfId="4314"/>
    <tableColumn id="179" xr3:uid="{00000000-0010-0000-2600-0000B3000000}" name="Column179" dataDxfId="4313"/>
    <tableColumn id="180" xr3:uid="{00000000-0010-0000-2600-0000B4000000}" name="Column180" dataDxfId="4312"/>
    <tableColumn id="181" xr3:uid="{00000000-0010-0000-2600-0000B5000000}" name="Column181" dataDxfId="4311"/>
    <tableColumn id="182" xr3:uid="{00000000-0010-0000-2600-0000B6000000}" name="Column182" dataDxfId="4310"/>
    <tableColumn id="183" xr3:uid="{00000000-0010-0000-2600-0000B7000000}" name="Column183" dataDxfId="4309"/>
    <tableColumn id="184" xr3:uid="{00000000-0010-0000-2600-0000B8000000}" name="Column184" dataDxfId="4308"/>
    <tableColumn id="185" xr3:uid="{00000000-0010-0000-2600-0000B9000000}" name="Column185" dataDxfId="4307"/>
    <tableColumn id="186" xr3:uid="{00000000-0010-0000-2600-0000BA000000}" name="Column186" dataDxfId="4306"/>
    <tableColumn id="187" xr3:uid="{00000000-0010-0000-2600-0000BB000000}" name="Column187" dataDxfId="4305"/>
    <tableColumn id="188" xr3:uid="{00000000-0010-0000-2600-0000BC000000}" name="Column188" dataDxfId="4304"/>
    <tableColumn id="189" xr3:uid="{00000000-0010-0000-2600-0000BD000000}" name="Column189" dataDxfId="4303"/>
    <tableColumn id="190" xr3:uid="{00000000-0010-0000-2600-0000BE000000}" name="Column190" dataDxfId="4302"/>
    <tableColumn id="191" xr3:uid="{00000000-0010-0000-2600-0000BF000000}" name="Column191" dataDxfId="4301"/>
    <tableColumn id="192" xr3:uid="{00000000-0010-0000-2600-0000C0000000}" name="Column192" dataDxfId="4300"/>
    <tableColumn id="193" xr3:uid="{00000000-0010-0000-2600-0000C1000000}" name="Column193" dataDxfId="4299"/>
    <tableColumn id="194" xr3:uid="{00000000-0010-0000-2600-0000C2000000}" name="Column194" dataDxfId="4298"/>
    <tableColumn id="195" xr3:uid="{00000000-0010-0000-2600-0000C3000000}" name="Column195" dataDxfId="4297"/>
    <tableColumn id="196" xr3:uid="{00000000-0010-0000-2600-0000C4000000}" name="Column196" dataDxfId="4296"/>
    <tableColumn id="197" xr3:uid="{00000000-0010-0000-2600-0000C5000000}" name="Column197" dataDxfId="4295"/>
    <tableColumn id="198" xr3:uid="{00000000-0010-0000-2600-0000C6000000}" name="Column198" dataDxfId="4294"/>
    <tableColumn id="199" xr3:uid="{00000000-0010-0000-2600-0000C7000000}" name="Column199" dataDxfId="4293"/>
    <tableColumn id="200" xr3:uid="{00000000-0010-0000-2600-0000C8000000}" name="Column200" dataDxfId="4292"/>
    <tableColumn id="201" xr3:uid="{00000000-0010-0000-2600-0000C9000000}" name="Column201" dataDxfId="4291"/>
    <tableColumn id="202" xr3:uid="{00000000-0010-0000-2600-0000CA000000}" name="Column202" dataDxfId="4290"/>
    <tableColumn id="203" xr3:uid="{00000000-0010-0000-2600-0000CB000000}" name="Column203" dataDxfId="4289"/>
    <tableColumn id="204" xr3:uid="{00000000-0010-0000-2600-0000CC000000}" name="Column204" dataDxfId="4288"/>
    <tableColumn id="205" xr3:uid="{00000000-0010-0000-2600-0000CD000000}" name="Column205" dataDxfId="4287"/>
    <tableColumn id="206" xr3:uid="{00000000-0010-0000-2600-0000CE000000}" name="Column206" dataDxfId="4286"/>
    <tableColumn id="207" xr3:uid="{00000000-0010-0000-2600-0000CF000000}" name="Column207" dataDxfId="4285"/>
    <tableColumn id="208" xr3:uid="{00000000-0010-0000-2600-0000D0000000}" name="Column208" dataDxfId="4284"/>
    <tableColumn id="209" xr3:uid="{00000000-0010-0000-2600-0000D1000000}" name="Column209" dataDxfId="4283"/>
    <tableColumn id="210" xr3:uid="{00000000-0010-0000-2600-0000D2000000}" name="Column210" dataDxfId="4282"/>
    <tableColumn id="211" xr3:uid="{3FD5F6E7-661B-437B-84F4-B7273D1D35A3}" name="Colonne1" dataDxfId="4281"/>
  </tableColumns>
  <tableStyleInfo name="New BO-style 15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_40" displayName="Table_40" ref="Y15:JZ15" headerRowCount="0" headerRowDxfId="4280" dataDxfId="4279" totalsRowDxfId="4278">
  <tableColumns count="262">
    <tableColumn id="1" xr3:uid="{00000000-0010-0000-2700-000001000000}" name="Column1" dataDxfId="4277"/>
    <tableColumn id="2" xr3:uid="{00000000-0010-0000-2700-000002000000}" name="Column2" dataDxfId="4276"/>
    <tableColumn id="3" xr3:uid="{00000000-0010-0000-2700-000003000000}" name="Column3" dataDxfId="4275"/>
    <tableColumn id="4" xr3:uid="{00000000-0010-0000-2700-000004000000}" name="Column4" dataDxfId="4274"/>
    <tableColumn id="5" xr3:uid="{00000000-0010-0000-2700-000005000000}" name="Column5" dataDxfId="4273"/>
    <tableColumn id="6" xr3:uid="{00000000-0010-0000-2700-000006000000}" name="Column6" dataDxfId="4272"/>
    <tableColumn id="7" xr3:uid="{00000000-0010-0000-2700-000007000000}" name="Column7" dataDxfId="4271"/>
    <tableColumn id="8" xr3:uid="{00000000-0010-0000-2700-000008000000}" name="Column8" dataDxfId="4270"/>
    <tableColumn id="9" xr3:uid="{00000000-0010-0000-2700-000009000000}" name="Column9" dataDxfId="4269"/>
    <tableColumn id="10" xr3:uid="{00000000-0010-0000-2700-00000A000000}" name="Column10" dataDxfId="4268"/>
    <tableColumn id="11" xr3:uid="{00000000-0010-0000-2700-00000B000000}" name="Column11" dataDxfId="4267"/>
    <tableColumn id="12" xr3:uid="{00000000-0010-0000-2700-00000C000000}" name="Column12" dataDxfId="4266"/>
    <tableColumn id="13" xr3:uid="{00000000-0010-0000-2700-00000D000000}" name="Column13" dataDxfId="4265"/>
    <tableColumn id="14" xr3:uid="{00000000-0010-0000-2700-00000E000000}" name="Column14" dataDxfId="4264"/>
    <tableColumn id="15" xr3:uid="{00000000-0010-0000-2700-00000F000000}" name="Column15" dataDxfId="4263"/>
    <tableColumn id="16" xr3:uid="{00000000-0010-0000-2700-000010000000}" name="Column16" dataDxfId="4262"/>
    <tableColumn id="17" xr3:uid="{00000000-0010-0000-2700-000011000000}" name="Column17" dataDxfId="4261"/>
    <tableColumn id="18" xr3:uid="{00000000-0010-0000-2700-000012000000}" name="Column18" dataDxfId="4260"/>
    <tableColumn id="19" xr3:uid="{00000000-0010-0000-2700-000013000000}" name="Column19" dataDxfId="4259"/>
    <tableColumn id="20" xr3:uid="{00000000-0010-0000-2700-000014000000}" name="Column20" dataDxfId="4258"/>
    <tableColumn id="21" xr3:uid="{00000000-0010-0000-2700-000015000000}" name="Column21" dataDxfId="4257"/>
    <tableColumn id="22" xr3:uid="{00000000-0010-0000-2700-000016000000}" name="Column22" dataDxfId="4256"/>
    <tableColumn id="23" xr3:uid="{00000000-0010-0000-2700-000017000000}" name="Column23" dataDxfId="4255"/>
    <tableColumn id="24" xr3:uid="{00000000-0010-0000-2700-000018000000}" name="Column24" dataDxfId="4254"/>
    <tableColumn id="25" xr3:uid="{00000000-0010-0000-2700-000019000000}" name="Column25" dataDxfId="4253"/>
    <tableColumn id="26" xr3:uid="{00000000-0010-0000-2700-00001A000000}" name="Column26" dataDxfId="4252"/>
    <tableColumn id="27" xr3:uid="{00000000-0010-0000-2700-00001B000000}" name="Column27" dataDxfId="4251"/>
    <tableColumn id="28" xr3:uid="{00000000-0010-0000-2700-00001C000000}" name="Column28" dataDxfId="4250"/>
    <tableColumn id="29" xr3:uid="{00000000-0010-0000-2700-00001D000000}" name="Column29" dataDxfId="4249"/>
    <tableColumn id="30" xr3:uid="{00000000-0010-0000-2700-00001E000000}" name="Column30" dataDxfId="4248"/>
    <tableColumn id="31" xr3:uid="{00000000-0010-0000-2700-00001F000000}" name="Column31" dataDxfId="4247"/>
    <tableColumn id="32" xr3:uid="{00000000-0010-0000-2700-000020000000}" name="Column32" dataDxfId="4246"/>
    <tableColumn id="33" xr3:uid="{00000000-0010-0000-2700-000021000000}" name="Column33" dataDxfId="4245"/>
    <tableColumn id="34" xr3:uid="{00000000-0010-0000-2700-000022000000}" name="Column34" dataDxfId="4244"/>
    <tableColumn id="35" xr3:uid="{00000000-0010-0000-2700-000023000000}" name="Column35" dataDxfId="4243"/>
    <tableColumn id="36" xr3:uid="{00000000-0010-0000-2700-000024000000}" name="Column36" dataDxfId="4242"/>
    <tableColumn id="37" xr3:uid="{00000000-0010-0000-2700-000025000000}" name="Column37" dataDxfId="4241"/>
    <tableColumn id="38" xr3:uid="{00000000-0010-0000-2700-000026000000}" name="Column38" dataDxfId="4240"/>
    <tableColumn id="39" xr3:uid="{00000000-0010-0000-2700-000027000000}" name="Column39" dataDxfId="4239"/>
    <tableColumn id="40" xr3:uid="{00000000-0010-0000-2700-000028000000}" name="Column40" dataDxfId="4238"/>
    <tableColumn id="41" xr3:uid="{00000000-0010-0000-2700-000029000000}" name="Column41" dataDxfId="4237"/>
    <tableColumn id="42" xr3:uid="{00000000-0010-0000-2700-00002A000000}" name="Column42" dataDxfId="4236"/>
    <tableColumn id="43" xr3:uid="{00000000-0010-0000-2700-00002B000000}" name="Column43" dataDxfId="4235"/>
    <tableColumn id="44" xr3:uid="{00000000-0010-0000-2700-00002C000000}" name="Column44" dataDxfId="4234"/>
    <tableColumn id="45" xr3:uid="{00000000-0010-0000-2700-00002D000000}" name="Column45" dataDxfId="4233"/>
    <tableColumn id="46" xr3:uid="{00000000-0010-0000-2700-00002E000000}" name="Column46" dataDxfId="4232"/>
    <tableColumn id="47" xr3:uid="{00000000-0010-0000-2700-00002F000000}" name="Column47" dataDxfId="4231"/>
    <tableColumn id="48" xr3:uid="{00000000-0010-0000-2700-000030000000}" name="Column48" dataDxfId="4230"/>
    <tableColumn id="49" xr3:uid="{00000000-0010-0000-2700-000031000000}" name="Column49" dataDxfId="4229"/>
    <tableColumn id="50" xr3:uid="{00000000-0010-0000-2700-000032000000}" name="Column50" dataDxfId="4228"/>
    <tableColumn id="51" xr3:uid="{00000000-0010-0000-2700-000033000000}" name="Column51" dataDxfId="4227"/>
    <tableColumn id="52" xr3:uid="{00000000-0010-0000-2700-000034000000}" name="Column52" dataDxfId="4226"/>
    <tableColumn id="53" xr3:uid="{00000000-0010-0000-2700-000035000000}" name="Column53" dataDxfId="4225"/>
    <tableColumn id="54" xr3:uid="{00000000-0010-0000-2700-000036000000}" name="Column54" dataDxfId="4224"/>
    <tableColumn id="55" xr3:uid="{00000000-0010-0000-2700-000037000000}" name="Column55" dataDxfId="4223"/>
    <tableColumn id="56" xr3:uid="{00000000-0010-0000-2700-000038000000}" name="Column56" dataDxfId="4222"/>
    <tableColumn id="57" xr3:uid="{00000000-0010-0000-2700-000039000000}" name="Column57" dataDxfId="4221"/>
    <tableColumn id="58" xr3:uid="{00000000-0010-0000-2700-00003A000000}" name="Column58" dataDxfId="4220"/>
    <tableColumn id="59" xr3:uid="{00000000-0010-0000-2700-00003B000000}" name="Column59" dataDxfId="4219"/>
    <tableColumn id="60" xr3:uid="{00000000-0010-0000-2700-00003C000000}" name="Column60" dataDxfId="4218"/>
    <tableColumn id="61" xr3:uid="{00000000-0010-0000-2700-00003D000000}" name="Column61" dataDxfId="4217"/>
    <tableColumn id="62" xr3:uid="{00000000-0010-0000-2700-00003E000000}" name="Column62" dataDxfId="4216"/>
    <tableColumn id="63" xr3:uid="{00000000-0010-0000-2700-00003F000000}" name="Column63" dataDxfId="4215"/>
    <tableColumn id="64" xr3:uid="{00000000-0010-0000-2700-000040000000}" name="Column64" dataDxfId="4214"/>
    <tableColumn id="65" xr3:uid="{00000000-0010-0000-2700-000041000000}" name="Column65" dataDxfId="4213"/>
    <tableColumn id="66" xr3:uid="{00000000-0010-0000-2700-000042000000}" name="Column66" dataDxfId="4212"/>
    <tableColumn id="67" xr3:uid="{00000000-0010-0000-2700-000043000000}" name="Column67" dataDxfId="4211"/>
    <tableColumn id="68" xr3:uid="{00000000-0010-0000-2700-000044000000}" name="Column68" dataDxfId="4210"/>
    <tableColumn id="69" xr3:uid="{00000000-0010-0000-2700-000045000000}" name="Column69" dataDxfId="4209"/>
    <tableColumn id="70" xr3:uid="{00000000-0010-0000-2700-000046000000}" name="Column70" dataDxfId="4208"/>
    <tableColumn id="71" xr3:uid="{00000000-0010-0000-2700-000047000000}" name="Column71" dataDxfId="4207"/>
    <tableColumn id="72" xr3:uid="{00000000-0010-0000-2700-000048000000}" name="Column72" dataDxfId="4206"/>
    <tableColumn id="73" xr3:uid="{00000000-0010-0000-2700-000049000000}" name="Column73" dataDxfId="4205"/>
    <tableColumn id="74" xr3:uid="{00000000-0010-0000-2700-00004A000000}" name="Column74" dataDxfId="4204"/>
    <tableColumn id="75" xr3:uid="{00000000-0010-0000-2700-00004B000000}" name="Column75" dataDxfId="4203"/>
    <tableColumn id="76" xr3:uid="{00000000-0010-0000-2700-00004C000000}" name="Column76" dataDxfId="4202"/>
    <tableColumn id="77" xr3:uid="{00000000-0010-0000-2700-00004D000000}" name="Column77" dataDxfId="4201"/>
    <tableColumn id="78" xr3:uid="{00000000-0010-0000-2700-00004E000000}" name="Column78" dataDxfId="4200"/>
    <tableColumn id="79" xr3:uid="{00000000-0010-0000-2700-00004F000000}" name="Column79" dataDxfId="4199"/>
    <tableColumn id="80" xr3:uid="{00000000-0010-0000-2700-000050000000}" name="Column80" dataDxfId="4198"/>
    <tableColumn id="81" xr3:uid="{00000000-0010-0000-2700-000051000000}" name="Column81" dataDxfId="4197"/>
    <tableColumn id="82" xr3:uid="{00000000-0010-0000-2700-000052000000}" name="Column82" dataDxfId="4196"/>
    <tableColumn id="83" xr3:uid="{00000000-0010-0000-2700-000053000000}" name="Column83" dataDxfId="4195"/>
    <tableColumn id="84" xr3:uid="{00000000-0010-0000-2700-000054000000}" name="Column84" dataDxfId="4194"/>
    <tableColumn id="85" xr3:uid="{00000000-0010-0000-2700-000055000000}" name="Column85" dataDxfId="4193"/>
    <tableColumn id="86" xr3:uid="{00000000-0010-0000-2700-000056000000}" name="Column86" dataDxfId="4192"/>
    <tableColumn id="87" xr3:uid="{00000000-0010-0000-2700-000057000000}" name="Column87" dataDxfId="4191"/>
    <tableColumn id="88" xr3:uid="{00000000-0010-0000-2700-000058000000}" name="Column88" dataDxfId="4190"/>
    <tableColumn id="89" xr3:uid="{00000000-0010-0000-2700-000059000000}" name="Column89" dataDxfId="4189"/>
    <tableColumn id="90" xr3:uid="{00000000-0010-0000-2700-00005A000000}" name="Column90" dataDxfId="4188"/>
    <tableColumn id="91" xr3:uid="{00000000-0010-0000-2700-00005B000000}" name="Column91" dataDxfId="4187"/>
    <tableColumn id="92" xr3:uid="{00000000-0010-0000-2700-00005C000000}" name="Column92" dataDxfId="4186"/>
    <tableColumn id="93" xr3:uid="{00000000-0010-0000-2700-00005D000000}" name="Column93" dataDxfId="4185"/>
    <tableColumn id="94" xr3:uid="{00000000-0010-0000-2700-00005E000000}" name="Column94" dataDxfId="4184"/>
    <tableColumn id="95" xr3:uid="{00000000-0010-0000-2700-00005F000000}" name="Column95" dataDxfId="4183"/>
    <tableColumn id="96" xr3:uid="{00000000-0010-0000-2700-000060000000}" name="Column96" dataDxfId="4182"/>
    <tableColumn id="97" xr3:uid="{00000000-0010-0000-2700-000061000000}" name="Column97" dataDxfId="4181"/>
    <tableColumn id="98" xr3:uid="{00000000-0010-0000-2700-000062000000}" name="Column98" dataDxfId="4180"/>
    <tableColumn id="99" xr3:uid="{00000000-0010-0000-2700-000063000000}" name="Column99" dataDxfId="4179"/>
    <tableColumn id="100" xr3:uid="{00000000-0010-0000-2700-000064000000}" name="Column100" dataDxfId="4178"/>
    <tableColumn id="101" xr3:uid="{00000000-0010-0000-2700-000065000000}" name="Column101" dataDxfId="4177"/>
    <tableColumn id="102" xr3:uid="{00000000-0010-0000-2700-000066000000}" name="Column102" dataDxfId="4176"/>
    <tableColumn id="103" xr3:uid="{00000000-0010-0000-2700-000067000000}" name="Column103" dataDxfId="4175"/>
    <tableColumn id="104" xr3:uid="{00000000-0010-0000-2700-000068000000}" name="Column104" dataDxfId="4174"/>
    <tableColumn id="105" xr3:uid="{00000000-0010-0000-2700-000069000000}" name="Column105" dataDxfId="4173"/>
    <tableColumn id="106" xr3:uid="{00000000-0010-0000-2700-00006A000000}" name="Column106" dataDxfId="4172"/>
    <tableColumn id="107" xr3:uid="{00000000-0010-0000-2700-00006B000000}" name="Column107" dataDxfId="4171"/>
    <tableColumn id="108" xr3:uid="{00000000-0010-0000-2700-00006C000000}" name="Column108" dataDxfId="4170"/>
    <tableColumn id="109" xr3:uid="{00000000-0010-0000-2700-00006D000000}" name="Column109" dataDxfId="4169"/>
    <tableColumn id="110" xr3:uid="{00000000-0010-0000-2700-00006E000000}" name="Column110" dataDxfId="4168"/>
    <tableColumn id="111" xr3:uid="{00000000-0010-0000-2700-00006F000000}" name="Column111" dataDxfId="4167"/>
    <tableColumn id="112" xr3:uid="{00000000-0010-0000-2700-000070000000}" name="Column112" dataDxfId="4166"/>
    <tableColumn id="113" xr3:uid="{00000000-0010-0000-2700-000071000000}" name="Column113" dataDxfId="4165"/>
    <tableColumn id="114" xr3:uid="{00000000-0010-0000-2700-000072000000}" name="Column114" dataDxfId="4164"/>
    <tableColumn id="115" xr3:uid="{00000000-0010-0000-2700-000073000000}" name="Column115" dataDxfId="4163"/>
    <tableColumn id="116" xr3:uid="{00000000-0010-0000-2700-000074000000}" name="Column116" dataDxfId="4162"/>
    <tableColumn id="117" xr3:uid="{00000000-0010-0000-2700-000075000000}" name="Column117" dataDxfId="4161"/>
    <tableColumn id="118" xr3:uid="{00000000-0010-0000-2700-000076000000}" name="Column118" dataDxfId="4160"/>
    <tableColumn id="119" xr3:uid="{00000000-0010-0000-2700-000077000000}" name="Column119" dataDxfId="4159"/>
    <tableColumn id="120" xr3:uid="{00000000-0010-0000-2700-000078000000}" name="Column120" dataDxfId="4158"/>
    <tableColumn id="121" xr3:uid="{00000000-0010-0000-2700-000079000000}" name="Column121" dataDxfId="4157"/>
    <tableColumn id="122" xr3:uid="{00000000-0010-0000-2700-00007A000000}" name="Column122" dataDxfId="4156"/>
    <tableColumn id="123" xr3:uid="{00000000-0010-0000-2700-00007B000000}" name="Column123" dataDxfId="4155"/>
    <tableColumn id="124" xr3:uid="{00000000-0010-0000-2700-00007C000000}" name="Column124" dataDxfId="4154"/>
    <tableColumn id="125" xr3:uid="{00000000-0010-0000-2700-00007D000000}" name="Column125" dataDxfId="4153"/>
    <tableColumn id="126" xr3:uid="{00000000-0010-0000-2700-00007E000000}" name="Column126" dataDxfId="4152"/>
    <tableColumn id="127" xr3:uid="{00000000-0010-0000-2700-00007F000000}" name="Column127" dataDxfId="4151"/>
    <tableColumn id="128" xr3:uid="{00000000-0010-0000-2700-000080000000}" name="Column128" dataDxfId="4150"/>
    <tableColumn id="129" xr3:uid="{00000000-0010-0000-2700-000081000000}" name="Column129" dataDxfId="4149"/>
    <tableColumn id="130" xr3:uid="{00000000-0010-0000-2700-000082000000}" name="Column130" dataDxfId="4148"/>
    <tableColumn id="131" xr3:uid="{00000000-0010-0000-2700-000083000000}" name="Column131" dataDxfId="4147"/>
    <tableColumn id="132" xr3:uid="{00000000-0010-0000-2700-000084000000}" name="Column132" dataDxfId="4146"/>
    <tableColumn id="133" xr3:uid="{00000000-0010-0000-2700-000085000000}" name="Column133" dataDxfId="4145"/>
    <tableColumn id="134" xr3:uid="{00000000-0010-0000-2700-000086000000}" name="Column134" dataDxfId="4144"/>
    <tableColumn id="135" xr3:uid="{00000000-0010-0000-2700-000087000000}" name="Column135" dataDxfId="4143"/>
    <tableColumn id="136" xr3:uid="{00000000-0010-0000-2700-000088000000}" name="Column136" dataDxfId="4142"/>
    <tableColumn id="137" xr3:uid="{00000000-0010-0000-2700-000089000000}" name="Column137" dataDxfId="4141"/>
    <tableColumn id="138" xr3:uid="{00000000-0010-0000-2700-00008A000000}" name="Column138" dataDxfId="4140"/>
    <tableColumn id="139" xr3:uid="{00000000-0010-0000-2700-00008B000000}" name="Column139" dataDxfId="4139"/>
    <tableColumn id="140" xr3:uid="{00000000-0010-0000-2700-00008C000000}" name="Column140" dataDxfId="4138"/>
    <tableColumn id="141" xr3:uid="{00000000-0010-0000-2700-00008D000000}" name="Column141" dataDxfId="4137"/>
    <tableColumn id="142" xr3:uid="{00000000-0010-0000-2700-00008E000000}" name="Column142" dataDxfId="4136"/>
    <tableColumn id="143" xr3:uid="{00000000-0010-0000-2700-00008F000000}" name="Column143" dataDxfId="4135"/>
    <tableColumn id="144" xr3:uid="{00000000-0010-0000-2700-000090000000}" name="Column144" dataDxfId="4134"/>
    <tableColumn id="145" xr3:uid="{00000000-0010-0000-2700-000091000000}" name="Column145" dataDxfId="4133"/>
    <tableColumn id="146" xr3:uid="{00000000-0010-0000-2700-000092000000}" name="Column146" dataDxfId="4132"/>
    <tableColumn id="147" xr3:uid="{00000000-0010-0000-2700-000093000000}" name="Column147" dataDxfId="4131"/>
    <tableColumn id="148" xr3:uid="{00000000-0010-0000-2700-000094000000}" name="Column148" dataDxfId="4130"/>
    <tableColumn id="149" xr3:uid="{00000000-0010-0000-2700-000095000000}" name="Column149" dataDxfId="4129"/>
    <tableColumn id="150" xr3:uid="{00000000-0010-0000-2700-000096000000}" name="Column150" dataDxfId="4128"/>
    <tableColumn id="151" xr3:uid="{00000000-0010-0000-2700-000097000000}" name="Column151" dataDxfId="4127"/>
    <tableColumn id="152" xr3:uid="{00000000-0010-0000-2700-000098000000}" name="Column152" dataDxfId="4126"/>
    <tableColumn id="153" xr3:uid="{00000000-0010-0000-2700-000099000000}" name="Column153" dataDxfId="4125"/>
    <tableColumn id="154" xr3:uid="{00000000-0010-0000-2700-00009A000000}" name="Column154" dataDxfId="4124"/>
    <tableColumn id="155" xr3:uid="{00000000-0010-0000-2700-00009B000000}" name="Column155" dataDxfId="4123"/>
    <tableColumn id="156" xr3:uid="{00000000-0010-0000-2700-00009C000000}" name="Column156" dataDxfId="4122"/>
    <tableColumn id="157" xr3:uid="{00000000-0010-0000-2700-00009D000000}" name="Column157" dataDxfId="4121"/>
    <tableColumn id="158" xr3:uid="{00000000-0010-0000-2700-00009E000000}" name="Column158" dataDxfId="4120"/>
    <tableColumn id="159" xr3:uid="{00000000-0010-0000-2700-00009F000000}" name="Column159" dataDxfId="4119"/>
    <tableColumn id="160" xr3:uid="{00000000-0010-0000-2700-0000A0000000}" name="Column160" dataDxfId="4118"/>
    <tableColumn id="161" xr3:uid="{00000000-0010-0000-2700-0000A1000000}" name="Column161" dataDxfId="4117"/>
    <tableColumn id="162" xr3:uid="{00000000-0010-0000-2700-0000A2000000}" name="Column162" dataDxfId="4116"/>
    <tableColumn id="163" xr3:uid="{00000000-0010-0000-2700-0000A3000000}" name="Column163" dataDxfId="4115"/>
    <tableColumn id="164" xr3:uid="{00000000-0010-0000-2700-0000A4000000}" name="Column164" dataDxfId="4114"/>
    <tableColumn id="165" xr3:uid="{00000000-0010-0000-2700-0000A5000000}" name="Column165" dataDxfId="4113"/>
    <tableColumn id="166" xr3:uid="{00000000-0010-0000-2700-0000A6000000}" name="Column166" dataDxfId="4112"/>
    <tableColumn id="167" xr3:uid="{00000000-0010-0000-2700-0000A7000000}" name="Column167" dataDxfId="4111"/>
    <tableColumn id="168" xr3:uid="{00000000-0010-0000-2700-0000A8000000}" name="Column168" dataDxfId="4110"/>
    <tableColumn id="169" xr3:uid="{00000000-0010-0000-2700-0000A9000000}" name="Column169" dataDxfId="4109"/>
    <tableColumn id="170" xr3:uid="{00000000-0010-0000-2700-0000AA000000}" name="Column170" dataDxfId="4108"/>
    <tableColumn id="171" xr3:uid="{00000000-0010-0000-2700-0000AB000000}" name="Column171" dataDxfId="4107"/>
    <tableColumn id="172" xr3:uid="{00000000-0010-0000-2700-0000AC000000}" name="Column172" dataDxfId="4106"/>
    <tableColumn id="173" xr3:uid="{00000000-0010-0000-2700-0000AD000000}" name="Column173" dataDxfId="4105"/>
    <tableColumn id="174" xr3:uid="{00000000-0010-0000-2700-0000AE000000}" name="Column174" dataDxfId="4104"/>
    <tableColumn id="175" xr3:uid="{00000000-0010-0000-2700-0000AF000000}" name="Column175" dataDxfId="4103"/>
    <tableColumn id="176" xr3:uid="{00000000-0010-0000-2700-0000B0000000}" name="Column176" dataDxfId="4102"/>
    <tableColumn id="177" xr3:uid="{00000000-0010-0000-2700-0000B1000000}" name="Column177" dataDxfId="4101"/>
    <tableColumn id="178" xr3:uid="{00000000-0010-0000-2700-0000B2000000}" name="Column178" dataDxfId="4100"/>
    <tableColumn id="179" xr3:uid="{00000000-0010-0000-2700-0000B3000000}" name="Column179" dataDxfId="4099"/>
    <tableColumn id="180" xr3:uid="{00000000-0010-0000-2700-0000B4000000}" name="Column180" dataDxfId="4098"/>
    <tableColumn id="181" xr3:uid="{00000000-0010-0000-2700-0000B5000000}" name="Column181" dataDxfId="4097"/>
    <tableColumn id="182" xr3:uid="{00000000-0010-0000-2700-0000B6000000}" name="Column182" dataDxfId="4096"/>
    <tableColumn id="183" xr3:uid="{00000000-0010-0000-2700-0000B7000000}" name="Column183" dataDxfId="4095"/>
    <tableColumn id="184" xr3:uid="{00000000-0010-0000-2700-0000B8000000}" name="Column184" dataDxfId="4094"/>
    <tableColumn id="185" xr3:uid="{00000000-0010-0000-2700-0000B9000000}" name="Column185" dataDxfId="4093"/>
    <tableColumn id="186" xr3:uid="{00000000-0010-0000-2700-0000BA000000}" name="Column186" dataDxfId="4092"/>
    <tableColumn id="187" xr3:uid="{00000000-0010-0000-2700-0000BB000000}" name="Column187" dataDxfId="4091"/>
    <tableColumn id="188" xr3:uid="{00000000-0010-0000-2700-0000BC000000}" name="Column188" dataDxfId="4090"/>
    <tableColumn id="189" xr3:uid="{00000000-0010-0000-2700-0000BD000000}" name="Column189" dataDxfId="4089"/>
    <tableColumn id="190" xr3:uid="{00000000-0010-0000-2700-0000BE000000}" name="Column190" dataDxfId="4088"/>
    <tableColumn id="191" xr3:uid="{00000000-0010-0000-2700-0000BF000000}" name="Column191" dataDxfId="4087"/>
    <tableColumn id="192" xr3:uid="{00000000-0010-0000-2700-0000C0000000}" name="Column192" dataDxfId="4086"/>
    <tableColumn id="193" xr3:uid="{00000000-0010-0000-2700-0000C1000000}" name="Column193" dataDxfId="4085"/>
    <tableColumn id="194" xr3:uid="{00000000-0010-0000-2700-0000C2000000}" name="Column194" dataDxfId="4084"/>
    <tableColumn id="195" xr3:uid="{00000000-0010-0000-2700-0000C3000000}" name="Column195" dataDxfId="4083"/>
    <tableColumn id="196" xr3:uid="{00000000-0010-0000-2700-0000C4000000}" name="Column196" dataDxfId="4082"/>
    <tableColumn id="197" xr3:uid="{00000000-0010-0000-2700-0000C5000000}" name="Column197" dataDxfId="4081"/>
    <tableColumn id="198" xr3:uid="{00000000-0010-0000-2700-0000C6000000}" name="Column198" dataDxfId="4080"/>
    <tableColumn id="199" xr3:uid="{00000000-0010-0000-2700-0000C7000000}" name="Column199" dataDxfId="4079"/>
    <tableColumn id="200" xr3:uid="{00000000-0010-0000-2700-0000C8000000}" name="Column200" dataDxfId="4078"/>
    <tableColumn id="201" xr3:uid="{00000000-0010-0000-2700-0000C9000000}" name="Column201" dataDxfId="4077"/>
    <tableColumn id="202" xr3:uid="{00000000-0010-0000-2700-0000CA000000}" name="Column202" dataDxfId="4076"/>
    <tableColumn id="203" xr3:uid="{00000000-0010-0000-2700-0000CB000000}" name="Column203" dataDxfId="4075"/>
    <tableColumn id="204" xr3:uid="{00000000-0010-0000-2700-0000CC000000}" name="Column204" dataDxfId="4074"/>
    <tableColumn id="205" xr3:uid="{00000000-0010-0000-2700-0000CD000000}" name="Column205" dataDxfId="4073"/>
    <tableColumn id="206" xr3:uid="{00000000-0010-0000-2700-0000CE000000}" name="Column206" dataDxfId="4072"/>
    <tableColumn id="207" xr3:uid="{00000000-0010-0000-2700-0000CF000000}" name="Column207" dataDxfId="4071"/>
    <tableColumn id="208" xr3:uid="{00000000-0010-0000-2700-0000D0000000}" name="Column208" dataDxfId="4070"/>
    <tableColumn id="209" xr3:uid="{00000000-0010-0000-2700-0000D1000000}" name="Column209" dataDxfId="4069"/>
    <tableColumn id="210" xr3:uid="{00000000-0010-0000-2700-0000D2000000}" name="Column210" dataDxfId="4068"/>
    <tableColumn id="211" xr3:uid="{00000000-0010-0000-2700-0000D3000000}" name="Column211" dataDxfId="4067"/>
    <tableColumn id="212" xr3:uid="{00000000-0010-0000-2700-0000D4000000}" name="Column212" dataDxfId="4066"/>
    <tableColumn id="213" xr3:uid="{00000000-0010-0000-2700-0000D5000000}" name="Column213" dataDxfId="4065"/>
    <tableColumn id="214" xr3:uid="{00000000-0010-0000-2700-0000D6000000}" name="Column214" dataDxfId="4064"/>
    <tableColumn id="215" xr3:uid="{00000000-0010-0000-2700-0000D7000000}" name="Column215" dataDxfId="4063"/>
    <tableColumn id="216" xr3:uid="{00000000-0010-0000-2700-0000D8000000}" name="Column216" dataDxfId="4062"/>
    <tableColumn id="217" xr3:uid="{00000000-0010-0000-2700-0000D9000000}" name="Column217" dataDxfId="4061"/>
    <tableColumn id="218" xr3:uid="{00000000-0010-0000-2700-0000DA000000}" name="Column218" dataDxfId="4060"/>
    <tableColumn id="219" xr3:uid="{00000000-0010-0000-2700-0000DB000000}" name="Column219" dataDxfId="4059"/>
    <tableColumn id="220" xr3:uid="{00000000-0010-0000-2700-0000DC000000}" name="Column220" dataDxfId="4058"/>
    <tableColumn id="221" xr3:uid="{00000000-0010-0000-2700-0000DD000000}" name="Column221" dataDxfId="4057"/>
    <tableColumn id="222" xr3:uid="{00000000-0010-0000-2700-0000DE000000}" name="Column222" dataDxfId="4056"/>
    <tableColumn id="223" xr3:uid="{00000000-0010-0000-2700-0000DF000000}" name="Column223" dataDxfId="4055"/>
    <tableColumn id="224" xr3:uid="{00000000-0010-0000-2700-0000E0000000}" name="Column224" dataDxfId="4054"/>
    <tableColumn id="225" xr3:uid="{00000000-0010-0000-2700-0000E1000000}" name="Column225" dataDxfId="4053"/>
    <tableColumn id="226" xr3:uid="{00000000-0010-0000-2700-0000E2000000}" name="Column226" dataDxfId="4052"/>
    <tableColumn id="227" xr3:uid="{00000000-0010-0000-2700-0000E3000000}" name="Column227" dataDxfId="4051"/>
    <tableColumn id="228" xr3:uid="{00000000-0010-0000-2700-0000E4000000}" name="Column228" dataDxfId="4050"/>
    <tableColumn id="229" xr3:uid="{00000000-0010-0000-2700-0000E5000000}" name="Column229" dataDxfId="4049"/>
    <tableColumn id="230" xr3:uid="{00000000-0010-0000-2700-0000E6000000}" name="Column230" dataDxfId="4048"/>
    <tableColumn id="231" xr3:uid="{00000000-0010-0000-2700-0000E7000000}" name="Column231" dataDxfId="4047"/>
    <tableColumn id="232" xr3:uid="{00000000-0010-0000-2700-0000E8000000}" name="Column232" dataDxfId="4046"/>
    <tableColumn id="233" xr3:uid="{00000000-0010-0000-2700-0000E9000000}" name="Column233" dataDxfId="4045"/>
    <tableColumn id="234" xr3:uid="{00000000-0010-0000-2700-0000EA000000}" name="Column234" dataDxfId="4044"/>
    <tableColumn id="235" xr3:uid="{00000000-0010-0000-2700-0000EB000000}" name="Column235" dataDxfId="4043"/>
    <tableColumn id="236" xr3:uid="{00000000-0010-0000-2700-0000EC000000}" name="Column236" dataDxfId="4042"/>
    <tableColumn id="237" xr3:uid="{00000000-0010-0000-2700-0000ED000000}" name="Column237" dataDxfId="4041"/>
    <tableColumn id="238" xr3:uid="{00000000-0010-0000-2700-0000EE000000}" name="Column238" dataDxfId="4040"/>
    <tableColumn id="239" xr3:uid="{00000000-0010-0000-2700-0000EF000000}" name="Column239" dataDxfId="4039"/>
    <tableColumn id="240" xr3:uid="{00000000-0010-0000-2700-0000F0000000}" name="Column240" dataDxfId="4038"/>
    <tableColumn id="241" xr3:uid="{00000000-0010-0000-2700-0000F1000000}" name="Column241" dataDxfId="4037"/>
    <tableColumn id="242" xr3:uid="{00000000-0010-0000-2700-0000F2000000}" name="Column242" dataDxfId="4036"/>
    <tableColumn id="243" xr3:uid="{00000000-0010-0000-2700-0000F3000000}" name="Column243" dataDxfId="4035"/>
    <tableColumn id="244" xr3:uid="{00000000-0010-0000-2700-0000F4000000}" name="Column244" dataDxfId="4034"/>
    <tableColumn id="245" xr3:uid="{00000000-0010-0000-2700-0000F5000000}" name="Column245" dataDxfId="4033"/>
    <tableColumn id="246" xr3:uid="{00000000-0010-0000-2700-0000F6000000}" name="Column246" dataDxfId="4032"/>
    <tableColumn id="247" xr3:uid="{00000000-0010-0000-2700-0000F7000000}" name="Column247" dataDxfId="4031"/>
    <tableColumn id="248" xr3:uid="{00000000-0010-0000-2700-0000F8000000}" name="Column248" dataDxfId="4030"/>
    <tableColumn id="249" xr3:uid="{00000000-0010-0000-2700-0000F9000000}" name="Column249" dataDxfId="4029"/>
    <tableColumn id="250" xr3:uid="{00000000-0010-0000-2700-0000FA000000}" name="Column250" dataDxfId="4028"/>
    <tableColumn id="251" xr3:uid="{00000000-0010-0000-2700-0000FB000000}" name="Column251" dataDxfId="4027"/>
    <tableColumn id="252" xr3:uid="{00000000-0010-0000-2700-0000FC000000}" name="Column252" dataDxfId="4026"/>
    <tableColumn id="253" xr3:uid="{00000000-0010-0000-2700-0000FD000000}" name="Column253" dataDxfId="4025"/>
    <tableColumn id="254" xr3:uid="{00000000-0010-0000-2700-0000FE000000}" name="Column254" dataDxfId="4024"/>
    <tableColumn id="255" xr3:uid="{00000000-0010-0000-2700-0000FF000000}" name="Column255" dataDxfId="4023"/>
    <tableColumn id="256" xr3:uid="{00000000-0010-0000-2700-000000010000}" name="Column256" dataDxfId="4022"/>
    <tableColumn id="257" xr3:uid="{00000000-0010-0000-2700-000001010000}" name="Column257" dataDxfId="4021"/>
    <tableColumn id="258" xr3:uid="{DA75E09D-3243-4C06-81D6-8ED0A2236FBE}" name="Colonne1" dataDxfId="4020"/>
    <tableColumn id="259" xr3:uid="{7BCD179F-3540-4F66-8C22-9772B2F2652D}" name="Colonne2" dataDxfId="4019"/>
    <tableColumn id="260" xr3:uid="{318B32D2-8A89-46E0-ABB7-0B676AB31520}" name="Colonne3" dataDxfId="4018"/>
    <tableColumn id="261" xr3:uid="{4BD9360F-9AF9-4B28-903D-531665264A0F}" name="Colonne4" dataDxfId="4017"/>
    <tableColumn id="262" xr3:uid="{8D429894-40DD-42DB-983D-53C1A68A20AA}" name="Colonne5" dataDxfId="4016"/>
  </tableColumns>
  <tableStyleInfo name="New BO-style 16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_41" displayName="Table_41" ref="AB16:JZ16" headerRowCount="0" headerRowDxfId="4015" dataDxfId="4014" totalsRowDxfId="4013">
  <tableColumns count="259">
    <tableColumn id="1" xr3:uid="{00000000-0010-0000-2800-000001000000}" name="Column1" dataDxfId="4012"/>
    <tableColumn id="2" xr3:uid="{00000000-0010-0000-2800-000002000000}" name="Column2" dataDxfId="4011"/>
    <tableColumn id="3" xr3:uid="{00000000-0010-0000-2800-000003000000}" name="Column3" dataDxfId="4010"/>
    <tableColumn id="4" xr3:uid="{00000000-0010-0000-2800-000004000000}" name="Column4" dataDxfId="4009"/>
    <tableColumn id="5" xr3:uid="{00000000-0010-0000-2800-000005000000}" name="Column5" dataDxfId="4008"/>
    <tableColumn id="6" xr3:uid="{00000000-0010-0000-2800-000006000000}" name="Column6" dataDxfId="4007"/>
    <tableColumn id="7" xr3:uid="{00000000-0010-0000-2800-000007000000}" name="Column7" dataDxfId="4006"/>
    <tableColumn id="8" xr3:uid="{00000000-0010-0000-2800-000008000000}" name="Column8" dataDxfId="4005"/>
    <tableColumn id="9" xr3:uid="{00000000-0010-0000-2800-000009000000}" name="Column9" dataDxfId="4004"/>
    <tableColumn id="10" xr3:uid="{00000000-0010-0000-2800-00000A000000}" name="Column10" dataDxfId="4003"/>
    <tableColumn id="11" xr3:uid="{00000000-0010-0000-2800-00000B000000}" name="Column11" dataDxfId="4002"/>
    <tableColumn id="12" xr3:uid="{00000000-0010-0000-2800-00000C000000}" name="Column12" dataDxfId="4001"/>
    <tableColumn id="13" xr3:uid="{00000000-0010-0000-2800-00000D000000}" name="Column13" dataDxfId="4000"/>
    <tableColumn id="14" xr3:uid="{00000000-0010-0000-2800-00000E000000}" name="Column14" dataDxfId="3999"/>
    <tableColumn id="15" xr3:uid="{00000000-0010-0000-2800-00000F000000}" name="Column15" dataDxfId="3998"/>
    <tableColumn id="16" xr3:uid="{00000000-0010-0000-2800-000010000000}" name="Column16" dataDxfId="3997"/>
    <tableColumn id="17" xr3:uid="{00000000-0010-0000-2800-000011000000}" name="Column17" dataDxfId="3996"/>
    <tableColumn id="18" xr3:uid="{00000000-0010-0000-2800-000012000000}" name="Column18" dataDxfId="3995"/>
    <tableColumn id="19" xr3:uid="{00000000-0010-0000-2800-000013000000}" name="Column19" dataDxfId="3994"/>
    <tableColumn id="20" xr3:uid="{00000000-0010-0000-2800-000014000000}" name="Column20" dataDxfId="3993"/>
    <tableColumn id="21" xr3:uid="{00000000-0010-0000-2800-000015000000}" name="Column21" dataDxfId="3992"/>
    <tableColumn id="22" xr3:uid="{00000000-0010-0000-2800-000016000000}" name="Column22" dataDxfId="3991"/>
    <tableColumn id="23" xr3:uid="{00000000-0010-0000-2800-000017000000}" name="Column23" dataDxfId="3990"/>
    <tableColumn id="24" xr3:uid="{00000000-0010-0000-2800-000018000000}" name="Column24" dataDxfId="3989"/>
    <tableColumn id="25" xr3:uid="{00000000-0010-0000-2800-000019000000}" name="Column25" dataDxfId="3988"/>
    <tableColumn id="26" xr3:uid="{00000000-0010-0000-2800-00001A000000}" name="Column26" dataDxfId="3987"/>
    <tableColumn id="27" xr3:uid="{00000000-0010-0000-2800-00001B000000}" name="Column27" dataDxfId="3986"/>
    <tableColumn id="28" xr3:uid="{00000000-0010-0000-2800-00001C000000}" name="Column28" dataDxfId="3985"/>
    <tableColumn id="29" xr3:uid="{00000000-0010-0000-2800-00001D000000}" name="Column29" dataDxfId="3984"/>
    <tableColumn id="30" xr3:uid="{00000000-0010-0000-2800-00001E000000}" name="Column30" dataDxfId="3983"/>
    <tableColumn id="31" xr3:uid="{00000000-0010-0000-2800-00001F000000}" name="Column31" dataDxfId="3982"/>
    <tableColumn id="32" xr3:uid="{00000000-0010-0000-2800-000020000000}" name="Column32" dataDxfId="3981"/>
    <tableColumn id="33" xr3:uid="{00000000-0010-0000-2800-000021000000}" name="Column33" dataDxfId="3980"/>
    <tableColumn id="34" xr3:uid="{00000000-0010-0000-2800-000022000000}" name="Column34" dataDxfId="3979"/>
    <tableColumn id="35" xr3:uid="{00000000-0010-0000-2800-000023000000}" name="Column35" dataDxfId="3978"/>
    <tableColumn id="36" xr3:uid="{00000000-0010-0000-2800-000024000000}" name="Column36" dataDxfId="3977"/>
    <tableColumn id="37" xr3:uid="{00000000-0010-0000-2800-000025000000}" name="Column37" dataDxfId="3976"/>
    <tableColumn id="38" xr3:uid="{00000000-0010-0000-2800-000026000000}" name="Column38" dataDxfId="3975"/>
    <tableColumn id="39" xr3:uid="{00000000-0010-0000-2800-000027000000}" name="Column39" dataDxfId="3974"/>
    <tableColumn id="40" xr3:uid="{00000000-0010-0000-2800-000028000000}" name="Column40" dataDxfId="3973"/>
    <tableColumn id="41" xr3:uid="{00000000-0010-0000-2800-000029000000}" name="Column41" dataDxfId="3972"/>
    <tableColumn id="42" xr3:uid="{00000000-0010-0000-2800-00002A000000}" name="Column42" dataDxfId="3971"/>
    <tableColumn id="43" xr3:uid="{00000000-0010-0000-2800-00002B000000}" name="Column43" dataDxfId="3970"/>
    <tableColumn id="44" xr3:uid="{00000000-0010-0000-2800-00002C000000}" name="Column44" dataDxfId="3969"/>
    <tableColumn id="45" xr3:uid="{00000000-0010-0000-2800-00002D000000}" name="Column45" dataDxfId="3968"/>
    <tableColumn id="46" xr3:uid="{00000000-0010-0000-2800-00002E000000}" name="Column46" dataDxfId="3967"/>
    <tableColumn id="47" xr3:uid="{00000000-0010-0000-2800-00002F000000}" name="Column47" dataDxfId="3966"/>
    <tableColumn id="48" xr3:uid="{00000000-0010-0000-2800-000030000000}" name="Column48" dataDxfId="3965"/>
    <tableColumn id="49" xr3:uid="{00000000-0010-0000-2800-000031000000}" name="Column49" dataDxfId="3964"/>
    <tableColumn id="50" xr3:uid="{00000000-0010-0000-2800-000032000000}" name="Column50" dataDxfId="3963"/>
    <tableColumn id="51" xr3:uid="{00000000-0010-0000-2800-000033000000}" name="Column51" dataDxfId="3962"/>
    <tableColumn id="52" xr3:uid="{00000000-0010-0000-2800-000034000000}" name="Column52" dataDxfId="3961"/>
    <tableColumn id="53" xr3:uid="{00000000-0010-0000-2800-000035000000}" name="Column53" dataDxfId="3960"/>
    <tableColumn id="54" xr3:uid="{00000000-0010-0000-2800-000036000000}" name="Column54" dataDxfId="3959"/>
    <tableColumn id="55" xr3:uid="{00000000-0010-0000-2800-000037000000}" name="Column55" dataDxfId="3958"/>
    <tableColumn id="56" xr3:uid="{00000000-0010-0000-2800-000038000000}" name="Column56" dataDxfId="3957"/>
    <tableColumn id="57" xr3:uid="{00000000-0010-0000-2800-000039000000}" name="Column57" dataDxfId="3956"/>
    <tableColumn id="58" xr3:uid="{00000000-0010-0000-2800-00003A000000}" name="Column58" dataDxfId="3955"/>
    <tableColumn id="59" xr3:uid="{00000000-0010-0000-2800-00003B000000}" name="Column59" dataDxfId="3954"/>
    <tableColumn id="60" xr3:uid="{00000000-0010-0000-2800-00003C000000}" name="Column60" dataDxfId="3953"/>
    <tableColumn id="61" xr3:uid="{00000000-0010-0000-2800-00003D000000}" name="Column61" dataDxfId="3952"/>
    <tableColumn id="62" xr3:uid="{00000000-0010-0000-2800-00003E000000}" name="Column62" dataDxfId="3951"/>
    <tableColumn id="63" xr3:uid="{00000000-0010-0000-2800-00003F000000}" name="Column63" dataDxfId="3950"/>
    <tableColumn id="64" xr3:uid="{00000000-0010-0000-2800-000040000000}" name="Column64" dataDxfId="3949"/>
    <tableColumn id="65" xr3:uid="{00000000-0010-0000-2800-000041000000}" name="Column65" dataDxfId="3948"/>
    <tableColumn id="66" xr3:uid="{00000000-0010-0000-2800-000042000000}" name="Column66" dataDxfId="3947"/>
    <tableColumn id="67" xr3:uid="{00000000-0010-0000-2800-000043000000}" name="Column67" dataDxfId="3946"/>
    <tableColumn id="68" xr3:uid="{00000000-0010-0000-2800-000044000000}" name="Column68" dataDxfId="3945"/>
    <tableColumn id="69" xr3:uid="{00000000-0010-0000-2800-000045000000}" name="Column69" dataDxfId="3944"/>
    <tableColumn id="70" xr3:uid="{00000000-0010-0000-2800-000046000000}" name="Column70" dataDxfId="3943"/>
    <tableColumn id="71" xr3:uid="{00000000-0010-0000-2800-000047000000}" name="Column71" dataDxfId="3942"/>
    <tableColumn id="72" xr3:uid="{00000000-0010-0000-2800-000048000000}" name="Column72" dataDxfId="3941"/>
    <tableColumn id="73" xr3:uid="{00000000-0010-0000-2800-000049000000}" name="Column73" dataDxfId="3940"/>
    <tableColumn id="74" xr3:uid="{00000000-0010-0000-2800-00004A000000}" name="Column74" dataDxfId="3939"/>
    <tableColumn id="75" xr3:uid="{00000000-0010-0000-2800-00004B000000}" name="Column75" dataDxfId="3938"/>
    <tableColumn id="76" xr3:uid="{00000000-0010-0000-2800-00004C000000}" name="Column76" dataDxfId="3937"/>
    <tableColumn id="77" xr3:uid="{00000000-0010-0000-2800-00004D000000}" name="Column77" dataDxfId="3936"/>
    <tableColumn id="78" xr3:uid="{00000000-0010-0000-2800-00004E000000}" name="Column78" dataDxfId="3935"/>
    <tableColumn id="79" xr3:uid="{00000000-0010-0000-2800-00004F000000}" name="Column79" dataDxfId="3934"/>
    <tableColumn id="80" xr3:uid="{00000000-0010-0000-2800-000050000000}" name="Column80" dataDxfId="3933"/>
    <tableColumn id="81" xr3:uid="{00000000-0010-0000-2800-000051000000}" name="Column81" dataDxfId="3932"/>
    <tableColumn id="82" xr3:uid="{00000000-0010-0000-2800-000052000000}" name="Column82" dataDxfId="3931"/>
    <tableColumn id="83" xr3:uid="{00000000-0010-0000-2800-000053000000}" name="Column83" dataDxfId="3930"/>
    <tableColumn id="84" xr3:uid="{00000000-0010-0000-2800-000054000000}" name="Column84" dataDxfId="3929"/>
    <tableColumn id="85" xr3:uid="{00000000-0010-0000-2800-000055000000}" name="Column85" dataDxfId="3928"/>
    <tableColumn id="86" xr3:uid="{00000000-0010-0000-2800-000056000000}" name="Column86" dataDxfId="3927"/>
    <tableColumn id="87" xr3:uid="{00000000-0010-0000-2800-000057000000}" name="Column87" dataDxfId="3926"/>
    <tableColumn id="88" xr3:uid="{00000000-0010-0000-2800-000058000000}" name="Column88" dataDxfId="3925"/>
    <tableColumn id="89" xr3:uid="{00000000-0010-0000-2800-000059000000}" name="Column89" dataDxfId="3924"/>
    <tableColumn id="90" xr3:uid="{00000000-0010-0000-2800-00005A000000}" name="Column90" dataDxfId="3923"/>
    <tableColumn id="91" xr3:uid="{00000000-0010-0000-2800-00005B000000}" name="Column91" dataDxfId="3922"/>
    <tableColumn id="92" xr3:uid="{00000000-0010-0000-2800-00005C000000}" name="Column92" dataDxfId="3921"/>
    <tableColumn id="93" xr3:uid="{00000000-0010-0000-2800-00005D000000}" name="Column93" dataDxfId="3920"/>
    <tableColumn id="94" xr3:uid="{00000000-0010-0000-2800-00005E000000}" name="Column94" dataDxfId="3919"/>
    <tableColumn id="95" xr3:uid="{00000000-0010-0000-2800-00005F000000}" name="Column95" dataDxfId="3918"/>
    <tableColumn id="96" xr3:uid="{00000000-0010-0000-2800-000060000000}" name="Column96" dataDxfId="3917"/>
    <tableColumn id="97" xr3:uid="{00000000-0010-0000-2800-000061000000}" name="Column97" dataDxfId="3916"/>
    <tableColumn id="98" xr3:uid="{00000000-0010-0000-2800-000062000000}" name="Column98" dataDxfId="3915"/>
    <tableColumn id="99" xr3:uid="{00000000-0010-0000-2800-000063000000}" name="Column99" dataDxfId="3914"/>
    <tableColumn id="100" xr3:uid="{00000000-0010-0000-2800-000064000000}" name="Column100" dataDxfId="3913"/>
    <tableColumn id="101" xr3:uid="{00000000-0010-0000-2800-000065000000}" name="Column101" dataDxfId="3912"/>
    <tableColumn id="102" xr3:uid="{00000000-0010-0000-2800-000066000000}" name="Column102" dataDxfId="3911"/>
    <tableColumn id="103" xr3:uid="{00000000-0010-0000-2800-000067000000}" name="Column103" dataDxfId="3910"/>
    <tableColumn id="104" xr3:uid="{00000000-0010-0000-2800-000068000000}" name="Column104" dataDxfId="3909"/>
    <tableColumn id="105" xr3:uid="{00000000-0010-0000-2800-000069000000}" name="Column105" dataDxfId="3908"/>
    <tableColumn id="106" xr3:uid="{00000000-0010-0000-2800-00006A000000}" name="Column106" dataDxfId="3907"/>
    <tableColumn id="107" xr3:uid="{00000000-0010-0000-2800-00006B000000}" name="Column107" dataDxfId="3906"/>
    <tableColumn id="108" xr3:uid="{00000000-0010-0000-2800-00006C000000}" name="Column108" dataDxfId="3905"/>
    <tableColumn id="109" xr3:uid="{00000000-0010-0000-2800-00006D000000}" name="Column109" dataDxfId="3904"/>
    <tableColumn id="110" xr3:uid="{00000000-0010-0000-2800-00006E000000}" name="Column110" dataDxfId="3903"/>
    <tableColumn id="111" xr3:uid="{00000000-0010-0000-2800-00006F000000}" name="Column111" dataDxfId="3902"/>
    <tableColumn id="112" xr3:uid="{00000000-0010-0000-2800-000070000000}" name="Column112" dataDxfId="3901"/>
    <tableColumn id="113" xr3:uid="{00000000-0010-0000-2800-000071000000}" name="Column113" dataDxfId="3900"/>
    <tableColumn id="114" xr3:uid="{00000000-0010-0000-2800-000072000000}" name="Column114" dataDxfId="3899"/>
    <tableColumn id="115" xr3:uid="{00000000-0010-0000-2800-000073000000}" name="Column115" dataDxfId="3898"/>
    <tableColumn id="116" xr3:uid="{00000000-0010-0000-2800-000074000000}" name="Column116" dataDxfId="3897"/>
    <tableColumn id="117" xr3:uid="{00000000-0010-0000-2800-000075000000}" name="Column117" dataDxfId="3896"/>
    <tableColumn id="118" xr3:uid="{00000000-0010-0000-2800-000076000000}" name="Column118" dataDxfId="3895"/>
    <tableColumn id="119" xr3:uid="{00000000-0010-0000-2800-000077000000}" name="Column119" dataDxfId="3894"/>
    <tableColumn id="120" xr3:uid="{00000000-0010-0000-2800-000078000000}" name="Column120" dataDxfId="3893"/>
    <tableColumn id="121" xr3:uid="{00000000-0010-0000-2800-000079000000}" name="Column121" dataDxfId="3892"/>
    <tableColumn id="122" xr3:uid="{00000000-0010-0000-2800-00007A000000}" name="Column122" dataDxfId="3891"/>
    <tableColumn id="123" xr3:uid="{00000000-0010-0000-2800-00007B000000}" name="Column123" dataDxfId="3890"/>
    <tableColumn id="124" xr3:uid="{00000000-0010-0000-2800-00007C000000}" name="Column124" dataDxfId="3889"/>
    <tableColumn id="125" xr3:uid="{00000000-0010-0000-2800-00007D000000}" name="Column125" dataDxfId="3888"/>
    <tableColumn id="126" xr3:uid="{00000000-0010-0000-2800-00007E000000}" name="Column126" dataDxfId="3887"/>
    <tableColumn id="127" xr3:uid="{00000000-0010-0000-2800-00007F000000}" name="Column127" dataDxfId="3886"/>
    <tableColumn id="128" xr3:uid="{00000000-0010-0000-2800-000080000000}" name="Column128" dataDxfId="3885"/>
    <tableColumn id="129" xr3:uid="{00000000-0010-0000-2800-000081000000}" name="Column129" dataDxfId="3884"/>
    <tableColumn id="130" xr3:uid="{00000000-0010-0000-2800-000082000000}" name="Column130" dataDxfId="3883"/>
    <tableColumn id="131" xr3:uid="{00000000-0010-0000-2800-000083000000}" name="Column131" dataDxfId="3882"/>
    <tableColumn id="132" xr3:uid="{00000000-0010-0000-2800-000084000000}" name="Column132" dataDxfId="3881"/>
    <tableColumn id="133" xr3:uid="{00000000-0010-0000-2800-000085000000}" name="Column133" dataDxfId="3880"/>
    <tableColumn id="134" xr3:uid="{00000000-0010-0000-2800-000086000000}" name="Column134" dataDxfId="3879"/>
    <tableColumn id="135" xr3:uid="{00000000-0010-0000-2800-000087000000}" name="Column135" dataDxfId="3878"/>
    <tableColumn id="136" xr3:uid="{00000000-0010-0000-2800-000088000000}" name="Column136" dataDxfId="3877"/>
    <tableColumn id="137" xr3:uid="{00000000-0010-0000-2800-000089000000}" name="Column137" dataDxfId="3876"/>
    <tableColumn id="138" xr3:uid="{00000000-0010-0000-2800-00008A000000}" name="Column138" dataDxfId="3875"/>
    <tableColumn id="139" xr3:uid="{00000000-0010-0000-2800-00008B000000}" name="Column139" dataDxfId="3874"/>
    <tableColumn id="140" xr3:uid="{00000000-0010-0000-2800-00008C000000}" name="Column140" dataDxfId="3873"/>
    <tableColumn id="141" xr3:uid="{00000000-0010-0000-2800-00008D000000}" name="Column141" dataDxfId="3872"/>
    <tableColumn id="142" xr3:uid="{00000000-0010-0000-2800-00008E000000}" name="Column142" dataDxfId="3871"/>
    <tableColumn id="143" xr3:uid="{00000000-0010-0000-2800-00008F000000}" name="Column143" dataDxfId="3870"/>
    <tableColumn id="144" xr3:uid="{00000000-0010-0000-2800-000090000000}" name="Column144" dataDxfId="3869"/>
    <tableColumn id="145" xr3:uid="{00000000-0010-0000-2800-000091000000}" name="Column145" dataDxfId="3868"/>
    <tableColumn id="146" xr3:uid="{00000000-0010-0000-2800-000092000000}" name="Column146" dataDxfId="3867"/>
    <tableColumn id="147" xr3:uid="{00000000-0010-0000-2800-000093000000}" name="Column147" dataDxfId="3866"/>
    <tableColumn id="148" xr3:uid="{00000000-0010-0000-2800-000094000000}" name="Column148" dataDxfId="3865"/>
    <tableColumn id="149" xr3:uid="{00000000-0010-0000-2800-000095000000}" name="Column149" dataDxfId="3864"/>
    <tableColumn id="150" xr3:uid="{00000000-0010-0000-2800-000096000000}" name="Column150" dataDxfId="3863"/>
    <tableColumn id="151" xr3:uid="{00000000-0010-0000-2800-000097000000}" name="Column151" dataDxfId="3862"/>
    <tableColumn id="152" xr3:uid="{00000000-0010-0000-2800-000098000000}" name="Column152" dataDxfId="3861"/>
    <tableColumn id="153" xr3:uid="{00000000-0010-0000-2800-000099000000}" name="Column153" dataDxfId="3860"/>
    <tableColumn id="154" xr3:uid="{00000000-0010-0000-2800-00009A000000}" name="Column154" dataDxfId="3859"/>
    <tableColumn id="155" xr3:uid="{00000000-0010-0000-2800-00009B000000}" name="Column155" dataDxfId="3858"/>
    <tableColumn id="156" xr3:uid="{00000000-0010-0000-2800-00009C000000}" name="Column156" dataDxfId="3857"/>
    <tableColumn id="157" xr3:uid="{00000000-0010-0000-2800-00009D000000}" name="Column157" dataDxfId="3856"/>
    <tableColumn id="158" xr3:uid="{00000000-0010-0000-2800-00009E000000}" name="Column158" dataDxfId="3855"/>
    <tableColumn id="159" xr3:uid="{00000000-0010-0000-2800-00009F000000}" name="Column159" dataDxfId="3854"/>
    <tableColumn id="160" xr3:uid="{00000000-0010-0000-2800-0000A0000000}" name="Column160" dataDxfId="3853"/>
    <tableColumn id="161" xr3:uid="{00000000-0010-0000-2800-0000A1000000}" name="Column161" dataDxfId="3852"/>
    <tableColumn id="162" xr3:uid="{00000000-0010-0000-2800-0000A2000000}" name="Column162" dataDxfId="3851"/>
    <tableColumn id="163" xr3:uid="{00000000-0010-0000-2800-0000A3000000}" name="Column163" dataDxfId="3850"/>
    <tableColumn id="164" xr3:uid="{00000000-0010-0000-2800-0000A4000000}" name="Column164" dataDxfId="3849"/>
    <tableColumn id="165" xr3:uid="{00000000-0010-0000-2800-0000A5000000}" name="Column165" dataDxfId="3848"/>
    <tableColumn id="166" xr3:uid="{00000000-0010-0000-2800-0000A6000000}" name="Column166" dataDxfId="3847"/>
    <tableColumn id="167" xr3:uid="{00000000-0010-0000-2800-0000A7000000}" name="Column167" dataDxfId="3846"/>
    <tableColumn id="168" xr3:uid="{00000000-0010-0000-2800-0000A8000000}" name="Column168" dataDxfId="3845"/>
    <tableColumn id="169" xr3:uid="{00000000-0010-0000-2800-0000A9000000}" name="Column169" dataDxfId="3844"/>
    <tableColumn id="170" xr3:uid="{00000000-0010-0000-2800-0000AA000000}" name="Column170" dataDxfId="3843"/>
    <tableColumn id="171" xr3:uid="{00000000-0010-0000-2800-0000AB000000}" name="Column171" dataDxfId="3842"/>
    <tableColumn id="172" xr3:uid="{00000000-0010-0000-2800-0000AC000000}" name="Column172" dataDxfId="3841"/>
    <tableColumn id="173" xr3:uid="{00000000-0010-0000-2800-0000AD000000}" name="Column173" dataDxfId="3840"/>
    <tableColumn id="174" xr3:uid="{00000000-0010-0000-2800-0000AE000000}" name="Column174" dataDxfId="3839"/>
    <tableColumn id="175" xr3:uid="{00000000-0010-0000-2800-0000AF000000}" name="Column175" dataDxfId="3838"/>
    <tableColumn id="176" xr3:uid="{00000000-0010-0000-2800-0000B0000000}" name="Column176" dataDxfId="3837"/>
    <tableColumn id="177" xr3:uid="{00000000-0010-0000-2800-0000B1000000}" name="Column177" dataDxfId="3836"/>
    <tableColumn id="178" xr3:uid="{00000000-0010-0000-2800-0000B2000000}" name="Column178" dataDxfId="3835"/>
    <tableColumn id="179" xr3:uid="{00000000-0010-0000-2800-0000B3000000}" name="Column179" dataDxfId="3834"/>
    <tableColumn id="180" xr3:uid="{00000000-0010-0000-2800-0000B4000000}" name="Column180" dataDxfId="3833"/>
    <tableColumn id="181" xr3:uid="{00000000-0010-0000-2800-0000B5000000}" name="Column181" dataDxfId="3832"/>
    <tableColumn id="182" xr3:uid="{00000000-0010-0000-2800-0000B6000000}" name="Column182" dataDxfId="3831"/>
    <tableColumn id="183" xr3:uid="{00000000-0010-0000-2800-0000B7000000}" name="Column183" dataDxfId="3830"/>
    <tableColumn id="184" xr3:uid="{00000000-0010-0000-2800-0000B8000000}" name="Column184" dataDxfId="3829"/>
    <tableColumn id="185" xr3:uid="{00000000-0010-0000-2800-0000B9000000}" name="Column185" dataDxfId="3828"/>
    <tableColumn id="186" xr3:uid="{00000000-0010-0000-2800-0000BA000000}" name="Column186" dataDxfId="3827"/>
    <tableColumn id="187" xr3:uid="{00000000-0010-0000-2800-0000BB000000}" name="Column187" dataDxfId="3826"/>
    <tableColumn id="188" xr3:uid="{00000000-0010-0000-2800-0000BC000000}" name="Column188" dataDxfId="3825"/>
    <tableColumn id="189" xr3:uid="{00000000-0010-0000-2800-0000BD000000}" name="Column189" dataDxfId="3824"/>
    <tableColumn id="190" xr3:uid="{00000000-0010-0000-2800-0000BE000000}" name="Column190" dataDxfId="3823"/>
    <tableColumn id="191" xr3:uid="{00000000-0010-0000-2800-0000BF000000}" name="Column191" dataDxfId="3822"/>
    <tableColumn id="192" xr3:uid="{00000000-0010-0000-2800-0000C0000000}" name="Column192" dataDxfId="3821"/>
    <tableColumn id="193" xr3:uid="{00000000-0010-0000-2800-0000C1000000}" name="Column193" dataDxfId="3820"/>
    <tableColumn id="194" xr3:uid="{00000000-0010-0000-2800-0000C2000000}" name="Column194" dataDxfId="3819"/>
    <tableColumn id="195" xr3:uid="{00000000-0010-0000-2800-0000C3000000}" name="Column195" dataDxfId="3818"/>
    <tableColumn id="196" xr3:uid="{00000000-0010-0000-2800-0000C4000000}" name="Column196" dataDxfId="3817"/>
    <tableColumn id="197" xr3:uid="{00000000-0010-0000-2800-0000C5000000}" name="Column197" dataDxfId="3816"/>
    <tableColumn id="198" xr3:uid="{00000000-0010-0000-2800-0000C6000000}" name="Column198" dataDxfId="3815"/>
    <tableColumn id="199" xr3:uid="{00000000-0010-0000-2800-0000C7000000}" name="Column199" dataDxfId="3814"/>
    <tableColumn id="200" xr3:uid="{00000000-0010-0000-2800-0000C8000000}" name="Column200" dataDxfId="3813"/>
    <tableColumn id="201" xr3:uid="{00000000-0010-0000-2800-0000C9000000}" name="Column201" dataDxfId="3812"/>
    <tableColumn id="202" xr3:uid="{00000000-0010-0000-2800-0000CA000000}" name="Column202" dataDxfId="3811"/>
    <tableColumn id="203" xr3:uid="{00000000-0010-0000-2800-0000CB000000}" name="Column203" dataDxfId="3810"/>
    <tableColumn id="204" xr3:uid="{00000000-0010-0000-2800-0000CC000000}" name="Column204" dataDxfId="3809"/>
    <tableColumn id="205" xr3:uid="{00000000-0010-0000-2800-0000CD000000}" name="Column205" dataDxfId="3808"/>
    <tableColumn id="206" xr3:uid="{00000000-0010-0000-2800-0000CE000000}" name="Column206" dataDxfId="3807"/>
    <tableColumn id="207" xr3:uid="{00000000-0010-0000-2800-0000CF000000}" name="Column207" dataDxfId="3806"/>
    <tableColumn id="208" xr3:uid="{00000000-0010-0000-2800-0000D0000000}" name="Column208" dataDxfId="3805"/>
    <tableColumn id="209" xr3:uid="{00000000-0010-0000-2800-0000D1000000}" name="Column209" dataDxfId="3804"/>
    <tableColumn id="210" xr3:uid="{00000000-0010-0000-2800-0000D2000000}" name="Column210" dataDxfId="3803"/>
    <tableColumn id="211" xr3:uid="{00000000-0010-0000-2800-0000D3000000}" name="Column211" dataDxfId="3802"/>
    <tableColumn id="212" xr3:uid="{00000000-0010-0000-2800-0000D4000000}" name="Column212" dataDxfId="3801"/>
    <tableColumn id="213" xr3:uid="{00000000-0010-0000-2800-0000D5000000}" name="Column213" dataDxfId="3800"/>
    <tableColumn id="214" xr3:uid="{00000000-0010-0000-2800-0000D6000000}" name="Column214" dataDxfId="3799"/>
    <tableColumn id="215" xr3:uid="{00000000-0010-0000-2800-0000D7000000}" name="Column215" dataDxfId="3798"/>
    <tableColumn id="216" xr3:uid="{00000000-0010-0000-2800-0000D8000000}" name="Column216" dataDxfId="3797"/>
    <tableColumn id="217" xr3:uid="{00000000-0010-0000-2800-0000D9000000}" name="Column217" dataDxfId="3796"/>
    <tableColumn id="218" xr3:uid="{00000000-0010-0000-2800-0000DA000000}" name="Column218" dataDxfId="3795"/>
    <tableColumn id="219" xr3:uid="{00000000-0010-0000-2800-0000DB000000}" name="Column219" dataDxfId="3794"/>
    <tableColumn id="220" xr3:uid="{00000000-0010-0000-2800-0000DC000000}" name="Column220" dataDxfId="3793"/>
    <tableColumn id="221" xr3:uid="{00000000-0010-0000-2800-0000DD000000}" name="Column221" dataDxfId="3792"/>
    <tableColumn id="222" xr3:uid="{00000000-0010-0000-2800-0000DE000000}" name="Column222" dataDxfId="3791"/>
    <tableColumn id="223" xr3:uid="{00000000-0010-0000-2800-0000DF000000}" name="Column223" dataDxfId="3790"/>
    <tableColumn id="224" xr3:uid="{00000000-0010-0000-2800-0000E0000000}" name="Column224" dataDxfId="3789"/>
    <tableColumn id="225" xr3:uid="{00000000-0010-0000-2800-0000E1000000}" name="Column225" dataDxfId="3788"/>
    <tableColumn id="226" xr3:uid="{00000000-0010-0000-2800-0000E2000000}" name="Column226" dataDxfId="3787"/>
    <tableColumn id="227" xr3:uid="{00000000-0010-0000-2800-0000E3000000}" name="Column227" dataDxfId="3786"/>
    <tableColumn id="228" xr3:uid="{00000000-0010-0000-2800-0000E4000000}" name="Column228" dataDxfId="3785"/>
    <tableColumn id="229" xr3:uid="{00000000-0010-0000-2800-0000E5000000}" name="Column229" dataDxfId="3784"/>
    <tableColumn id="230" xr3:uid="{00000000-0010-0000-2800-0000E6000000}" name="Column230" dataDxfId="3783"/>
    <tableColumn id="231" xr3:uid="{00000000-0010-0000-2800-0000E7000000}" name="Column231" dataDxfId="3782"/>
    <tableColumn id="232" xr3:uid="{00000000-0010-0000-2800-0000E8000000}" name="Column232" dataDxfId="3781"/>
    <tableColumn id="233" xr3:uid="{00000000-0010-0000-2800-0000E9000000}" name="Column233" dataDxfId="3780"/>
    <tableColumn id="234" xr3:uid="{00000000-0010-0000-2800-0000EA000000}" name="Column234" dataDxfId="3779"/>
    <tableColumn id="235" xr3:uid="{00000000-0010-0000-2800-0000EB000000}" name="Column235" dataDxfId="3778"/>
    <tableColumn id="236" xr3:uid="{00000000-0010-0000-2800-0000EC000000}" name="Column236" dataDxfId="3777"/>
    <tableColumn id="237" xr3:uid="{00000000-0010-0000-2800-0000ED000000}" name="Column237" dataDxfId="3776"/>
    <tableColumn id="238" xr3:uid="{00000000-0010-0000-2800-0000EE000000}" name="Column238" dataDxfId="3775"/>
    <tableColumn id="239" xr3:uid="{00000000-0010-0000-2800-0000EF000000}" name="Column239" dataDxfId="3774"/>
    <tableColumn id="240" xr3:uid="{00000000-0010-0000-2800-0000F0000000}" name="Column240" dataDxfId="3773"/>
    <tableColumn id="241" xr3:uid="{00000000-0010-0000-2800-0000F1000000}" name="Column241" dataDxfId="3772"/>
    <tableColumn id="242" xr3:uid="{00000000-0010-0000-2800-0000F2000000}" name="Column242" dataDxfId="3771"/>
    <tableColumn id="243" xr3:uid="{00000000-0010-0000-2800-0000F3000000}" name="Column243" dataDxfId="3770"/>
    <tableColumn id="244" xr3:uid="{00000000-0010-0000-2800-0000F4000000}" name="Column244" dataDxfId="3769"/>
    <tableColumn id="245" xr3:uid="{00000000-0010-0000-2800-0000F5000000}" name="Column245" dataDxfId="3768"/>
    <tableColumn id="246" xr3:uid="{00000000-0010-0000-2800-0000F6000000}" name="Column246" dataDxfId="3767"/>
    <tableColumn id="247" xr3:uid="{00000000-0010-0000-2800-0000F7000000}" name="Column247" dataDxfId="3766"/>
    <tableColumn id="248" xr3:uid="{00000000-0010-0000-2800-0000F8000000}" name="Column248" dataDxfId="3765"/>
    <tableColumn id="249" xr3:uid="{00000000-0010-0000-2800-0000F9000000}" name="Column249" dataDxfId="3764"/>
    <tableColumn id="250" xr3:uid="{00000000-0010-0000-2800-0000FA000000}" name="Column250" dataDxfId="3763"/>
    <tableColumn id="251" xr3:uid="{00000000-0010-0000-2800-0000FB000000}" name="Column251" dataDxfId="3762"/>
    <tableColumn id="252" xr3:uid="{00000000-0010-0000-2800-0000FC000000}" name="Column252" dataDxfId="3761"/>
    <tableColumn id="253" xr3:uid="{00000000-0010-0000-2800-0000FD000000}" name="Column253" dataDxfId="3760"/>
    <tableColumn id="254" xr3:uid="{00000000-0010-0000-2800-0000FE000000}" name="Column254" dataDxfId="3759"/>
    <tableColumn id="255" xr3:uid="{978045E6-AFBA-4139-9367-2CF69F74B0BE}" name="Colonne1" dataDxfId="3758"/>
    <tableColumn id="256" xr3:uid="{E297ACC0-661F-4949-BC1C-A5BA3CFA55E2}" name="Colonne2" dataDxfId="3757"/>
    <tableColumn id="257" xr3:uid="{407AB2E3-9EE2-49CC-994F-1E9B2C96932D}" name="Colonne3" dataDxfId="3756"/>
    <tableColumn id="258" xr3:uid="{DA3A0344-CA45-4A23-A572-C3359139BBA7}" name="Colonne4" dataDxfId="3755"/>
    <tableColumn id="259" xr3:uid="{17900754-7202-4279-8143-79F281DA05DD}" name="Colonne5" dataDxfId="3754"/>
  </tableColumns>
  <tableStyleInfo name="New BO-style 17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_42" displayName="Table_42" ref="BG17:BK17" headerRowCount="0" headerRowDxfId="3753" dataDxfId="3752" totalsRowDxfId="3751">
  <tableColumns count="5">
    <tableColumn id="1" xr3:uid="{00000000-0010-0000-2900-000001000000}" name="Column1" dataDxfId="3750"/>
    <tableColumn id="2" xr3:uid="{00000000-0010-0000-2900-000002000000}" name="Column2" dataDxfId="3749"/>
    <tableColumn id="3" xr3:uid="{00000000-0010-0000-2900-000003000000}" name="Column3" dataDxfId="3748"/>
    <tableColumn id="4" xr3:uid="{00000000-0010-0000-2900-000004000000}" name="Column4" dataDxfId="3747"/>
    <tableColumn id="5" xr3:uid="{00000000-0010-0000-2900-000005000000}" name="Column5" dataDxfId="3746"/>
  </tableColumns>
  <tableStyleInfo name="New BO-style 18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_43" displayName="Table_43" ref="BT17:JV17" headerRowCount="0" headerRowDxfId="3745" dataDxfId="3744" totalsRowDxfId="3743">
  <tableColumns count="211">
    <tableColumn id="1" xr3:uid="{00000000-0010-0000-2A00-000001000000}" name="Column1" dataDxfId="3742"/>
    <tableColumn id="2" xr3:uid="{00000000-0010-0000-2A00-000002000000}" name="Column2" dataDxfId="3741"/>
    <tableColumn id="3" xr3:uid="{00000000-0010-0000-2A00-000003000000}" name="Column3" dataDxfId="3740"/>
    <tableColumn id="4" xr3:uid="{00000000-0010-0000-2A00-000004000000}" name="Column4" dataDxfId="3739"/>
    <tableColumn id="5" xr3:uid="{00000000-0010-0000-2A00-000005000000}" name="Column5" dataDxfId="3738"/>
    <tableColumn id="6" xr3:uid="{00000000-0010-0000-2A00-000006000000}" name="Column6" dataDxfId="3737"/>
    <tableColumn id="7" xr3:uid="{00000000-0010-0000-2A00-000007000000}" name="Column7" dataDxfId="3736"/>
    <tableColumn id="8" xr3:uid="{00000000-0010-0000-2A00-000008000000}" name="Column8" dataDxfId="3735"/>
    <tableColumn id="9" xr3:uid="{00000000-0010-0000-2A00-000009000000}" name="Column9" dataDxfId="3734"/>
    <tableColumn id="10" xr3:uid="{00000000-0010-0000-2A00-00000A000000}" name="Column10" dataDxfId="3733"/>
    <tableColumn id="11" xr3:uid="{00000000-0010-0000-2A00-00000B000000}" name="Column11" dataDxfId="3732"/>
    <tableColumn id="12" xr3:uid="{00000000-0010-0000-2A00-00000C000000}" name="Column12" dataDxfId="3731"/>
    <tableColumn id="13" xr3:uid="{00000000-0010-0000-2A00-00000D000000}" name="Column13" dataDxfId="3730"/>
    <tableColumn id="14" xr3:uid="{00000000-0010-0000-2A00-00000E000000}" name="Column14" dataDxfId="3729"/>
    <tableColumn id="15" xr3:uid="{00000000-0010-0000-2A00-00000F000000}" name="Column15" dataDxfId="3728"/>
    <tableColumn id="16" xr3:uid="{00000000-0010-0000-2A00-000010000000}" name="Column16" dataDxfId="3727"/>
    <tableColumn id="17" xr3:uid="{00000000-0010-0000-2A00-000011000000}" name="Column17" dataDxfId="3726"/>
    <tableColumn id="18" xr3:uid="{00000000-0010-0000-2A00-000012000000}" name="Column18" dataDxfId="3725"/>
    <tableColumn id="19" xr3:uid="{00000000-0010-0000-2A00-000013000000}" name="Column19" dataDxfId="3724"/>
    <tableColumn id="20" xr3:uid="{00000000-0010-0000-2A00-000014000000}" name="Column20" dataDxfId="3723"/>
    <tableColumn id="21" xr3:uid="{00000000-0010-0000-2A00-000015000000}" name="Column21" dataDxfId="3722"/>
    <tableColumn id="22" xr3:uid="{00000000-0010-0000-2A00-000016000000}" name="Column22" dataDxfId="3721"/>
    <tableColumn id="23" xr3:uid="{00000000-0010-0000-2A00-000017000000}" name="Column23" dataDxfId="3720"/>
    <tableColumn id="24" xr3:uid="{00000000-0010-0000-2A00-000018000000}" name="Column24" dataDxfId="3719"/>
    <tableColumn id="25" xr3:uid="{00000000-0010-0000-2A00-000019000000}" name="Column25" dataDxfId="3718"/>
    <tableColumn id="26" xr3:uid="{00000000-0010-0000-2A00-00001A000000}" name="Column26" dataDxfId="3717"/>
    <tableColumn id="27" xr3:uid="{00000000-0010-0000-2A00-00001B000000}" name="Column27" dataDxfId="3716"/>
    <tableColumn id="28" xr3:uid="{00000000-0010-0000-2A00-00001C000000}" name="Column28" dataDxfId="3715"/>
    <tableColumn id="29" xr3:uid="{00000000-0010-0000-2A00-00001D000000}" name="Column29" dataDxfId="3714"/>
    <tableColumn id="30" xr3:uid="{00000000-0010-0000-2A00-00001E000000}" name="Column30" dataDxfId="3713"/>
    <tableColumn id="31" xr3:uid="{00000000-0010-0000-2A00-00001F000000}" name="Column31" dataDxfId="3712"/>
    <tableColumn id="32" xr3:uid="{00000000-0010-0000-2A00-000020000000}" name="Column32" dataDxfId="3711"/>
    <tableColumn id="33" xr3:uid="{00000000-0010-0000-2A00-000021000000}" name="Column33" dataDxfId="3710"/>
    <tableColumn id="34" xr3:uid="{00000000-0010-0000-2A00-000022000000}" name="Column34" dataDxfId="3709"/>
    <tableColumn id="35" xr3:uid="{00000000-0010-0000-2A00-000023000000}" name="Column35" dataDxfId="3708"/>
    <tableColumn id="36" xr3:uid="{00000000-0010-0000-2A00-000024000000}" name="Column36" dataDxfId="3707"/>
    <tableColumn id="37" xr3:uid="{00000000-0010-0000-2A00-000025000000}" name="Column37" dataDxfId="3706"/>
    <tableColumn id="38" xr3:uid="{00000000-0010-0000-2A00-000026000000}" name="Column38" dataDxfId="3705"/>
    <tableColumn id="39" xr3:uid="{00000000-0010-0000-2A00-000027000000}" name="Column39" dataDxfId="3704"/>
    <tableColumn id="40" xr3:uid="{00000000-0010-0000-2A00-000028000000}" name="Column40" dataDxfId="3703"/>
    <tableColumn id="41" xr3:uid="{00000000-0010-0000-2A00-000029000000}" name="Column41" dataDxfId="3702"/>
    <tableColumn id="42" xr3:uid="{00000000-0010-0000-2A00-00002A000000}" name="Column42" dataDxfId="3701"/>
    <tableColumn id="43" xr3:uid="{00000000-0010-0000-2A00-00002B000000}" name="Column43" dataDxfId="3700"/>
    <tableColumn id="44" xr3:uid="{00000000-0010-0000-2A00-00002C000000}" name="Column44" dataDxfId="3699"/>
    <tableColumn id="45" xr3:uid="{00000000-0010-0000-2A00-00002D000000}" name="Column45" dataDxfId="3698"/>
    <tableColumn id="46" xr3:uid="{00000000-0010-0000-2A00-00002E000000}" name="Column46" dataDxfId="3697"/>
    <tableColumn id="47" xr3:uid="{00000000-0010-0000-2A00-00002F000000}" name="Column47" dataDxfId="3696"/>
    <tableColumn id="48" xr3:uid="{00000000-0010-0000-2A00-000030000000}" name="Column48" dataDxfId="3695"/>
    <tableColumn id="49" xr3:uid="{00000000-0010-0000-2A00-000031000000}" name="Column49" dataDxfId="3694"/>
    <tableColumn id="50" xr3:uid="{00000000-0010-0000-2A00-000032000000}" name="Column50" dataDxfId="3693"/>
    <tableColumn id="51" xr3:uid="{00000000-0010-0000-2A00-000033000000}" name="Column51" dataDxfId="3692"/>
    <tableColumn id="52" xr3:uid="{00000000-0010-0000-2A00-000034000000}" name="Column52" dataDxfId="3691"/>
    <tableColumn id="53" xr3:uid="{00000000-0010-0000-2A00-000035000000}" name="Column53" dataDxfId="3690"/>
    <tableColumn id="54" xr3:uid="{00000000-0010-0000-2A00-000036000000}" name="Column54" dataDxfId="3689"/>
    <tableColumn id="55" xr3:uid="{00000000-0010-0000-2A00-000037000000}" name="Column55" dataDxfId="3688"/>
    <tableColumn id="56" xr3:uid="{00000000-0010-0000-2A00-000038000000}" name="Column56" dataDxfId="3687"/>
    <tableColumn id="57" xr3:uid="{00000000-0010-0000-2A00-000039000000}" name="Column57" dataDxfId="3686"/>
    <tableColumn id="58" xr3:uid="{00000000-0010-0000-2A00-00003A000000}" name="Column58" dataDxfId="3685"/>
    <tableColumn id="59" xr3:uid="{00000000-0010-0000-2A00-00003B000000}" name="Column59" dataDxfId="3684"/>
    <tableColumn id="60" xr3:uid="{00000000-0010-0000-2A00-00003C000000}" name="Column60" dataDxfId="3683"/>
    <tableColumn id="61" xr3:uid="{00000000-0010-0000-2A00-00003D000000}" name="Column61" dataDxfId="3682"/>
    <tableColumn id="62" xr3:uid="{00000000-0010-0000-2A00-00003E000000}" name="Column62" dataDxfId="3681"/>
    <tableColumn id="63" xr3:uid="{00000000-0010-0000-2A00-00003F000000}" name="Column63" dataDxfId="3680"/>
    <tableColumn id="64" xr3:uid="{00000000-0010-0000-2A00-000040000000}" name="Column64" dataDxfId="3679"/>
    <tableColumn id="65" xr3:uid="{00000000-0010-0000-2A00-000041000000}" name="Column65" dataDxfId="3678"/>
    <tableColumn id="66" xr3:uid="{00000000-0010-0000-2A00-000042000000}" name="Column66" dataDxfId="3677"/>
    <tableColumn id="67" xr3:uid="{00000000-0010-0000-2A00-000043000000}" name="Column67" dataDxfId="3676"/>
    <tableColumn id="68" xr3:uid="{00000000-0010-0000-2A00-000044000000}" name="Column68" dataDxfId="3675"/>
    <tableColumn id="69" xr3:uid="{00000000-0010-0000-2A00-000045000000}" name="Column69" dataDxfId="3674"/>
    <tableColumn id="70" xr3:uid="{00000000-0010-0000-2A00-000046000000}" name="Column70" dataDxfId="3673"/>
    <tableColumn id="71" xr3:uid="{00000000-0010-0000-2A00-000047000000}" name="Column71" dataDxfId="3672"/>
    <tableColumn id="72" xr3:uid="{00000000-0010-0000-2A00-000048000000}" name="Column72" dataDxfId="3671"/>
    <tableColumn id="73" xr3:uid="{00000000-0010-0000-2A00-000049000000}" name="Column73" dataDxfId="3670"/>
    <tableColumn id="74" xr3:uid="{00000000-0010-0000-2A00-00004A000000}" name="Column74" dataDxfId="3669"/>
    <tableColumn id="75" xr3:uid="{00000000-0010-0000-2A00-00004B000000}" name="Column75" dataDxfId="3668"/>
    <tableColumn id="76" xr3:uid="{00000000-0010-0000-2A00-00004C000000}" name="Column76" dataDxfId="3667"/>
    <tableColumn id="77" xr3:uid="{00000000-0010-0000-2A00-00004D000000}" name="Column77" dataDxfId="3666"/>
    <tableColumn id="78" xr3:uid="{00000000-0010-0000-2A00-00004E000000}" name="Column78" dataDxfId="3665"/>
    <tableColumn id="79" xr3:uid="{00000000-0010-0000-2A00-00004F000000}" name="Column79" dataDxfId="3664"/>
    <tableColumn id="80" xr3:uid="{00000000-0010-0000-2A00-000050000000}" name="Column80" dataDxfId="3663"/>
    <tableColumn id="81" xr3:uid="{00000000-0010-0000-2A00-000051000000}" name="Column81" dataDxfId="3662"/>
    <tableColumn id="82" xr3:uid="{00000000-0010-0000-2A00-000052000000}" name="Column82" dataDxfId="3661"/>
    <tableColumn id="83" xr3:uid="{00000000-0010-0000-2A00-000053000000}" name="Column83" dataDxfId="3660"/>
    <tableColumn id="84" xr3:uid="{00000000-0010-0000-2A00-000054000000}" name="Column84" dataDxfId="3659"/>
    <tableColumn id="85" xr3:uid="{00000000-0010-0000-2A00-000055000000}" name="Column85" dataDxfId="3658"/>
    <tableColumn id="86" xr3:uid="{00000000-0010-0000-2A00-000056000000}" name="Column86" dataDxfId="3657"/>
    <tableColumn id="87" xr3:uid="{00000000-0010-0000-2A00-000057000000}" name="Column87" dataDxfId="3656"/>
    <tableColumn id="88" xr3:uid="{00000000-0010-0000-2A00-000058000000}" name="Column88" dataDxfId="3655"/>
    <tableColumn id="89" xr3:uid="{00000000-0010-0000-2A00-000059000000}" name="Column89" dataDxfId="3654"/>
    <tableColumn id="90" xr3:uid="{00000000-0010-0000-2A00-00005A000000}" name="Column90" dataDxfId="3653"/>
    <tableColumn id="91" xr3:uid="{00000000-0010-0000-2A00-00005B000000}" name="Column91" dataDxfId="3652"/>
    <tableColumn id="92" xr3:uid="{00000000-0010-0000-2A00-00005C000000}" name="Column92" dataDxfId="3651"/>
    <tableColumn id="93" xr3:uid="{00000000-0010-0000-2A00-00005D000000}" name="Column93" dataDxfId="3650"/>
    <tableColumn id="94" xr3:uid="{00000000-0010-0000-2A00-00005E000000}" name="Column94" dataDxfId="3649"/>
    <tableColumn id="95" xr3:uid="{00000000-0010-0000-2A00-00005F000000}" name="Column95" dataDxfId="3648"/>
    <tableColumn id="96" xr3:uid="{00000000-0010-0000-2A00-000060000000}" name="Column96" dataDxfId="3647"/>
    <tableColumn id="97" xr3:uid="{00000000-0010-0000-2A00-000061000000}" name="Column97" dataDxfId="3646"/>
    <tableColumn id="98" xr3:uid="{00000000-0010-0000-2A00-000062000000}" name="Column98" dataDxfId="3645"/>
    <tableColumn id="99" xr3:uid="{00000000-0010-0000-2A00-000063000000}" name="Column99" dataDxfId="3644"/>
    <tableColumn id="100" xr3:uid="{00000000-0010-0000-2A00-000064000000}" name="Column100" dataDxfId="3643"/>
    <tableColumn id="101" xr3:uid="{00000000-0010-0000-2A00-000065000000}" name="Column101" dataDxfId="3642"/>
    <tableColumn id="102" xr3:uid="{00000000-0010-0000-2A00-000066000000}" name="Column102" dataDxfId="3641"/>
    <tableColumn id="103" xr3:uid="{00000000-0010-0000-2A00-000067000000}" name="Column103" dataDxfId="3640"/>
    <tableColumn id="104" xr3:uid="{00000000-0010-0000-2A00-000068000000}" name="Column104" dataDxfId="3639"/>
    <tableColumn id="105" xr3:uid="{00000000-0010-0000-2A00-000069000000}" name="Column105" dataDxfId="3638"/>
    <tableColumn id="106" xr3:uid="{00000000-0010-0000-2A00-00006A000000}" name="Column106" dataDxfId="3637"/>
    <tableColumn id="107" xr3:uid="{00000000-0010-0000-2A00-00006B000000}" name="Column107" dataDxfId="3636"/>
    <tableColumn id="108" xr3:uid="{00000000-0010-0000-2A00-00006C000000}" name="Column108" dataDxfId="3635"/>
    <tableColumn id="109" xr3:uid="{00000000-0010-0000-2A00-00006D000000}" name="Column109" dataDxfId="3634"/>
    <tableColumn id="110" xr3:uid="{00000000-0010-0000-2A00-00006E000000}" name="Column110" dataDxfId="3633"/>
    <tableColumn id="111" xr3:uid="{00000000-0010-0000-2A00-00006F000000}" name="Column111" dataDxfId="3632"/>
    <tableColumn id="112" xr3:uid="{00000000-0010-0000-2A00-000070000000}" name="Column112" dataDxfId="3631"/>
    <tableColumn id="113" xr3:uid="{00000000-0010-0000-2A00-000071000000}" name="Column113" dataDxfId="3630"/>
    <tableColumn id="114" xr3:uid="{00000000-0010-0000-2A00-000072000000}" name="Column114" dataDxfId="3629"/>
    <tableColumn id="115" xr3:uid="{00000000-0010-0000-2A00-000073000000}" name="Column115" dataDxfId="3628"/>
    <tableColumn id="116" xr3:uid="{00000000-0010-0000-2A00-000074000000}" name="Column116" dataDxfId="3627"/>
    <tableColumn id="117" xr3:uid="{00000000-0010-0000-2A00-000075000000}" name="Column117" dataDxfId="3626"/>
    <tableColumn id="118" xr3:uid="{00000000-0010-0000-2A00-000076000000}" name="Column118" dataDxfId="3625"/>
    <tableColumn id="119" xr3:uid="{00000000-0010-0000-2A00-000077000000}" name="Column119" dataDxfId="3624"/>
    <tableColumn id="120" xr3:uid="{00000000-0010-0000-2A00-000078000000}" name="Column120" dataDxfId="3623"/>
    <tableColumn id="121" xr3:uid="{00000000-0010-0000-2A00-000079000000}" name="Column121" dataDxfId="3622"/>
    <tableColumn id="122" xr3:uid="{00000000-0010-0000-2A00-00007A000000}" name="Column122" dataDxfId="3621"/>
    <tableColumn id="123" xr3:uid="{00000000-0010-0000-2A00-00007B000000}" name="Column123" dataDxfId="3620"/>
    <tableColumn id="124" xr3:uid="{00000000-0010-0000-2A00-00007C000000}" name="Column124" dataDxfId="3619"/>
    <tableColumn id="125" xr3:uid="{00000000-0010-0000-2A00-00007D000000}" name="Column125" dataDxfId="3618"/>
    <tableColumn id="126" xr3:uid="{00000000-0010-0000-2A00-00007E000000}" name="Column126" dataDxfId="3617"/>
    <tableColumn id="127" xr3:uid="{00000000-0010-0000-2A00-00007F000000}" name="Column127" dataDxfId="3616"/>
    <tableColumn id="128" xr3:uid="{00000000-0010-0000-2A00-000080000000}" name="Column128" dataDxfId="3615"/>
    <tableColumn id="129" xr3:uid="{00000000-0010-0000-2A00-000081000000}" name="Column129" dataDxfId="3614"/>
    <tableColumn id="130" xr3:uid="{00000000-0010-0000-2A00-000082000000}" name="Column130" dataDxfId="3613"/>
    <tableColumn id="131" xr3:uid="{00000000-0010-0000-2A00-000083000000}" name="Column131" dataDxfId="3612"/>
    <tableColumn id="132" xr3:uid="{00000000-0010-0000-2A00-000084000000}" name="Column132" dataDxfId="3611"/>
    <tableColumn id="133" xr3:uid="{00000000-0010-0000-2A00-000085000000}" name="Column133" dataDxfId="3610"/>
    <tableColumn id="134" xr3:uid="{00000000-0010-0000-2A00-000086000000}" name="Column134" dataDxfId="3609"/>
    <tableColumn id="135" xr3:uid="{00000000-0010-0000-2A00-000087000000}" name="Column135" dataDxfId="3608"/>
    <tableColumn id="136" xr3:uid="{00000000-0010-0000-2A00-000088000000}" name="Column136" dataDxfId="3607"/>
    <tableColumn id="137" xr3:uid="{00000000-0010-0000-2A00-000089000000}" name="Column137" dataDxfId="3606"/>
    <tableColumn id="138" xr3:uid="{00000000-0010-0000-2A00-00008A000000}" name="Column138" dataDxfId="3605"/>
    <tableColumn id="139" xr3:uid="{00000000-0010-0000-2A00-00008B000000}" name="Column139" dataDxfId="3604"/>
    <tableColumn id="140" xr3:uid="{00000000-0010-0000-2A00-00008C000000}" name="Column140" dataDxfId="3603"/>
    <tableColumn id="141" xr3:uid="{00000000-0010-0000-2A00-00008D000000}" name="Column141" dataDxfId="3602"/>
    <tableColumn id="142" xr3:uid="{00000000-0010-0000-2A00-00008E000000}" name="Column142" dataDxfId="3601"/>
    <tableColumn id="143" xr3:uid="{00000000-0010-0000-2A00-00008F000000}" name="Column143" dataDxfId="3600"/>
    <tableColumn id="144" xr3:uid="{00000000-0010-0000-2A00-000090000000}" name="Column144" dataDxfId="3599"/>
    <tableColumn id="145" xr3:uid="{00000000-0010-0000-2A00-000091000000}" name="Column145" dataDxfId="3598"/>
    <tableColumn id="146" xr3:uid="{00000000-0010-0000-2A00-000092000000}" name="Column146" dataDxfId="3597"/>
    <tableColumn id="147" xr3:uid="{00000000-0010-0000-2A00-000093000000}" name="Column147" dataDxfId="3596"/>
    <tableColumn id="148" xr3:uid="{00000000-0010-0000-2A00-000094000000}" name="Column148" dataDxfId="3595"/>
    <tableColumn id="149" xr3:uid="{00000000-0010-0000-2A00-000095000000}" name="Column149" dataDxfId="3594"/>
    <tableColumn id="150" xr3:uid="{00000000-0010-0000-2A00-000096000000}" name="Column150" dataDxfId="3593"/>
    <tableColumn id="151" xr3:uid="{00000000-0010-0000-2A00-000097000000}" name="Column151" dataDxfId="3592"/>
    <tableColumn id="152" xr3:uid="{00000000-0010-0000-2A00-000098000000}" name="Column152" dataDxfId="3591"/>
    <tableColumn id="153" xr3:uid="{00000000-0010-0000-2A00-000099000000}" name="Column153" dataDxfId="3590"/>
    <tableColumn id="154" xr3:uid="{00000000-0010-0000-2A00-00009A000000}" name="Column154" dataDxfId="3589"/>
    <tableColumn id="155" xr3:uid="{00000000-0010-0000-2A00-00009B000000}" name="Column155" dataDxfId="3588"/>
    <tableColumn id="156" xr3:uid="{00000000-0010-0000-2A00-00009C000000}" name="Column156" dataDxfId="3587"/>
    <tableColumn id="157" xr3:uid="{00000000-0010-0000-2A00-00009D000000}" name="Column157" dataDxfId="3586"/>
    <tableColumn id="158" xr3:uid="{00000000-0010-0000-2A00-00009E000000}" name="Column158" dataDxfId="3585"/>
    <tableColumn id="159" xr3:uid="{00000000-0010-0000-2A00-00009F000000}" name="Column159" dataDxfId="3584"/>
    <tableColumn id="160" xr3:uid="{00000000-0010-0000-2A00-0000A0000000}" name="Column160" dataDxfId="3583"/>
    <tableColumn id="161" xr3:uid="{00000000-0010-0000-2A00-0000A1000000}" name="Column161" dataDxfId="3582"/>
    <tableColumn id="162" xr3:uid="{00000000-0010-0000-2A00-0000A2000000}" name="Column162" dataDxfId="3581"/>
    <tableColumn id="163" xr3:uid="{00000000-0010-0000-2A00-0000A3000000}" name="Column163" dataDxfId="3580"/>
    <tableColumn id="164" xr3:uid="{00000000-0010-0000-2A00-0000A4000000}" name="Column164" dataDxfId="3579"/>
    <tableColumn id="165" xr3:uid="{00000000-0010-0000-2A00-0000A5000000}" name="Column165" dataDxfId="3578"/>
    <tableColumn id="166" xr3:uid="{00000000-0010-0000-2A00-0000A6000000}" name="Column166" dataDxfId="3577"/>
    <tableColumn id="167" xr3:uid="{00000000-0010-0000-2A00-0000A7000000}" name="Column167" dataDxfId="3576"/>
    <tableColumn id="168" xr3:uid="{00000000-0010-0000-2A00-0000A8000000}" name="Column168" dataDxfId="3575"/>
    <tableColumn id="169" xr3:uid="{00000000-0010-0000-2A00-0000A9000000}" name="Column169" dataDxfId="3574"/>
    <tableColumn id="170" xr3:uid="{00000000-0010-0000-2A00-0000AA000000}" name="Column170" dataDxfId="3573"/>
    <tableColumn id="171" xr3:uid="{00000000-0010-0000-2A00-0000AB000000}" name="Column171" dataDxfId="3572"/>
    <tableColumn id="172" xr3:uid="{00000000-0010-0000-2A00-0000AC000000}" name="Column172" dataDxfId="3571"/>
    <tableColumn id="173" xr3:uid="{00000000-0010-0000-2A00-0000AD000000}" name="Column173" dataDxfId="3570"/>
    <tableColumn id="174" xr3:uid="{00000000-0010-0000-2A00-0000AE000000}" name="Column174" dataDxfId="3569"/>
    <tableColumn id="175" xr3:uid="{00000000-0010-0000-2A00-0000AF000000}" name="Column175" dataDxfId="3568"/>
    <tableColumn id="176" xr3:uid="{00000000-0010-0000-2A00-0000B0000000}" name="Column176" dataDxfId="3567"/>
    <tableColumn id="177" xr3:uid="{00000000-0010-0000-2A00-0000B1000000}" name="Column177" dataDxfId="3566"/>
    <tableColumn id="178" xr3:uid="{00000000-0010-0000-2A00-0000B2000000}" name="Column178" dataDxfId="3565"/>
    <tableColumn id="179" xr3:uid="{00000000-0010-0000-2A00-0000B3000000}" name="Column179" dataDxfId="3564"/>
    <tableColumn id="180" xr3:uid="{00000000-0010-0000-2A00-0000B4000000}" name="Column180" dataDxfId="3563"/>
    <tableColumn id="181" xr3:uid="{00000000-0010-0000-2A00-0000B5000000}" name="Column181" dataDxfId="3562"/>
    <tableColumn id="182" xr3:uid="{00000000-0010-0000-2A00-0000B6000000}" name="Column182" dataDxfId="3561"/>
    <tableColumn id="183" xr3:uid="{00000000-0010-0000-2A00-0000B7000000}" name="Column183" dataDxfId="3560"/>
    <tableColumn id="184" xr3:uid="{00000000-0010-0000-2A00-0000B8000000}" name="Column184" dataDxfId="3559"/>
    <tableColumn id="185" xr3:uid="{00000000-0010-0000-2A00-0000B9000000}" name="Column185" dataDxfId="3558"/>
    <tableColumn id="186" xr3:uid="{00000000-0010-0000-2A00-0000BA000000}" name="Column186" dataDxfId="3557"/>
    <tableColumn id="187" xr3:uid="{00000000-0010-0000-2A00-0000BB000000}" name="Column187" dataDxfId="3556"/>
    <tableColumn id="188" xr3:uid="{00000000-0010-0000-2A00-0000BC000000}" name="Column188" dataDxfId="3555"/>
    <tableColumn id="189" xr3:uid="{00000000-0010-0000-2A00-0000BD000000}" name="Column189" dataDxfId="3554"/>
    <tableColumn id="190" xr3:uid="{00000000-0010-0000-2A00-0000BE000000}" name="Column190" dataDxfId="3553"/>
    <tableColumn id="191" xr3:uid="{00000000-0010-0000-2A00-0000BF000000}" name="Column191" dataDxfId="3552"/>
    <tableColumn id="192" xr3:uid="{00000000-0010-0000-2A00-0000C0000000}" name="Column192" dataDxfId="3551"/>
    <tableColumn id="193" xr3:uid="{00000000-0010-0000-2A00-0000C1000000}" name="Column193" dataDxfId="3550"/>
    <tableColumn id="194" xr3:uid="{00000000-0010-0000-2A00-0000C2000000}" name="Column194" dataDxfId="3549"/>
    <tableColumn id="195" xr3:uid="{00000000-0010-0000-2A00-0000C3000000}" name="Column195" dataDxfId="3548"/>
    <tableColumn id="196" xr3:uid="{00000000-0010-0000-2A00-0000C4000000}" name="Column196" dataDxfId="3547"/>
    <tableColumn id="197" xr3:uid="{00000000-0010-0000-2A00-0000C5000000}" name="Column197" dataDxfId="3546"/>
    <tableColumn id="198" xr3:uid="{00000000-0010-0000-2A00-0000C6000000}" name="Column198" dataDxfId="3545"/>
    <tableColumn id="199" xr3:uid="{00000000-0010-0000-2A00-0000C7000000}" name="Column199" dataDxfId="3544"/>
    <tableColumn id="200" xr3:uid="{00000000-0010-0000-2A00-0000C8000000}" name="Column200" dataDxfId="3543"/>
    <tableColumn id="201" xr3:uid="{00000000-0010-0000-2A00-0000C9000000}" name="Column201" dataDxfId="3542"/>
    <tableColumn id="202" xr3:uid="{00000000-0010-0000-2A00-0000CA000000}" name="Column202" dataDxfId="3541"/>
    <tableColumn id="203" xr3:uid="{00000000-0010-0000-2A00-0000CB000000}" name="Column203" dataDxfId="3540"/>
    <tableColumn id="204" xr3:uid="{00000000-0010-0000-2A00-0000CC000000}" name="Column204" dataDxfId="3539"/>
    <tableColumn id="205" xr3:uid="{00000000-0010-0000-2A00-0000CD000000}" name="Column205" dataDxfId="3538"/>
    <tableColumn id="206" xr3:uid="{00000000-0010-0000-2A00-0000CE000000}" name="Column206" dataDxfId="3537"/>
    <tableColumn id="207" xr3:uid="{00000000-0010-0000-2A00-0000CF000000}" name="Column207" dataDxfId="3536"/>
    <tableColumn id="208" xr3:uid="{00000000-0010-0000-2A00-0000D0000000}" name="Column208" dataDxfId="3535"/>
    <tableColumn id="209" xr3:uid="{00000000-0010-0000-2A00-0000D1000000}" name="Column209" dataDxfId="3534"/>
    <tableColumn id="210" xr3:uid="{00000000-0010-0000-2A00-0000D2000000}" name="Column210" dataDxfId="3533"/>
    <tableColumn id="211" xr3:uid="{8F7692A4-91C7-4430-975B-2527EC984702}" name="Colonne1" dataDxfId="3532"/>
  </tableColumns>
  <tableStyleInfo name="New BO-style 19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_44" displayName="Table_44" ref="CB18:CE18" headerRowCount="0" headerRowDxfId="3531" dataDxfId="3530" totalsRowDxfId="3529">
  <tableColumns count="4">
    <tableColumn id="1" xr3:uid="{00000000-0010-0000-2B00-000001000000}" name="Column1" dataDxfId="3528"/>
    <tableColumn id="2" xr3:uid="{00000000-0010-0000-2B00-000002000000}" name="Column2" dataDxfId="3527"/>
    <tableColumn id="3" xr3:uid="{00000000-0010-0000-2B00-000003000000}" name="Column3" dataDxfId="3526"/>
    <tableColumn id="4" xr3:uid="{00000000-0010-0000-2B00-000004000000}" name="Column4" dataDxfId="3525"/>
  </tableColumns>
  <tableStyleInfo name="New BO-style 20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_45" displayName="Table_45" ref="CM18:JW18" headerRowCount="0" headerRowDxfId="3524" dataDxfId="3523" totalsRowDxfId="3522">
  <tableColumns count="193">
    <tableColumn id="1" xr3:uid="{00000000-0010-0000-2C00-000001000000}" name="Column1" dataDxfId="3521"/>
    <tableColumn id="2" xr3:uid="{00000000-0010-0000-2C00-000002000000}" name="Column2" dataDxfId="3520"/>
    <tableColumn id="3" xr3:uid="{00000000-0010-0000-2C00-000003000000}" name="Column3" dataDxfId="3519"/>
    <tableColumn id="4" xr3:uid="{00000000-0010-0000-2C00-000004000000}" name="Column4" dataDxfId="3518"/>
    <tableColumn id="5" xr3:uid="{00000000-0010-0000-2C00-000005000000}" name="Column5" dataDxfId="3517"/>
    <tableColumn id="6" xr3:uid="{00000000-0010-0000-2C00-000006000000}" name="Column6" dataDxfId="3516"/>
    <tableColumn id="7" xr3:uid="{00000000-0010-0000-2C00-000007000000}" name="Column7" dataDxfId="3515"/>
    <tableColumn id="8" xr3:uid="{00000000-0010-0000-2C00-000008000000}" name="Column8" dataDxfId="3514"/>
    <tableColumn id="9" xr3:uid="{00000000-0010-0000-2C00-000009000000}" name="Column9" dataDxfId="3513"/>
    <tableColumn id="10" xr3:uid="{00000000-0010-0000-2C00-00000A000000}" name="Column10" dataDxfId="3512"/>
    <tableColumn id="11" xr3:uid="{00000000-0010-0000-2C00-00000B000000}" name="Column11" dataDxfId="3511"/>
    <tableColumn id="12" xr3:uid="{00000000-0010-0000-2C00-00000C000000}" name="Column12" dataDxfId="3510"/>
    <tableColumn id="13" xr3:uid="{00000000-0010-0000-2C00-00000D000000}" name="Column13" dataDxfId="3509"/>
    <tableColumn id="14" xr3:uid="{00000000-0010-0000-2C00-00000E000000}" name="Column14" dataDxfId="3508"/>
    <tableColumn id="15" xr3:uid="{00000000-0010-0000-2C00-00000F000000}" name="Column15" dataDxfId="3507"/>
    <tableColumn id="16" xr3:uid="{00000000-0010-0000-2C00-000010000000}" name="Column16" dataDxfId="3506"/>
    <tableColumn id="17" xr3:uid="{00000000-0010-0000-2C00-000011000000}" name="Column17" dataDxfId="3505"/>
    <tableColumn id="18" xr3:uid="{00000000-0010-0000-2C00-000012000000}" name="Column18" dataDxfId="3504"/>
    <tableColumn id="19" xr3:uid="{00000000-0010-0000-2C00-000013000000}" name="Column19" dataDxfId="3503"/>
    <tableColumn id="20" xr3:uid="{00000000-0010-0000-2C00-000014000000}" name="Column20" dataDxfId="3502"/>
    <tableColumn id="21" xr3:uid="{00000000-0010-0000-2C00-000015000000}" name="Column21" dataDxfId="3501"/>
    <tableColumn id="22" xr3:uid="{00000000-0010-0000-2C00-000016000000}" name="Column22" dataDxfId="3500"/>
    <tableColumn id="23" xr3:uid="{00000000-0010-0000-2C00-000017000000}" name="Column23" dataDxfId="3499"/>
    <tableColumn id="24" xr3:uid="{00000000-0010-0000-2C00-000018000000}" name="Column24" dataDxfId="3498"/>
    <tableColumn id="25" xr3:uid="{00000000-0010-0000-2C00-000019000000}" name="Column25" dataDxfId="3497"/>
    <tableColumn id="26" xr3:uid="{00000000-0010-0000-2C00-00001A000000}" name="Column26" dataDxfId="3496"/>
    <tableColumn id="27" xr3:uid="{00000000-0010-0000-2C00-00001B000000}" name="Column27" dataDxfId="3495"/>
    <tableColumn id="28" xr3:uid="{00000000-0010-0000-2C00-00001C000000}" name="Column28" dataDxfId="3494"/>
    <tableColumn id="29" xr3:uid="{00000000-0010-0000-2C00-00001D000000}" name="Column29" dataDxfId="3493"/>
    <tableColumn id="30" xr3:uid="{00000000-0010-0000-2C00-00001E000000}" name="Column30" dataDxfId="3492"/>
    <tableColumn id="31" xr3:uid="{00000000-0010-0000-2C00-00001F000000}" name="Column31" dataDxfId="3491"/>
    <tableColumn id="32" xr3:uid="{00000000-0010-0000-2C00-000020000000}" name="Column32" dataDxfId="3490"/>
    <tableColumn id="33" xr3:uid="{00000000-0010-0000-2C00-000021000000}" name="Column33" dataDxfId="3489"/>
    <tableColumn id="34" xr3:uid="{00000000-0010-0000-2C00-000022000000}" name="Column34" dataDxfId="3488"/>
    <tableColumn id="35" xr3:uid="{00000000-0010-0000-2C00-000023000000}" name="Column35" dataDxfId="3487"/>
    <tableColumn id="36" xr3:uid="{00000000-0010-0000-2C00-000024000000}" name="Column36" dataDxfId="3486"/>
    <tableColumn id="37" xr3:uid="{00000000-0010-0000-2C00-000025000000}" name="Column37" dataDxfId="3485"/>
    <tableColumn id="38" xr3:uid="{00000000-0010-0000-2C00-000026000000}" name="Column38" dataDxfId="3484"/>
    <tableColumn id="39" xr3:uid="{00000000-0010-0000-2C00-000027000000}" name="Column39" dataDxfId="3483"/>
    <tableColumn id="40" xr3:uid="{00000000-0010-0000-2C00-000028000000}" name="Column40" dataDxfId="3482"/>
    <tableColumn id="41" xr3:uid="{00000000-0010-0000-2C00-000029000000}" name="Column41" dataDxfId="3481"/>
    <tableColumn id="42" xr3:uid="{00000000-0010-0000-2C00-00002A000000}" name="Column42" dataDxfId="3480"/>
    <tableColumn id="43" xr3:uid="{00000000-0010-0000-2C00-00002B000000}" name="Column43" dataDxfId="3479"/>
    <tableColumn id="44" xr3:uid="{00000000-0010-0000-2C00-00002C000000}" name="Column44" dataDxfId="3478"/>
    <tableColumn id="45" xr3:uid="{00000000-0010-0000-2C00-00002D000000}" name="Column45" dataDxfId="3477"/>
    <tableColumn id="46" xr3:uid="{00000000-0010-0000-2C00-00002E000000}" name="Column46" dataDxfId="3476"/>
    <tableColumn id="47" xr3:uid="{00000000-0010-0000-2C00-00002F000000}" name="Column47" dataDxfId="3475"/>
    <tableColumn id="48" xr3:uid="{00000000-0010-0000-2C00-000030000000}" name="Column48" dataDxfId="3474"/>
    <tableColumn id="49" xr3:uid="{00000000-0010-0000-2C00-000031000000}" name="Column49" dataDxfId="3473"/>
    <tableColumn id="50" xr3:uid="{00000000-0010-0000-2C00-000032000000}" name="Column50" dataDxfId="3472"/>
    <tableColumn id="51" xr3:uid="{00000000-0010-0000-2C00-000033000000}" name="Column51" dataDxfId="3471"/>
    <tableColumn id="52" xr3:uid="{00000000-0010-0000-2C00-000034000000}" name="Column52" dataDxfId="3470"/>
    <tableColumn id="53" xr3:uid="{00000000-0010-0000-2C00-000035000000}" name="Column53" dataDxfId="3469"/>
    <tableColumn id="54" xr3:uid="{00000000-0010-0000-2C00-000036000000}" name="Column54" dataDxfId="3468"/>
    <tableColumn id="55" xr3:uid="{00000000-0010-0000-2C00-000037000000}" name="Column55" dataDxfId="3467"/>
    <tableColumn id="56" xr3:uid="{00000000-0010-0000-2C00-000038000000}" name="Column56" dataDxfId="3466"/>
    <tableColumn id="57" xr3:uid="{00000000-0010-0000-2C00-000039000000}" name="Column57" dataDxfId="3465"/>
    <tableColumn id="58" xr3:uid="{00000000-0010-0000-2C00-00003A000000}" name="Column58" dataDxfId="3464"/>
    <tableColumn id="59" xr3:uid="{00000000-0010-0000-2C00-00003B000000}" name="Column59" dataDxfId="3463"/>
    <tableColumn id="60" xr3:uid="{00000000-0010-0000-2C00-00003C000000}" name="Column60" dataDxfId="3462"/>
    <tableColumn id="61" xr3:uid="{00000000-0010-0000-2C00-00003D000000}" name="Column61" dataDxfId="3461"/>
    <tableColumn id="62" xr3:uid="{00000000-0010-0000-2C00-00003E000000}" name="Column62" dataDxfId="3460"/>
    <tableColumn id="63" xr3:uid="{00000000-0010-0000-2C00-00003F000000}" name="Column63" dataDxfId="3459"/>
    <tableColumn id="64" xr3:uid="{00000000-0010-0000-2C00-000040000000}" name="Column64" dataDxfId="3458"/>
    <tableColumn id="65" xr3:uid="{00000000-0010-0000-2C00-000041000000}" name="Column65" dataDxfId="3457"/>
    <tableColumn id="66" xr3:uid="{00000000-0010-0000-2C00-000042000000}" name="Column66" dataDxfId="3456"/>
    <tableColumn id="67" xr3:uid="{00000000-0010-0000-2C00-000043000000}" name="Column67" dataDxfId="3455"/>
    <tableColumn id="68" xr3:uid="{00000000-0010-0000-2C00-000044000000}" name="Column68" dataDxfId="3454"/>
    <tableColumn id="69" xr3:uid="{00000000-0010-0000-2C00-000045000000}" name="Column69" dataDxfId="3453"/>
    <tableColumn id="70" xr3:uid="{00000000-0010-0000-2C00-000046000000}" name="Column70" dataDxfId="3452"/>
    <tableColumn id="71" xr3:uid="{00000000-0010-0000-2C00-000047000000}" name="Column71" dataDxfId="3451"/>
    <tableColumn id="72" xr3:uid="{00000000-0010-0000-2C00-000048000000}" name="Column72" dataDxfId="3450"/>
    <tableColumn id="73" xr3:uid="{00000000-0010-0000-2C00-000049000000}" name="Column73" dataDxfId="3449"/>
    <tableColumn id="74" xr3:uid="{00000000-0010-0000-2C00-00004A000000}" name="Column74" dataDxfId="3448"/>
    <tableColumn id="75" xr3:uid="{00000000-0010-0000-2C00-00004B000000}" name="Column75" dataDxfId="3447"/>
    <tableColumn id="76" xr3:uid="{00000000-0010-0000-2C00-00004C000000}" name="Column76" dataDxfId="3446"/>
    <tableColumn id="77" xr3:uid="{00000000-0010-0000-2C00-00004D000000}" name="Column77" dataDxfId="3445"/>
    <tableColumn id="78" xr3:uid="{00000000-0010-0000-2C00-00004E000000}" name="Column78" dataDxfId="3444"/>
    <tableColumn id="79" xr3:uid="{00000000-0010-0000-2C00-00004F000000}" name="Column79" dataDxfId="3443"/>
    <tableColumn id="80" xr3:uid="{00000000-0010-0000-2C00-000050000000}" name="Column80" dataDxfId="3442"/>
    <tableColumn id="81" xr3:uid="{00000000-0010-0000-2C00-000051000000}" name="Column81" dataDxfId="3441"/>
    <tableColumn id="82" xr3:uid="{00000000-0010-0000-2C00-000052000000}" name="Column82" dataDxfId="3440"/>
    <tableColumn id="83" xr3:uid="{00000000-0010-0000-2C00-000053000000}" name="Column83" dataDxfId="3439"/>
    <tableColumn id="84" xr3:uid="{00000000-0010-0000-2C00-000054000000}" name="Column84" dataDxfId="3438"/>
    <tableColumn id="85" xr3:uid="{00000000-0010-0000-2C00-000055000000}" name="Column85" dataDxfId="3437"/>
    <tableColumn id="86" xr3:uid="{00000000-0010-0000-2C00-000056000000}" name="Column86" dataDxfId="3436"/>
    <tableColumn id="87" xr3:uid="{00000000-0010-0000-2C00-000057000000}" name="Column87" dataDxfId="3435"/>
    <tableColumn id="88" xr3:uid="{00000000-0010-0000-2C00-000058000000}" name="Column88" dataDxfId="3434"/>
    <tableColumn id="89" xr3:uid="{00000000-0010-0000-2C00-000059000000}" name="Column89" dataDxfId="3433"/>
    <tableColumn id="90" xr3:uid="{00000000-0010-0000-2C00-00005A000000}" name="Column90" dataDxfId="3432"/>
    <tableColumn id="91" xr3:uid="{00000000-0010-0000-2C00-00005B000000}" name="Column91" dataDxfId="3431"/>
    <tableColumn id="92" xr3:uid="{00000000-0010-0000-2C00-00005C000000}" name="Column92" dataDxfId="3430"/>
    <tableColumn id="93" xr3:uid="{00000000-0010-0000-2C00-00005D000000}" name="Column93" dataDxfId="3429"/>
    <tableColumn id="94" xr3:uid="{00000000-0010-0000-2C00-00005E000000}" name="Column94" dataDxfId="3428"/>
    <tableColumn id="95" xr3:uid="{00000000-0010-0000-2C00-00005F000000}" name="Column95" dataDxfId="3427"/>
    <tableColumn id="96" xr3:uid="{00000000-0010-0000-2C00-000060000000}" name="Column96" dataDxfId="3426"/>
    <tableColumn id="97" xr3:uid="{00000000-0010-0000-2C00-000061000000}" name="Column97" dataDxfId="3425"/>
    <tableColumn id="98" xr3:uid="{00000000-0010-0000-2C00-000062000000}" name="Column98" dataDxfId="3424"/>
    <tableColumn id="99" xr3:uid="{00000000-0010-0000-2C00-000063000000}" name="Column99" dataDxfId="3423"/>
    <tableColumn id="100" xr3:uid="{00000000-0010-0000-2C00-000064000000}" name="Column100" dataDxfId="3422"/>
    <tableColumn id="101" xr3:uid="{00000000-0010-0000-2C00-000065000000}" name="Column101" dataDxfId="3421"/>
    <tableColumn id="102" xr3:uid="{00000000-0010-0000-2C00-000066000000}" name="Column102" dataDxfId="3420"/>
    <tableColumn id="103" xr3:uid="{00000000-0010-0000-2C00-000067000000}" name="Column103" dataDxfId="3419"/>
    <tableColumn id="104" xr3:uid="{00000000-0010-0000-2C00-000068000000}" name="Column104" dataDxfId="3418"/>
    <tableColumn id="105" xr3:uid="{00000000-0010-0000-2C00-000069000000}" name="Column105" dataDxfId="3417"/>
    <tableColumn id="106" xr3:uid="{00000000-0010-0000-2C00-00006A000000}" name="Column106" dataDxfId="3416"/>
    <tableColumn id="107" xr3:uid="{00000000-0010-0000-2C00-00006B000000}" name="Column107" dataDxfId="3415"/>
    <tableColumn id="108" xr3:uid="{00000000-0010-0000-2C00-00006C000000}" name="Column108" dataDxfId="3414"/>
    <tableColumn id="109" xr3:uid="{00000000-0010-0000-2C00-00006D000000}" name="Column109" dataDxfId="3413"/>
    <tableColumn id="110" xr3:uid="{00000000-0010-0000-2C00-00006E000000}" name="Column110" dataDxfId="3412"/>
    <tableColumn id="111" xr3:uid="{00000000-0010-0000-2C00-00006F000000}" name="Column111" dataDxfId="3411"/>
    <tableColumn id="112" xr3:uid="{00000000-0010-0000-2C00-000070000000}" name="Column112" dataDxfId="3410"/>
    <tableColumn id="113" xr3:uid="{00000000-0010-0000-2C00-000071000000}" name="Column113" dataDxfId="3409"/>
    <tableColumn id="114" xr3:uid="{00000000-0010-0000-2C00-000072000000}" name="Column114" dataDxfId="3408"/>
    <tableColumn id="115" xr3:uid="{00000000-0010-0000-2C00-000073000000}" name="Column115" dataDxfId="3407"/>
    <tableColumn id="116" xr3:uid="{00000000-0010-0000-2C00-000074000000}" name="Column116" dataDxfId="3406"/>
    <tableColumn id="117" xr3:uid="{00000000-0010-0000-2C00-000075000000}" name="Column117" dataDxfId="3405"/>
    <tableColumn id="118" xr3:uid="{00000000-0010-0000-2C00-000076000000}" name="Column118" dataDxfId="3404"/>
    <tableColumn id="119" xr3:uid="{00000000-0010-0000-2C00-000077000000}" name="Column119" dataDxfId="3403"/>
    <tableColumn id="120" xr3:uid="{00000000-0010-0000-2C00-000078000000}" name="Column120" dataDxfId="3402"/>
    <tableColumn id="121" xr3:uid="{00000000-0010-0000-2C00-000079000000}" name="Column121" dataDxfId="3401"/>
    <tableColumn id="122" xr3:uid="{00000000-0010-0000-2C00-00007A000000}" name="Column122" dataDxfId="3400"/>
    <tableColumn id="123" xr3:uid="{00000000-0010-0000-2C00-00007B000000}" name="Column123" dataDxfId="3399"/>
    <tableColumn id="124" xr3:uid="{00000000-0010-0000-2C00-00007C000000}" name="Column124" dataDxfId="3398"/>
    <tableColumn id="125" xr3:uid="{00000000-0010-0000-2C00-00007D000000}" name="Column125" dataDxfId="3397"/>
    <tableColumn id="126" xr3:uid="{00000000-0010-0000-2C00-00007E000000}" name="Column126" dataDxfId="3396"/>
    <tableColumn id="127" xr3:uid="{00000000-0010-0000-2C00-00007F000000}" name="Column127" dataDxfId="3395"/>
    <tableColumn id="128" xr3:uid="{00000000-0010-0000-2C00-000080000000}" name="Column128" dataDxfId="3394"/>
    <tableColumn id="129" xr3:uid="{00000000-0010-0000-2C00-000081000000}" name="Column129" dataDxfId="3393"/>
    <tableColumn id="130" xr3:uid="{00000000-0010-0000-2C00-000082000000}" name="Column130" dataDxfId="3392"/>
    <tableColumn id="131" xr3:uid="{00000000-0010-0000-2C00-000083000000}" name="Column131" dataDxfId="3391"/>
    <tableColumn id="132" xr3:uid="{00000000-0010-0000-2C00-000084000000}" name="Column132" dataDxfId="3390"/>
    <tableColumn id="133" xr3:uid="{00000000-0010-0000-2C00-000085000000}" name="Column133" dataDxfId="3389"/>
    <tableColumn id="134" xr3:uid="{00000000-0010-0000-2C00-000086000000}" name="Column134" dataDxfId="3388"/>
    <tableColumn id="135" xr3:uid="{00000000-0010-0000-2C00-000087000000}" name="Column135" dataDxfId="3387"/>
    <tableColumn id="136" xr3:uid="{00000000-0010-0000-2C00-000088000000}" name="Column136" dataDxfId="3386"/>
    <tableColumn id="137" xr3:uid="{00000000-0010-0000-2C00-000089000000}" name="Column137" dataDxfId="3385"/>
    <tableColumn id="138" xr3:uid="{00000000-0010-0000-2C00-00008A000000}" name="Column138" dataDxfId="3384"/>
    <tableColumn id="139" xr3:uid="{00000000-0010-0000-2C00-00008B000000}" name="Column139" dataDxfId="3383"/>
    <tableColumn id="140" xr3:uid="{00000000-0010-0000-2C00-00008C000000}" name="Column140" dataDxfId="3382"/>
    <tableColumn id="141" xr3:uid="{00000000-0010-0000-2C00-00008D000000}" name="Column141" dataDxfId="3381"/>
    <tableColumn id="142" xr3:uid="{00000000-0010-0000-2C00-00008E000000}" name="Column142" dataDxfId="3380"/>
    <tableColumn id="143" xr3:uid="{00000000-0010-0000-2C00-00008F000000}" name="Column143" dataDxfId="3379"/>
    <tableColumn id="144" xr3:uid="{00000000-0010-0000-2C00-000090000000}" name="Column144" dataDxfId="3378"/>
    <tableColumn id="145" xr3:uid="{00000000-0010-0000-2C00-000091000000}" name="Column145" dataDxfId="3377"/>
    <tableColumn id="146" xr3:uid="{00000000-0010-0000-2C00-000092000000}" name="Column146" dataDxfId="3376"/>
    <tableColumn id="147" xr3:uid="{00000000-0010-0000-2C00-000093000000}" name="Column147" dataDxfId="3375"/>
    <tableColumn id="148" xr3:uid="{00000000-0010-0000-2C00-000094000000}" name="Column148" dataDxfId="3374"/>
    <tableColumn id="149" xr3:uid="{00000000-0010-0000-2C00-000095000000}" name="Column149" dataDxfId="3373"/>
    <tableColumn id="150" xr3:uid="{00000000-0010-0000-2C00-000096000000}" name="Column150" dataDxfId="3372"/>
    <tableColumn id="151" xr3:uid="{00000000-0010-0000-2C00-000097000000}" name="Column151" dataDxfId="3371"/>
    <tableColumn id="152" xr3:uid="{00000000-0010-0000-2C00-000098000000}" name="Column152" dataDxfId="3370"/>
    <tableColumn id="153" xr3:uid="{00000000-0010-0000-2C00-000099000000}" name="Column153" dataDxfId="3369"/>
    <tableColumn id="154" xr3:uid="{00000000-0010-0000-2C00-00009A000000}" name="Column154" dataDxfId="3368"/>
    <tableColumn id="155" xr3:uid="{00000000-0010-0000-2C00-00009B000000}" name="Column155" dataDxfId="3367"/>
    <tableColumn id="156" xr3:uid="{00000000-0010-0000-2C00-00009C000000}" name="Column156" dataDxfId="3366"/>
    <tableColumn id="157" xr3:uid="{00000000-0010-0000-2C00-00009D000000}" name="Column157" dataDxfId="3365"/>
    <tableColumn id="158" xr3:uid="{00000000-0010-0000-2C00-00009E000000}" name="Column158" dataDxfId="3364"/>
    <tableColumn id="159" xr3:uid="{00000000-0010-0000-2C00-00009F000000}" name="Column159" dataDxfId="3363"/>
    <tableColumn id="160" xr3:uid="{00000000-0010-0000-2C00-0000A0000000}" name="Column160" dataDxfId="3362"/>
    <tableColumn id="161" xr3:uid="{00000000-0010-0000-2C00-0000A1000000}" name="Column161" dataDxfId="3361"/>
    <tableColumn id="162" xr3:uid="{00000000-0010-0000-2C00-0000A2000000}" name="Column162" dataDxfId="3360"/>
    <tableColumn id="163" xr3:uid="{00000000-0010-0000-2C00-0000A3000000}" name="Column163" dataDxfId="3359"/>
    <tableColumn id="164" xr3:uid="{00000000-0010-0000-2C00-0000A4000000}" name="Column164" dataDxfId="3358"/>
    <tableColumn id="165" xr3:uid="{00000000-0010-0000-2C00-0000A5000000}" name="Column165" dataDxfId="3357"/>
    <tableColumn id="166" xr3:uid="{00000000-0010-0000-2C00-0000A6000000}" name="Column166" dataDxfId="3356"/>
    <tableColumn id="167" xr3:uid="{00000000-0010-0000-2C00-0000A7000000}" name="Column167" dataDxfId="3355"/>
    <tableColumn id="168" xr3:uid="{00000000-0010-0000-2C00-0000A8000000}" name="Column168" dataDxfId="3354"/>
    <tableColumn id="169" xr3:uid="{00000000-0010-0000-2C00-0000A9000000}" name="Column169" dataDxfId="3353"/>
    <tableColumn id="170" xr3:uid="{00000000-0010-0000-2C00-0000AA000000}" name="Column170" dataDxfId="3352"/>
    <tableColumn id="171" xr3:uid="{00000000-0010-0000-2C00-0000AB000000}" name="Column171" dataDxfId="3351"/>
    <tableColumn id="172" xr3:uid="{00000000-0010-0000-2C00-0000AC000000}" name="Column172" dataDxfId="3350"/>
    <tableColumn id="173" xr3:uid="{00000000-0010-0000-2C00-0000AD000000}" name="Column173" dataDxfId="3349"/>
    <tableColumn id="174" xr3:uid="{00000000-0010-0000-2C00-0000AE000000}" name="Column174" dataDxfId="3348"/>
    <tableColumn id="175" xr3:uid="{00000000-0010-0000-2C00-0000AF000000}" name="Column175" dataDxfId="3347"/>
    <tableColumn id="176" xr3:uid="{00000000-0010-0000-2C00-0000B0000000}" name="Column176" dataDxfId="3346"/>
    <tableColumn id="177" xr3:uid="{00000000-0010-0000-2C00-0000B1000000}" name="Column177" dataDxfId="3345"/>
    <tableColumn id="178" xr3:uid="{00000000-0010-0000-2C00-0000B2000000}" name="Column178" dataDxfId="3344"/>
    <tableColumn id="179" xr3:uid="{00000000-0010-0000-2C00-0000B3000000}" name="Column179" dataDxfId="3343"/>
    <tableColumn id="180" xr3:uid="{00000000-0010-0000-2C00-0000B4000000}" name="Column180" dataDxfId="3342"/>
    <tableColumn id="181" xr3:uid="{00000000-0010-0000-2C00-0000B5000000}" name="Column181" dataDxfId="3341"/>
    <tableColumn id="182" xr3:uid="{00000000-0010-0000-2C00-0000B6000000}" name="Column182" dataDxfId="3340"/>
    <tableColumn id="183" xr3:uid="{00000000-0010-0000-2C00-0000B7000000}" name="Column183" dataDxfId="3339"/>
    <tableColumn id="184" xr3:uid="{00000000-0010-0000-2C00-0000B8000000}" name="Column184" dataDxfId="3338"/>
    <tableColumn id="185" xr3:uid="{00000000-0010-0000-2C00-0000B9000000}" name="Column185" dataDxfId="3337"/>
    <tableColumn id="186" xr3:uid="{00000000-0010-0000-2C00-0000BA000000}" name="Column186" dataDxfId="3336"/>
    <tableColumn id="187" xr3:uid="{00000000-0010-0000-2C00-0000BB000000}" name="Column187" dataDxfId="3335"/>
    <tableColumn id="188" xr3:uid="{00000000-0010-0000-2C00-0000BC000000}" name="Column188" dataDxfId="3334"/>
    <tableColumn id="189" xr3:uid="{00000000-0010-0000-2C00-0000BD000000}" name="Column189" dataDxfId="3333"/>
    <tableColumn id="190" xr3:uid="{00000000-0010-0000-2C00-0000BE000000}" name="Column190" dataDxfId="3332"/>
    <tableColumn id="191" xr3:uid="{00000000-0010-0000-2C00-0000BF000000}" name="Column191" dataDxfId="3331"/>
    <tableColumn id="192" xr3:uid="{88CFBC0B-22CB-404E-9BCB-896E505D5B41}" name="Colonne1" dataDxfId="3330"/>
    <tableColumn id="193" xr3:uid="{EBD6DF73-1B70-481E-AFFF-9BAC5D351886}" name="Colonne2" dataDxfId="3329"/>
  </tableColumns>
  <tableStyleInfo name="New BO-style 21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_47" displayName="Table_47" ref="BT22:KC24" headerRowCount="0" headerRowDxfId="3328" dataDxfId="3327" totalsRowDxfId="3326">
  <tableColumns count="218">
    <tableColumn id="1" xr3:uid="{00000000-0010-0000-2E00-000001000000}" name="Column1" dataDxfId="3325"/>
    <tableColumn id="2" xr3:uid="{00000000-0010-0000-2E00-000002000000}" name="Column2" dataDxfId="3324"/>
    <tableColumn id="3" xr3:uid="{00000000-0010-0000-2E00-000003000000}" name="Column3" dataDxfId="3323"/>
    <tableColumn id="4" xr3:uid="{00000000-0010-0000-2E00-000004000000}" name="Column4" dataDxfId="3322"/>
    <tableColumn id="5" xr3:uid="{00000000-0010-0000-2E00-000005000000}" name="Column5" dataDxfId="3321"/>
    <tableColumn id="6" xr3:uid="{00000000-0010-0000-2E00-000006000000}" name="Column6" dataDxfId="3320"/>
    <tableColumn id="7" xr3:uid="{00000000-0010-0000-2E00-000007000000}" name="Column7" dataDxfId="3319"/>
    <tableColumn id="8" xr3:uid="{00000000-0010-0000-2E00-000008000000}" name="Column8" dataDxfId="3318"/>
    <tableColumn id="9" xr3:uid="{00000000-0010-0000-2E00-000009000000}" name="Column9" dataDxfId="3317"/>
    <tableColumn id="10" xr3:uid="{00000000-0010-0000-2E00-00000A000000}" name="Column10" dataDxfId="3316"/>
    <tableColumn id="11" xr3:uid="{00000000-0010-0000-2E00-00000B000000}" name="Column11" dataDxfId="3315"/>
    <tableColumn id="12" xr3:uid="{00000000-0010-0000-2E00-00000C000000}" name="Column12" dataDxfId="3314"/>
    <tableColumn id="13" xr3:uid="{00000000-0010-0000-2E00-00000D000000}" name="Column13" dataDxfId="3313"/>
    <tableColumn id="14" xr3:uid="{00000000-0010-0000-2E00-00000E000000}" name="Column14" dataDxfId="3312"/>
    <tableColumn id="15" xr3:uid="{00000000-0010-0000-2E00-00000F000000}" name="Column15" dataDxfId="3311"/>
    <tableColumn id="16" xr3:uid="{00000000-0010-0000-2E00-000010000000}" name="Column16" dataDxfId="3310"/>
    <tableColumn id="17" xr3:uid="{00000000-0010-0000-2E00-000011000000}" name="Column17" dataDxfId="3309"/>
    <tableColumn id="18" xr3:uid="{00000000-0010-0000-2E00-000012000000}" name="Column18" dataDxfId="3308"/>
    <tableColumn id="19" xr3:uid="{00000000-0010-0000-2E00-000013000000}" name="Column19" dataDxfId="3307"/>
    <tableColumn id="20" xr3:uid="{00000000-0010-0000-2E00-000014000000}" name="Column20" dataDxfId="3306"/>
    <tableColumn id="21" xr3:uid="{00000000-0010-0000-2E00-000015000000}" name="Column21" dataDxfId="3305"/>
    <tableColumn id="22" xr3:uid="{00000000-0010-0000-2E00-000016000000}" name="Column22" dataDxfId="3304"/>
    <tableColumn id="23" xr3:uid="{00000000-0010-0000-2E00-000017000000}" name="Column23" dataDxfId="3303"/>
    <tableColumn id="24" xr3:uid="{00000000-0010-0000-2E00-000018000000}" name="Column24" dataDxfId="3302"/>
    <tableColumn id="25" xr3:uid="{00000000-0010-0000-2E00-000019000000}" name="Column25" dataDxfId="3301"/>
    <tableColumn id="26" xr3:uid="{00000000-0010-0000-2E00-00001A000000}" name="Column26" dataDxfId="3300"/>
    <tableColumn id="27" xr3:uid="{00000000-0010-0000-2E00-00001B000000}" name="Column27" dataDxfId="3299"/>
    <tableColumn id="28" xr3:uid="{00000000-0010-0000-2E00-00001C000000}" name="Column28" dataDxfId="3298"/>
    <tableColumn id="29" xr3:uid="{00000000-0010-0000-2E00-00001D000000}" name="Column29" dataDxfId="3297"/>
    <tableColumn id="30" xr3:uid="{00000000-0010-0000-2E00-00001E000000}" name="Column30" dataDxfId="3296"/>
    <tableColumn id="31" xr3:uid="{00000000-0010-0000-2E00-00001F000000}" name="Column31" dataDxfId="3295"/>
    <tableColumn id="32" xr3:uid="{00000000-0010-0000-2E00-000020000000}" name="Column32" dataDxfId="3294"/>
    <tableColumn id="33" xr3:uid="{00000000-0010-0000-2E00-000021000000}" name="Column33" dataDxfId="3293"/>
    <tableColumn id="34" xr3:uid="{00000000-0010-0000-2E00-000022000000}" name="Column34" dataDxfId="3292"/>
    <tableColumn id="35" xr3:uid="{00000000-0010-0000-2E00-000023000000}" name="Column35" dataDxfId="3291"/>
    <tableColumn id="36" xr3:uid="{00000000-0010-0000-2E00-000024000000}" name="Column36" dataDxfId="3290"/>
    <tableColumn id="37" xr3:uid="{00000000-0010-0000-2E00-000025000000}" name="Column37" dataDxfId="3289"/>
    <tableColumn id="38" xr3:uid="{00000000-0010-0000-2E00-000026000000}" name="Column38" dataDxfId="3288"/>
    <tableColumn id="39" xr3:uid="{00000000-0010-0000-2E00-000027000000}" name="Column39" dataDxfId="3287"/>
    <tableColumn id="40" xr3:uid="{00000000-0010-0000-2E00-000028000000}" name="Column40" dataDxfId="3286"/>
    <tableColumn id="41" xr3:uid="{00000000-0010-0000-2E00-000029000000}" name="Column41" dataDxfId="3285"/>
    <tableColumn id="42" xr3:uid="{00000000-0010-0000-2E00-00002A000000}" name="Column42" dataDxfId="3284"/>
    <tableColumn id="43" xr3:uid="{00000000-0010-0000-2E00-00002B000000}" name="Column43" dataDxfId="3283"/>
    <tableColumn id="44" xr3:uid="{00000000-0010-0000-2E00-00002C000000}" name="Column44" dataDxfId="3282"/>
    <tableColumn id="45" xr3:uid="{00000000-0010-0000-2E00-00002D000000}" name="Column45" dataDxfId="3281"/>
    <tableColumn id="46" xr3:uid="{00000000-0010-0000-2E00-00002E000000}" name="Column46" dataDxfId="3280"/>
    <tableColumn id="47" xr3:uid="{00000000-0010-0000-2E00-00002F000000}" name="Column47" dataDxfId="3279"/>
    <tableColumn id="48" xr3:uid="{00000000-0010-0000-2E00-000030000000}" name="Column48" dataDxfId="3278"/>
    <tableColumn id="49" xr3:uid="{00000000-0010-0000-2E00-000031000000}" name="Column49" dataDxfId="3277"/>
    <tableColumn id="50" xr3:uid="{00000000-0010-0000-2E00-000032000000}" name="Column50" dataDxfId="3276"/>
    <tableColumn id="51" xr3:uid="{00000000-0010-0000-2E00-000033000000}" name="Column51" dataDxfId="3275"/>
    <tableColumn id="52" xr3:uid="{00000000-0010-0000-2E00-000034000000}" name="Column52" dataDxfId="3274"/>
    <tableColumn id="53" xr3:uid="{00000000-0010-0000-2E00-000035000000}" name="Column53" dataDxfId="3273"/>
    <tableColumn id="54" xr3:uid="{00000000-0010-0000-2E00-000036000000}" name="Column54" dataDxfId="3272"/>
    <tableColumn id="55" xr3:uid="{00000000-0010-0000-2E00-000037000000}" name="Column55" dataDxfId="3271"/>
    <tableColumn id="56" xr3:uid="{00000000-0010-0000-2E00-000038000000}" name="Column56" dataDxfId="3270"/>
    <tableColumn id="57" xr3:uid="{00000000-0010-0000-2E00-000039000000}" name="Column57" dataDxfId="3269"/>
    <tableColumn id="58" xr3:uid="{00000000-0010-0000-2E00-00003A000000}" name="Column58" dataDxfId="3268"/>
    <tableColumn id="59" xr3:uid="{00000000-0010-0000-2E00-00003B000000}" name="Column59" dataDxfId="3267"/>
    <tableColumn id="60" xr3:uid="{00000000-0010-0000-2E00-00003C000000}" name="Column60" dataDxfId="3266"/>
    <tableColumn id="61" xr3:uid="{00000000-0010-0000-2E00-00003D000000}" name="Column61" dataDxfId="3265"/>
    <tableColumn id="62" xr3:uid="{00000000-0010-0000-2E00-00003E000000}" name="Column62" dataDxfId="3264"/>
    <tableColumn id="63" xr3:uid="{00000000-0010-0000-2E00-00003F000000}" name="Column63" dataDxfId="3263"/>
    <tableColumn id="64" xr3:uid="{00000000-0010-0000-2E00-000040000000}" name="Column64" dataDxfId="3262"/>
    <tableColumn id="65" xr3:uid="{00000000-0010-0000-2E00-000041000000}" name="Column65" dataDxfId="3261"/>
    <tableColumn id="66" xr3:uid="{00000000-0010-0000-2E00-000042000000}" name="Column66" dataDxfId="3260"/>
    <tableColumn id="67" xr3:uid="{00000000-0010-0000-2E00-000043000000}" name="Column67" dataDxfId="3259"/>
    <tableColumn id="68" xr3:uid="{00000000-0010-0000-2E00-000044000000}" name="Column68" dataDxfId="3258"/>
    <tableColumn id="69" xr3:uid="{00000000-0010-0000-2E00-000045000000}" name="Column69" dataDxfId="3257"/>
    <tableColumn id="70" xr3:uid="{00000000-0010-0000-2E00-000046000000}" name="Column70" dataDxfId="3256"/>
    <tableColumn id="71" xr3:uid="{00000000-0010-0000-2E00-000047000000}" name="Column71" dataDxfId="3255"/>
    <tableColumn id="72" xr3:uid="{00000000-0010-0000-2E00-000048000000}" name="Column72" dataDxfId="3254"/>
    <tableColumn id="73" xr3:uid="{00000000-0010-0000-2E00-000049000000}" name="Column73" dataDxfId="3253"/>
    <tableColumn id="74" xr3:uid="{00000000-0010-0000-2E00-00004A000000}" name="Column74" dataDxfId="3252"/>
    <tableColumn id="75" xr3:uid="{00000000-0010-0000-2E00-00004B000000}" name="Column75" dataDxfId="3251"/>
    <tableColumn id="76" xr3:uid="{00000000-0010-0000-2E00-00004C000000}" name="Column76" dataDxfId="3250"/>
    <tableColumn id="77" xr3:uid="{00000000-0010-0000-2E00-00004D000000}" name="Column77" dataDxfId="3249"/>
    <tableColumn id="78" xr3:uid="{00000000-0010-0000-2E00-00004E000000}" name="Column78" dataDxfId="3248"/>
    <tableColumn id="79" xr3:uid="{00000000-0010-0000-2E00-00004F000000}" name="Column79" dataDxfId="3247"/>
    <tableColumn id="80" xr3:uid="{00000000-0010-0000-2E00-000050000000}" name="Column80" dataDxfId="3246"/>
    <tableColumn id="81" xr3:uid="{00000000-0010-0000-2E00-000051000000}" name="Column81" dataDxfId="3245"/>
    <tableColumn id="82" xr3:uid="{00000000-0010-0000-2E00-000052000000}" name="Column82" dataDxfId="3244"/>
    <tableColumn id="83" xr3:uid="{00000000-0010-0000-2E00-000053000000}" name="Column83" dataDxfId="3243"/>
    <tableColumn id="84" xr3:uid="{00000000-0010-0000-2E00-000054000000}" name="Column84" dataDxfId="3242"/>
    <tableColumn id="85" xr3:uid="{00000000-0010-0000-2E00-000055000000}" name="Column85" dataDxfId="3241"/>
    <tableColumn id="86" xr3:uid="{00000000-0010-0000-2E00-000056000000}" name="Column86" dataDxfId="3240"/>
    <tableColumn id="87" xr3:uid="{00000000-0010-0000-2E00-000057000000}" name="Column87" dataDxfId="3239"/>
    <tableColumn id="88" xr3:uid="{00000000-0010-0000-2E00-000058000000}" name="Column88" dataDxfId="3238"/>
    <tableColumn id="89" xr3:uid="{00000000-0010-0000-2E00-000059000000}" name="Column89" dataDxfId="3237"/>
    <tableColumn id="90" xr3:uid="{00000000-0010-0000-2E00-00005A000000}" name="Column90" dataDxfId="3236"/>
    <tableColumn id="91" xr3:uid="{00000000-0010-0000-2E00-00005B000000}" name="Column91" dataDxfId="3235"/>
    <tableColumn id="92" xr3:uid="{00000000-0010-0000-2E00-00005C000000}" name="Column92" dataDxfId="3234"/>
    <tableColumn id="93" xr3:uid="{00000000-0010-0000-2E00-00005D000000}" name="Column93" dataDxfId="3233"/>
    <tableColumn id="94" xr3:uid="{00000000-0010-0000-2E00-00005E000000}" name="Column94" dataDxfId="3232"/>
    <tableColumn id="95" xr3:uid="{00000000-0010-0000-2E00-00005F000000}" name="Column95" dataDxfId="3231"/>
    <tableColumn id="96" xr3:uid="{00000000-0010-0000-2E00-000060000000}" name="Column96" dataDxfId="3230"/>
    <tableColumn id="97" xr3:uid="{00000000-0010-0000-2E00-000061000000}" name="Column97" dataDxfId="3229"/>
    <tableColumn id="98" xr3:uid="{00000000-0010-0000-2E00-000062000000}" name="Column98" dataDxfId="3228"/>
    <tableColumn id="99" xr3:uid="{00000000-0010-0000-2E00-000063000000}" name="Column99" dataDxfId="3227"/>
    <tableColumn id="100" xr3:uid="{00000000-0010-0000-2E00-000064000000}" name="Column100" dataDxfId="3226"/>
    <tableColumn id="101" xr3:uid="{00000000-0010-0000-2E00-000065000000}" name="Column101" dataDxfId="3225"/>
    <tableColumn id="102" xr3:uid="{00000000-0010-0000-2E00-000066000000}" name="Column102" dataDxfId="3224"/>
    <tableColumn id="103" xr3:uid="{00000000-0010-0000-2E00-000067000000}" name="Column103" dataDxfId="3223"/>
    <tableColumn id="104" xr3:uid="{00000000-0010-0000-2E00-000068000000}" name="Column104" dataDxfId="3222"/>
    <tableColumn id="105" xr3:uid="{00000000-0010-0000-2E00-000069000000}" name="Column105" dataDxfId="3221"/>
    <tableColumn id="106" xr3:uid="{00000000-0010-0000-2E00-00006A000000}" name="Column106" dataDxfId="3220"/>
    <tableColumn id="107" xr3:uid="{00000000-0010-0000-2E00-00006B000000}" name="Column107" dataDxfId="3219"/>
    <tableColumn id="108" xr3:uid="{00000000-0010-0000-2E00-00006C000000}" name="Column108" dataDxfId="3218"/>
    <tableColumn id="109" xr3:uid="{00000000-0010-0000-2E00-00006D000000}" name="Column109" dataDxfId="3217"/>
    <tableColumn id="110" xr3:uid="{00000000-0010-0000-2E00-00006E000000}" name="Column110" dataDxfId="3216"/>
    <tableColumn id="111" xr3:uid="{00000000-0010-0000-2E00-00006F000000}" name="Column111" dataDxfId="3215"/>
    <tableColumn id="112" xr3:uid="{00000000-0010-0000-2E00-000070000000}" name="Column112" dataDxfId="3214"/>
    <tableColumn id="113" xr3:uid="{00000000-0010-0000-2E00-000071000000}" name="Column113" dataDxfId="3213"/>
    <tableColumn id="114" xr3:uid="{00000000-0010-0000-2E00-000072000000}" name="Column114" dataDxfId="3212"/>
    <tableColumn id="115" xr3:uid="{00000000-0010-0000-2E00-000073000000}" name="Column115" dataDxfId="3211"/>
    <tableColumn id="116" xr3:uid="{00000000-0010-0000-2E00-000074000000}" name="Column116" dataDxfId="3210"/>
    <tableColumn id="117" xr3:uid="{00000000-0010-0000-2E00-000075000000}" name="Column117" dataDxfId="3209"/>
    <tableColumn id="118" xr3:uid="{00000000-0010-0000-2E00-000076000000}" name="Column118" dataDxfId="3208"/>
    <tableColumn id="119" xr3:uid="{00000000-0010-0000-2E00-000077000000}" name="Column119" dataDxfId="3207"/>
    <tableColumn id="120" xr3:uid="{00000000-0010-0000-2E00-000078000000}" name="Column120" dataDxfId="3206"/>
    <tableColumn id="121" xr3:uid="{00000000-0010-0000-2E00-000079000000}" name="Column121" dataDxfId="3205"/>
    <tableColumn id="122" xr3:uid="{00000000-0010-0000-2E00-00007A000000}" name="Column122" dataDxfId="3204"/>
    <tableColumn id="123" xr3:uid="{00000000-0010-0000-2E00-00007B000000}" name="Column123" dataDxfId="3203"/>
    <tableColumn id="124" xr3:uid="{00000000-0010-0000-2E00-00007C000000}" name="Column124" dataDxfId="3202"/>
    <tableColumn id="125" xr3:uid="{00000000-0010-0000-2E00-00007D000000}" name="Column125" dataDxfId="3201"/>
    <tableColumn id="126" xr3:uid="{00000000-0010-0000-2E00-00007E000000}" name="Column126" dataDxfId="3200"/>
    <tableColumn id="127" xr3:uid="{00000000-0010-0000-2E00-00007F000000}" name="Column127" dataDxfId="3199"/>
    <tableColumn id="128" xr3:uid="{00000000-0010-0000-2E00-000080000000}" name="Column128" dataDxfId="3198"/>
    <tableColumn id="129" xr3:uid="{00000000-0010-0000-2E00-000081000000}" name="Column129" dataDxfId="3197"/>
    <tableColumn id="130" xr3:uid="{00000000-0010-0000-2E00-000082000000}" name="Column130" dataDxfId="3196"/>
    <tableColumn id="131" xr3:uid="{00000000-0010-0000-2E00-000083000000}" name="Column131" dataDxfId="3195"/>
    <tableColumn id="132" xr3:uid="{00000000-0010-0000-2E00-000084000000}" name="Column132" dataDxfId="3194"/>
    <tableColumn id="133" xr3:uid="{00000000-0010-0000-2E00-000085000000}" name="Column133" dataDxfId="3193"/>
    <tableColumn id="134" xr3:uid="{00000000-0010-0000-2E00-000086000000}" name="Column134" dataDxfId="3192"/>
    <tableColumn id="135" xr3:uid="{00000000-0010-0000-2E00-000087000000}" name="Column135" dataDxfId="3191"/>
    <tableColumn id="136" xr3:uid="{00000000-0010-0000-2E00-000088000000}" name="Column136" dataDxfId="3190"/>
    <tableColumn id="137" xr3:uid="{00000000-0010-0000-2E00-000089000000}" name="Column137" dataDxfId="3189"/>
    <tableColumn id="138" xr3:uid="{00000000-0010-0000-2E00-00008A000000}" name="Column138" dataDxfId="3188"/>
    <tableColumn id="139" xr3:uid="{00000000-0010-0000-2E00-00008B000000}" name="Column139" dataDxfId="3187"/>
    <tableColumn id="140" xr3:uid="{00000000-0010-0000-2E00-00008C000000}" name="Column140" dataDxfId="3186"/>
    <tableColumn id="141" xr3:uid="{00000000-0010-0000-2E00-00008D000000}" name="Column141" dataDxfId="3185"/>
    <tableColumn id="142" xr3:uid="{00000000-0010-0000-2E00-00008E000000}" name="Column142" dataDxfId="3184"/>
    <tableColumn id="143" xr3:uid="{00000000-0010-0000-2E00-00008F000000}" name="Column143" dataDxfId="3183"/>
    <tableColumn id="144" xr3:uid="{00000000-0010-0000-2E00-000090000000}" name="Column144" dataDxfId="3182"/>
    <tableColumn id="145" xr3:uid="{00000000-0010-0000-2E00-000091000000}" name="Column145" dataDxfId="3181"/>
    <tableColumn id="146" xr3:uid="{00000000-0010-0000-2E00-000092000000}" name="Column146" dataDxfId="3180"/>
    <tableColumn id="147" xr3:uid="{00000000-0010-0000-2E00-000093000000}" name="Column147" dataDxfId="3179"/>
    <tableColumn id="148" xr3:uid="{00000000-0010-0000-2E00-000094000000}" name="Column148" dataDxfId="3178"/>
    <tableColumn id="149" xr3:uid="{00000000-0010-0000-2E00-000095000000}" name="Column149" dataDxfId="3177"/>
    <tableColumn id="150" xr3:uid="{00000000-0010-0000-2E00-000096000000}" name="Column150" dataDxfId="3176"/>
    <tableColumn id="151" xr3:uid="{00000000-0010-0000-2E00-000097000000}" name="Column151" dataDxfId="3175"/>
    <tableColumn id="152" xr3:uid="{00000000-0010-0000-2E00-000098000000}" name="Column152" dataDxfId="3174"/>
    <tableColumn id="153" xr3:uid="{00000000-0010-0000-2E00-000099000000}" name="Column153" dataDxfId="3173"/>
    <tableColumn id="154" xr3:uid="{00000000-0010-0000-2E00-00009A000000}" name="Column154" dataDxfId="3172"/>
    <tableColumn id="155" xr3:uid="{00000000-0010-0000-2E00-00009B000000}" name="Column155" dataDxfId="3171"/>
    <tableColumn id="156" xr3:uid="{00000000-0010-0000-2E00-00009C000000}" name="Column156" dataDxfId="3170"/>
    <tableColumn id="157" xr3:uid="{00000000-0010-0000-2E00-00009D000000}" name="Column157" dataDxfId="3169"/>
    <tableColumn id="158" xr3:uid="{00000000-0010-0000-2E00-00009E000000}" name="Column158" dataDxfId="3168"/>
    <tableColumn id="159" xr3:uid="{00000000-0010-0000-2E00-00009F000000}" name="Column159" dataDxfId="3167"/>
    <tableColumn id="160" xr3:uid="{00000000-0010-0000-2E00-0000A0000000}" name="Column160" dataDxfId="3166"/>
    <tableColumn id="161" xr3:uid="{00000000-0010-0000-2E00-0000A1000000}" name="Column161" dataDxfId="3165"/>
    <tableColumn id="162" xr3:uid="{00000000-0010-0000-2E00-0000A2000000}" name="Column162" dataDxfId="3164"/>
    <tableColumn id="163" xr3:uid="{00000000-0010-0000-2E00-0000A3000000}" name="Column163" dataDxfId="3163"/>
    <tableColumn id="164" xr3:uid="{00000000-0010-0000-2E00-0000A4000000}" name="Column164" dataDxfId="3162"/>
    <tableColumn id="165" xr3:uid="{00000000-0010-0000-2E00-0000A5000000}" name="Column165" dataDxfId="3161"/>
    <tableColumn id="166" xr3:uid="{00000000-0010-0000-2E00-0000A6000000}" name="Column166" dataDxfId="3160"/>
    <tableColumn id="167" xr3:uid="{00000000-0010-0000-2E00-0000A7000000}" name="Column167" dataDxfId="3159"/>
    <tableColumn id="168" xr3:uid="{00000000-0010-0000-2E00-0000A8000000}" name="Column168" dataDxfId="3158"/>
    <tableColumn id="169" xr3:uid="{00000000-0010-0000-2E00-0000A9000000}" name="Column169" dataDxfId="3157"/>
    <tableColumn id="170" xr3:uid="{00000000-0010-0000-2E00-0000AA000000}" name="Column170" dataDxfId="3156"/>
    <tableColumn id="171" xr3:uid="{00000000-0010-0000-2E00-0000AB000000}" name="Column171" dataDxfId="3155"/>
    <tableColumn id="172" xr3:uid="{00000000-0010-0000-2E00-0000AC000000}" name="Column172" dataDxfId="3154"/>
    <tableColumn id="173" xr3:uid="{00000000-0010-0000-2E00-0000AD000000}" name="Column173" dataDxfId="3153"/>
    <tableColumn id="174" xr3:uid="{00000000-0010-0000-2E00-0000AE000000}" name="Column174" dataDxfId="3152"/>
    <tableColumn id="175" xr3:uid="{00000000-0010-0000-2E00-0000AF000000}" name="Column175" dataDxfId="3151"/>
    <tableColumn id="176" xr3:uid="{00000000-0010-0000-2E00-0000B0000000}" name="Column176" dataDxfId="3150"/>
    <tableColumn id="177" xr3:uid="{00000000-0010-0000-2E00-0000B1000000}" name="Column177" dataDxfId="3149"/>
    <tableColumn id="178" xr3:uid="{00000000-0010-0000-2E00-0000B2000000}" name="Column178" dataDxfId="3148"/>
    <tableColumn id="179" xr3:uid="{00000000-0010-0000-2E00-0000B3000000}" name="Column179" dataDxfId="3147"/>
    <tableColumn id="180" xr3:uid="{00000000-0010-0000-2E00-0000B4000000}" name="Column180" dataDxfId="3146"/>
    <tableColumn id="181" xr3:uid="{00000000-0010-0000-2E00-0000B5000000}" name="Column181" dataDxfId="3145"/>
    <tableColumn id="182" xr3:uid="{00000000-0010-0000-2E00-0000B6000000}" name="Column182" dataDxfId="3144"/>
    <tableColumn id="183" xr3:uid="{00000000-0010-0000-2E00-0000B7000000}" name="Column183" dataDxfId="3143"/>
    <tableColumn id="184" xr3:uid="{00000000-0010-0000-2E00-0000B8000000}" name="Column184" dataDxfId="3142"/>
    <tableColumn id="185" xr3:uid="{00000000-0010-0000-2E00-0000B9000000}" name="Column185" dataDxfId="3141"/>
    <tableColumn id="186" xr3:uid="{00000000-0010-0000-2E00-0000BA000000}" name="Column186" dataDxfId="3140"/>
    <tableColumn id="187" xr3:uid="{00000000-0010-0000-2E00-0000BB000000}" name="Column187" dataDxfId="3139"/>
    <tableColumn id="188" xr3:uid="{00000000-0010-0000-2E00-0000BC000000}" name="Column188" dataDxfId="3138"/>
    <tableColumn id="189" xr3:uid="{00000000-0010-0000-2E00-0000BD000000}" name="Column189" dataDxfId="3137"/>
    <tableColumn id="190" xr3:uid="{00000000-0010-0000-2E00-0000BE000000}" name="Column190" dataDxfId="3136"/>
    <tableColumn id="191" xr3:uid="{00000000-0010-0000-2E00-0000BF000000}" name="Column191" dataDxfId="3135"/>
    <tableColumn id="192" xr3:uid="{00000000-0010-0000-2E00-0000C0000000}" name="Column192" dataDxfId="3134"/>
    <tableColumn id="193" xr3:uid="{00000000-0010-0000-2E00-0000C1000000}" name="Column193" dataDxfId="3133"/>
    <tableColumn id="194" xr3:uid="{00000000-0010-0000-2E00-0000C2000000}" name="Column194" dataDxfId="3132"/>
    <tableColumn id="195" xr3:uid="{00000000-0010-0000-2E00-0000C3000000}" name="Column195" dataDxfId="3131"/>
    <tableColumn id="196" xr3:uid="{00000000-0010-0000-2E00-0000C4000000}" name="Column196" dataDxfId="3130"/>
    <tableColumn id="197" xr3:uid="{00000000-0010-0000-2E00-0000C5000000}" name="Column197" dataDxfId="3129"/>
    <tableColumn id="198" xr3:uid="{00000000-0010-0000-2E00-0000C6000000}" name="Column198" dataDxfId="3128"/>
    <tableColumn id="199" xr3:uid="{00000000-0010-0000-2E00-0000C7000000}" name="Column199" dataDxfId="3127"/>
    <tableColumn id="200" xr3:uid="{00000000-0010-0000-2E00-0000C8000000}" name="Column200" dataDxfId="3126"/>
    <tableColumn id="201" xr3:uid="{00000000-0010-0000-2E00-0000C9000000}" name="Column201" dataDxfId="3125"/>
    <tableColumn id="202" xr3:uid="{00000000-0010-0000-2E00-0000CA000000}" name="Column202" dataDxfId="3124"/>
    <tableColumn id="203" xr3:uid="{00000000-0010-0000-2E00-0000CB000000}" name="Column203" dataDxfId="3123"/>
    <tableColumn id="204" xr3:uid="{00000000-0010-0000-2E00-0000CC000000}" name="Column204" dataDxfId="3122"/>
    <tableColumn id="205" xr3:uid="{00000000-0010-0000-2E00-0000CD000000}" name="Column205" dataDxfId="3121"/>
    <tableColumn id="206" xr3:uid="{00000000-0010-0000-2E00-0000CE000000}" name="Column206" dataDxfId="3120"/>
    <tableColumn id="207" xr3:uid="{00000000-0010-0000-2E00-0000CF000000}" name="Column207" dataDxfId="3119"/>
    <tableColumn id="208" xr3:uid="{00000000-0010-0000-2E00-0000D0000000}" name="Column208" dataDxfId="3118"/>
    <tableColumn id="209" xr3:uid="{00000000-0010-0000-2E00-0000D1000000}" name="Column209" dataDxfId="3117"/>
    <tableColumn id="210" xr3:uid="{00000000-0010-0000-2E00-0000D2000000}" name="Column210" dataDxfId="3116"/>
    <tableColumn id="211" xr3:uid="{B78C6AFE-B22A-413D-B938-CEB0E04CAE42}" name="Colonne1" dataDxfId="3115"/>
    <tableColumn id="212" xr3:uid="{6DD6AC2F-A998-45FE-AD85-C048E0BBA529}" name="Colonne2" dataDxfId="3114"/>
    <tableColumn id="213" xr3:uid="{8CED8F85-38BF-4A8F-9DB6-274934090977}" name="Colonne3" dataDxfId="3113"/>
    <tableColumn id="214" xr3:uid="{E6034749-9A7F-492C-B9E6-4A2BDA7CC6BB}" name="Colonne4" dataDxfId="3112"/>
    <tableColumn id="215" xr3:uid="{2BA9F60F-F4F2-4602-A91A-A9CBB6D4B091}" name="Colonne5" dataDxfId="3111"/>
    <tableColumn id="216" xr3:uid="{C62C5678-C321-4F82-8ADA-C6988151E988}" name="Colonne6" dataDxfId="3110"/>
    <tableColumn id="217" xr3:uid="{F48ED48A-EF5B-4CEA-BF50-343382F1DD56}" name="Colonne7" dataDxfId="3109"/>
    <tableColumn id="218" xr3:uid="{06A252FD-4800-4554-82FD-BCDA77C7116E}" name="Colonne8" dataDxfId="3108"/>
  </tableColumns>
  <tableStyleInfo name="New BO-style 23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_48" displayName="Table_48" ref="CH25:EY25" headerRowCount="0" headerRowDxfId="3107" dataDxfId="3106" totalsRowDxfId="3105">
  <tableColumns count="70">
    <tableColumn id="1" xr3:uid="{00000000-0010-0000-2F00-000001000000}" name="Column1" dataDxfId="3104"/>
    <tableColumn id="2" xr3:uid="{00000000-0010-0000-2F00-000002000000}" name="Column2" dataDxfId="3103"/>
    <tableColumn id="3" xr3:uid="{00000000-0010-0000-2F00-000003000000}" name="Column3" dataDxfId="3102"/>
    <tableColumn id="4" xr3:uid="{00000000-0010-0000-2F00-000004000000}" name="Column4" dataDxfId="3101"/>
    <tableColumn id="5" xr3:uid="{00000000-0010-0000-2F00-000005000000}" name="Column5" dataDxfId="3100"/>
    <tableColumn id="6" xr3:uid="{00000000-0010-0000-2F00-000006000000}" name="Column6" dataDxfId="3099"/>
    <tableColumn id="7" xr3:uid="{00000000-0010-0000-2F00-000007000000}" name="Column7" dataDxfId="3098"/>
    <tableColumn id="8" xr3:uid="{00000000-0010-0000-2F00-000008000000}" name="Column8" dataDxfId="3097"/>
    <tableColumn id="9" xr3:uid="{00000000-0010-0000-2F00-000009000000}" name="Column9" dataDxfId="3096"/>
    <tableColumn id="10" xr3:uid="{00000000-0010-0000-2F00-00000A000000}" name="Column10" dataDxfId="3095"/>
    <tableColumn id="11" xr3:uid="{00000000-0010-0000-2F00-00000B000000}" name="Column11" dataDxfId="3094"/>
    <tableColumn id="12" xr3:uid="{00000000-0010-0000-2F00-00000C000000}" name="Column12" dataDxfId="3093"/>
    <tableColumn id="13" xr3:uid="{00000000-0010-0000-2F00-00000D000000}" name="Column13" dataDxfId="3092"/>
    <tableColumn id="14" xr3:uid="{00000000-0010-0000-2F00-00000E000000}" name="Column14" dataDxfId="3091"/>
    <tableColumn id="15" xr3:uid="{00000000-0010-0000-2F00-00000F000000}" name="Column15" dataDxfId="3090"/>
    <tableColumn id="16" xr3:uid="{00000000-0010-0000-2F00-000010000000}" name="Column16" dataDxfId="3089"/>
    <tableColumn id="17" xr3:uid="{00000000-0010-0000-2F00-000011000000}" name="Column17" dataDxfId="3088"/>
    <tableColumn id="18" xr3:uid="{00000000-0010-0000-2F00-000012000000}" name="Column18" dataDxfId="3087"/>
    <tableColumn id="19" xr3:uid="{00000000-0010-0000-2F00-000013000000}" name="Column19" dataDxfId="3086"/>
    <tableColumn id="20" xr3:uid="{00000000-0010-0000-2F00-000014000000}" name="Column20" dataDxfId="3085"/>
    <tableColumn id="21" xr3:uid="{00000000-0010-0000-2F00-000015000000}" name="Column21" dataDxfId="3084"/>
    <tableColumn id="22" xr3:uid="{00000000-0010-0000-2F00-000016000000}" name="Column22" dataDxfId="3083"/>
    <tableColumn id="23" xr3:uid="{00000000-0010-0000-2F00-000017000000}" name="Column23" dataDxfId="3082"/>
    <tableColumn id="24" xr3:uid="{00000000-0010-0000-2F00-000018000000}" name="Column24" dataDxfId="3081"/>
    <tableColumn id="25" xr3:uid="{00000000-0010-0000-2F00-000019000000}" name="Column25" dataDxfId="3080"/>
    <tableColumn id="26" xr3:uid="{00000000-0010-0000-2F00-00001A000000}" name="Column26" dataDxfId="3079"/>
    <tableColumn id="27" xr3:uid="{00000000-0010-0000-2F00-00001B000000}" name="Column27" dataDxfId="3078"/>
    <tableColumn id="28" xr3:uid="{00000000-0010-0000-2F00-00001C000000}" name="Column28" dataDxfId="3077"/>
    <tableColumn id="29" xr3:uid="{00000000-0010-0000-2F00-00001D000000}" name="Column29" dataDxfId="3076"/>
    <tableColumn id="30" xr3:uid="{00000000-0010-0000-2F00-00001E000000}" name="Column30" dataDxfId="3075"/>
    <tableColumn id="31" xr3:uid="{00000000-0010-0000-2F00-00001F000000}" name="Column31" dataDxfId="3074"/>
    <tableColumn id="32" xr3:uid="{00000000-0010-0000-2F00-000020000000}" name="Column32" dataDxfId="3073"/>
    <tableColumn id="33" xr3:uid="{00000000-0010-0000-2F00-000021000000}" name="Column33" dataDxfId="3072"/>
    <tableColumn id="34" xr3:uid="{00000000-0010-0000-2F00-000022000000}" name="Column34" dataDxfId="3071"/>
    <tableColumn id="35" xr3:uid="{00000000-0010-0000-2F00-000023000000}" name="Column35" dataDxfId="3070"/>
    <tableColumn id="36" xr3:uid="{00000000-0010-0000-2F00-000024000000}" name="Column36" dataDxfId="3069"/>
    <tableColumn id="37" xr3:uid="{00000000-0010-0000-2F00-000025000000}" name="Column37" dataDxfId="3068"/>
    <tableColumn id="38" xr3:uid="{00000000-0010-0000-2F00-000026000000}" name="Column38" dataDxfId="3067"/>
    <tableColumn id="39" xr3:uid="{00000000-0010-0000-2F00-000027000000}" name="Column39" dataDxfId="3066"/>
    <tableColumn id="40" xr3:uid="{00000000-0010-0000-2F00-000028000000}" name="Column40" dataDxfId="3065"/>
    <tableColumn id="41" xr3:uid="{00000000-0010-0000-2F00-000029000000}" name="Column41" dataDxfId="3064"/>
    <tableColumn id="42" xr3:uid="{00000000-0010-0000-2F00-00002A000000}" name="Column42" dataDxfId="3063"/>
    <tableColumn id="43" xr3:uid="{00000000-0010-0000-2F00-00002B000000}" name="Column43" dataDxfId="3062"/>
    <tableColumn id="44" xr3:uid="{00000000-0010-0000-2F00-00002C000000}" name="Column44" dataDxfId="3061"/>
    <tableColumn id="45" xr3:uid="{00000000-0010-0000-2F00-00002D000000}" name="Column45" dataDxfId="3060"/>
    <tableColumn id="46" xr3:uid="{00000000-0010-0000-2F00-00002E000000}" name="Column46" dataDxfId="3059"/>
    <tableColumn id="47" xr3:uid="{00000000-0010-0000-2F00-00002F000000}" name="Column47" dataDxfId="3058"/>
    <tableColumn id="48" xr3:uid="{00000000-0010-0000-2F00-000030000000}" name="Column48" dataDxfId="3057"/>
    <tableColumn id="49" xr3:uid="{00000000-0010-0000-2F00-000031000000}" name="Column49" dataDxfId="3056"/>
    <tableColumn id="50" xr3:uid="{00000000-0010-0000-2F00-000032000000}" name="Column50" dataDxfId="3055"/>
    <tableColumn id="51" xr3:uid="{00000000-0010-0000-2F00-000033000000}" name="Column51" dataDxfId="3054"/>
    <tableColumn id="52" xr3:uid="{00000000-0010-0000-2F00-000034000000}" name="Column52" dataDxfId="3053"/>
    <tableColumn id="53" xr3:uid="{00000000-0010-0000-2F00-000035000000}" name="Column53" dataDxfId="3052"/>
    <tableColumn id="54" xr3:uid="{00000000-0010-0000-2F00-000036000000}" name="Column54" dataDxfId="3051"/>
    <tableColumn id="55" xr3:uid="{00000000-0010-0000-2F00-000037000000}" name="Column55" dataDxfId="3050"/>
    <tableColumn id="56" xr3:uid="{00000000-0010-0000-2F00-000038000000}" name="Column56" dataDxfId="3049"/>
    <tableColumn id="57" xr3:uid="{00000000-0010-0000-2F00-000039000000}" name="Column57" dataDxfId="3048"/>
    <tableColumn id="58" xr3:uid="{00000000-0010-0000-2F00-00003A000000}" name="Column58" dataDxfId="3047"/>
    <tableColumn id="59" xr3:uid="{00000000-0010-0000-2F00-00003B000000}" name="Column59" dataDxfId="3046"/>
    <tableColumn id="60" xr3:uid="{00000000-0010-0000-2F00-00003C000000}" name="Column60" dataDxfId="3045"/>
    <tableColumn id="61" xr3:uid="{00000000-0010-0000-2F00-00003D000000}" name="Column61" dataDxfId="3044"/>
    <tableColumn id="62" xr3:uid="{00000000-0010-0000-2F00-00003E000000}" name="Column62" dataDxfId="3043"/>
    <tableColumn id="63" xr3:uid="{00000000-0010-0000-2F00-00003F000000}" name="Column63" dataDxfId="3042"/>
    <tableColumn id="64" xr3:uid="{00000000-0010-0000-2F00-000040000000}" name="Column64" dataDxfId="3041"/>
    <tableColumn id="65" xr3:uid="{00000000-0010-0000-2F00-000041000000}" name="Column65" dataDxfId="3040"/>
    <tableColumn id="66" xr3:uid="{00000000-0010-0000-2F00-000042000000}" name="Column66" dataDxfId="3039"/>
    <tableColumn id="67" xr3:uid="{00000000-0010-0000-2F00-000043000000}" name="Column67" dataDxfId="3038"/>
    <tableColumn id="68" xr3:uid="{00000000-0010-0000-2F00-000044000000}" name="Column68" dataDxfId="3037"/>
    <tableColumn id="69" xr3:uid="{00000000-0010-0000-2F00-000045000000}" name="Column69" dataDxfId="3036"/>
    <tableColumn id="70" xr3:uid="{00000000-0010-0000-2F00-000046000000}" name="Column70" dataDxfId="3035"/>
  </tableColumns>
  <tableStyleInfo name="New BO-style 24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_49" displayName="Table_49" ref="BT26:JW26" headerRowCount="0" headerRowDxfId="3034" dataDxfId="3033" totalsRowDxfId="3032">
  <tableColumns count="212">
    <tableColumn id="1" xr3:uid="{00000000-0010-0000-3000-000001000000}" name="Column1" dataDxfId="3031"/>
    <tableColumn id="2" xr3:uid="{00000000-0010-0000-3000-000002000000}" name="Column2" dataDxfId="3030"/>
    <tableColumn id="3" xr3:uid="{00000000-0010-0000-3000-000003000000}" name="Column3" dataDxfId="3029"/>
    <tableColumn id="4" xr3:uid="{00000000-0010-0000-3000-000004000000}" name="Column4" dataDxfId="3028"/>
    <tableColumn id="5" xr3:uid="{00000000-0010-0000-3000-000005000000}" name="Column5" dataDxfId="3027"/>
    <tableColumn id="6" xr3:uid="{00000000-0010-0000-3000-000006000000}" name="Column6" dataDxfId="3026"/>
    <tableColumn id="7" xr3:uid="{00000000-0010-0000-3000-000007000000}" name="Column7" dataDxfId="3025"/>
    <tableColumn id="8" xr3:uid="{00000000-0010-0000-3000-000008000000}" name="Column8" dataDxfId="3024"/>
    <tableColumn id="9" xr3:uid="{00000000-0010-0000-3000-000009000000}" name="Column9" dataDxfId="3023"/>
    <tableColumn id="10" xr3:uid="{00000000-0010-0000-3000-00000A000000}" name="Column10" dataDxfId="3022"/>
    <tableColumn id="11" xr3:uid="{00000000-0010-0000-3000-00000B000000}" name="Column11" dataDxfId="3021"/>
    <tableColumn id="12" xr3:uid="{00000000-0010-0000-3000-00000C000000}" name="Column12" dataDxfId="3020"/>
    <tableColumn id="13" xr3:uid="{00000000-0010-0000-3000-00000D000000}" name="Column13" dataDxfId="3019"/>
    <tableColumn id="14" xr3:uid="{00000000-0010-0000-3000-00000E000000}" name="Column14" dataDxfId="3018"/>
    <tableColumn id="15" xr3:uid="{00000000-0010-0000-3000-00000F000000}" name="Column15" dataDxfId="3017"/>
    <tableColumn id="16" xr3:uid="{00000000-0010-0000-3000-000010000000}" name="Column16" dataDxfId="3016"/>
    <tableColumn id="17" xr3:uid="{00000000-0010-0000-3000-000011000000}" name="Column17" dataDxfId="3015"/>
    <tableColumn id="18" xr3:uid="{00000000-0010-0000-3000-000012000000}" name="Column18" dataDxfId="3014"/>
    <tableColumn id="19" xr3:uid="{00000000-0010-0000-3000-000013000000}" name="Column19" dataDxfId="3013"/>
    <tableColumn id="20" xr3:uid="{00000000-0010-0000-3000-000014000000}" name="Column20" dataDxfId="3012"/>
    <tableColumn id="21" xr3:uid="{00000000-0010-0000-3000-000015000000}" name="Column21" dataDxfId="3011"/>
    <tableColumn id="22" xr3:uid="{00000000-0010-0000-3000-000016000000}" name="Column22" dataDxfId="3010"/>
    <tableColumn id="23" xr3:uid="{00000000-0010-0000-3000-000017000000}" name="Column23" dataDxfId="3009"/>
    <tableColumn id="24" xr3:uid="{00000000-0010-0000-3000-000018000000}" name="Column24" dataDxfId="3008"/>
    <tableColumn id="25" xr3:uid="{00000000-0010-0000-3000-000019000000}" name="Column25" dataDxfId="3007"/>
    <tableColumn id="26" xr3:uid="{00000000-0010-0000-3000-00001A000000}" name="Column26" dataDxfId="3006"/>
    <tableColumn id="27" xr3:uid="{00000000-0010-0000-3000-00001B000000}" name="Column27" dataDxfId="3005"/>
    <tableColumn id="28" xr3:uid="{00000000-0010-0000-3000-00001C000000}" name="Column28" dataDxfId="3004"/>
    <tableColumn id="29" xr3:uid="{00000000-0010-0000-3000-00001D000000}" name="Column29" dataDxfId="3003"/>
    <tableColumn id="30" xr3:uid="{00000000-0010-0000-3000-00001E000000}" name="Column30" dataDxfId="3002"/>
    <tableColumn id="31" xr3:uid="{00000000-0010-0000-3000-00001F000000}" name="Column31" dataDxfId="3001"/>
    <tableColumn id="32" xr3:uid="{00000000-0010-0000-3000-000020000000}" name="Column32" dataDxfId="3000"/>
    <tableColumn id="33" xr3:uid="{00000000-0010-0000-3000-000021000000}" name="Column33" dataDxfId="2999"/>
    <tableColumn id="34" xr3:uid="{00000000-0010-0000-3000-000022000000}" name="Column34" dataDxfId="2998"/>
    <tableColumn id="35" xr3:uid="{00000000-0010-0000-3000-000023000000}" name="Column35" dataDxfId="2997"/>
    <tableColumn id="36" xr3:uid="{00000000-0010-0000-3000-000024000000}" name="Column36" dataDxfId="2996"/>
    <tableColumn id="37" xr3:uid="{00000000-0010-0000-3000-000025000000}" name="Column37" dataDxfId="2995"/>
    <tableColumn id="38" xr3:uid="{00000000-0010-0000-3000-000026000000}" name="Column38" dataDxfId="2994"/>
    <tableColumn id="39" xr3:uid="{00000000-0010-0000-3000-000027000000}" name="Column39" dataDxfId="2993"/>
    <tableColumn id="40" xr3:uid="{00000000-0010-0000-3000-000028000000}" name="Column40" dataDxfId="2992"/>
    <tableColumn id="41" xr3:uid="{00000000-0010-0000-3000-000029000000}" name="Column41" dataDxfId="2991"/>
    <tableColumn id="42" xr3:uid="{00000000-0010-0000-3000-00002A000000}" name="Column42" dataDxfId="2990"/>
    <tableColumn id="43" xr3:uid="{00000000-0010-0000-3000-00002B000000}" name="Column43" dataDxfId="2989"/>
    <tableColumn id="44" xr3:uid="{00000000-0010-0000-3000-00002C000000}" name="Column44" dataDxfId="2988"/>
    <tableColumn id="45" xr3:uid="{00000000-0010-0000-3000-00002D000000}" name="Column45" dataDxfId="2987"/>
    <tableColumn id="46" xr3:uid="{00000000-0010-0000-3000-00002E000000}" name="Column46" dataDxfId="2986"/>
    <tableColumn id="47" xr3:uid="{00000000-0010-0000-3000-00002F000000}" name="Column47" dataDxfId="2985"/>
    <tableColumn id="48" xr3:uid="{00000000-0010-0000-3000-000030000000}" name="Column48" dataDxfId="2984"/>
    <tableColumn id="49" xr3:uid="{00000000-0010-0000-3000-000031000000}" name="Column49" dataDxfId="2983"/>
    <tableColumn id="50" xr3:uid="{00000000-0010-0000-3000-000032000000}" name="Column50" dataDxfId="2982"/>
    <tableColumn id="51" xr3:uid="{00000000-0010-0000-3000-000033000000}" name="Column51" dataDxfId="2981"/>
    <tableColumn id="52" xr3:uid="{00000000-0010-0000-3000-000034000000}" name="Column52" dataDxfId="2980"/>
    <tableColumn id="53" xr3:uid="{00000000-0010-0000-3000-000035000000}" name="Column53" dataDxfId="2979"/>
    <tableColumn id="54" xr3:uid="{00000000-0010-0000-3000-000036000000}" name="Column54" dataDxfId="2978"/>
    <tableColumn id="55" xr3:uid="{00000000-0010-0000-3000-000037000000}" name="Column55" dataDxfId="2977"/>
    <tableColumn id="56" xr3:uid="{00000000-0010-0000-3000-000038000000}" name="Column56" dataDxfId="2976"/>
    <tableColumn id="57" xr3:uid="{00000000-0010-0000-3000-000039000000}" name="Column57" dataDxfId="2975"/>
    <tableColumn id="58" xr3:uid="{00000000-0010-0000-3000-00003A000000}" name="Column58" dataDxfId="2974"/>
    <tableColumn id="59" xr3:uid="{00000000-0010-0000-3000-00003B000000}" name="Column59" dataDxfId="2973"/>
    <tableColumn id="60" xr3:uid="{00000000-0010-0000-3000-00003C000000}" name="Column60" dataDxfId="2972"/>
    <tableColumn id="61" xr3:uid="{00000000-0010-0000-3000-00003D000000}" name="Column61" dataDxfId="2971"/>
    <tableColumn id="62" xr3:uid="{00000000-0010-0000-3000-00003E000000}" name="Column62" dataDxfId="2970"/>
    <tableColumn id="63" xr3:uid="{00000000-0010-0000-3000-00003F000000}" name="Column63" dataDxfId="2969"/>
    <tableColumn id="64" xr3:uid="{00000000-0010-0000-3000-000040000000}" name="Column64" dataDxfId="2968"/>
    <tableColumn id="65" xr3:uid="{00000000-0010-0000-3000-000041000000}" name="Column65" dataDxfId="2967"/>
    <tableColumn id="66" xr3:uid="{00000000-0010-0000-3000-000042000000}" name="Column66" dataDxfId="2966"/>
    <tableColumn id="67" xr3:uid="{00000000-0010-0000-3000-000043000000}" name="Column67" dataDxfId="2965"/>
    <tableColumn id="68" xr3:uid="{00000000-0010-0000-3000-000044000000}" name="Column68" dataDxfId="2964"/>
    <tableColumn id="69" xr3:uid="{00000000-0010-0000-3000-000045000000}" name="Column69" dataDxfId="2963"/>
    <tableColumn id="70" xr3:uid="{00000000-0010-0000-3000-000046000000}" name="Column70" dataDxfId="2962"/>
    <tableColumn id="71" xr3:uid="{00000000-0010-0000-3000-000047000000}" name="Column71" dataDxfId="2961"/>
    <tableColumn id="72" xr3:uid="{00000000-0010-0000-3000-000048000000}" name="Column72" dataDxfId="2960"/>
    <tableColumn id="73" xr3:uid="{00000000-0010-0000-3000-000049000000}" name="Column73" dataDxfId="2959"/>
    <tableColumn id="74" xr3:uid="{00000000-0010-0000-3000-00004A000000}" name="Column74" dataDxfId="2958"/>
    <tableColumn id="75" xr3:uid="{00000000-0010-0000-3000-00004B000000}" name="Column75" dataDxfId="2957"/>
    <tableColumn id="76" xr3:uid="{00000000-0010-0000-3000-00004C000000}" name="Column76" dataDxfId="2956"/>
    <tableColumn id="77" xr3:uid="{00000000-0010-0000-3000-00004D000000}" name="Column77" dataDxfId="2955"/>
    <tableColumn id="78" xr3:uid="{00000000-0010-0000-3000-00004E000000}" name="Column78" dataDxfId="2954"/>
    <tableColumn id="79" xr3:uid="{00000000-0010-0000-3000-00004F000000}" name="Column79" dataDxfId="2953"/>
    <tableColumn id="80" xr3:uid="{00000000-0010-0000-3000-000050000000}" name="Column80" dataDxfId="2952"/>
    <tableColumn id="81" xr3:uid="{00000000-0010-0000-3000-000051000000}" name="Column81" dataDxfId="2951"/>
    <tableColumn id="82" xr3:uid="{00000000-0010-0000-3000-000052000000}" name="Column82" dataDxfId="2950"/>
    <tableColumn id="83" xr3:uid="{00000000-0010-0000-3000-000053000000}" name="Column83" dataDxfId="2949"/>
    <tableColumn id="84" xr3:uid="{00000000-0010-0000-3000-000054000000}" name="Column84" dataDxfId="2948"/>
    <tableColumn id="85" xr3:uid="{00000000-0010-0000-3000-000055000000}" name="Column85" dataDxfId="2947"/>
    <tableColumn id="86" xr3:uid="{00000000-0010-0000-3000-000056000000}" name="Column86" dataDxfId="2946"/>
    <tableColumn id="87" xr3:uid="{00000000-0010-0000-3000-000057000000}" name="Column87" dataDxfId="2945"/>
    <tableColumn id="88" xr3:uid="{00000000-0010-0000-3000-000058000000}" name="Column88" dataDxfId="2944"/>
    <tableColumn id="89" xr3:uid="{00000000-0010-0000-3000-000059000000}" name="Column89" dataDxfId="2943"/>
    <tableColumn id="90" xr3:uid="{00000000-0010-0000-3000-00005A000000}" name="Column90" dataDxfId="2942"/>
    <tableColumn id="91" xr3:uid="{00000000-0010-0000-3000-00005B000000}" name="Column91" dataDxfId="2941"/>
    <tableColumn id="92" xr3:uid="{00000000-0010-0000-3000-00005C000000}" name="Column92" dataDxfId="2940"/>
    <tableColumn id="93" xr3:uid="{00000000-0010-0000-3000-00005D000000}" name="Column93" dataDxfId="2939"/>
    <tableColumn id="94" xr3:uid="{00000000-0010-0000-3000-00005E000000}" name="Column94" dataDxfId="2938"/>
    <tableColumn id="95" xr3:uid="{00000000-0010-0000-3000-00005F000000}" name="Column95" dataDxfId="2937"/>
    <tableColumn id="96" xr3:uid="{00000000-0010-0000-3000-000060000000}" name="Column96" dataDxfId="2936"/>
    <tableColumn id="97" xr3:uid="{00000000-0010-0000-3000-000061000000}" name="Column97" dataDxfId="2935"/>
    <tableColumn id="98" xr3:uid="{00000000-0010-0000-3000-000062000000}" name="Column98" dataDxfId="2934"/>
    <tableColumn id="99" xr3:uid="{00000000-0010-0000-3000-000063000000}" name="Column99" dataDxfId="2933"/>
    <tableColumn id="100" xr3:uid="{00000000-0010-0000-3000-000064000000}" name="Column100" dataDxfId="2932"/>
    <tableColumn id="101" xr3:uid="{00000000-0010-0000-3000-000065000000}" name="Column101" dataDxfId="2931"/>
    <tableColumn id="102" xr3:uid="{00000000-0010-0000-3000-000066000000}" name="Column102" dataDxfId="2930"/>
    <tableColumn id="103" xr3:uid="{00000000-0010-0000-3000-000067000000}" name="Column103" dataDxfId="2929"/>
    <tableColumn id="104" xr3:uid="{00000000-0010-0000-3000-000068000000}" name="Column104" dataDxfId="2928"/>
    <tableColumn id="105" xr3:uid="{00000000-0010-0000-3000-000069000000}" name="Column105" dataDxfId="2927"/>
    <tableColumn id="106" xr3:uid="{00000000-0010-0000-3000-00006A000000}" name="Column106" dataDxfId="2926"/>
    <tableColumn id="107" xr3:uid="{00000000-0010-0000-3000-00006B000000}" name="Column107" dataDxfId="2925"/>
    <tableColumn id="108" xr3:uid="{00000000-0010-0000-3000-00006C000000}" name="Column108" dataDxfId="2924"/>
    <tableColumn id="109" xr3:uid="{00000000-0010-0000-3000-00006D000000}" name="Column109" dataDxfId="2923"/>
    <tableColumn id="110" xr3:uid="{00000000-0010-0000-3000-00006E000000}" name="Column110" dataDxfId="2922"/>
    <tableColumn id="111" xr3:uid="{00000000-0010-0000-3000-00006F000000}" name="Column111" dataDxfId="2921"/>
    <tableColumn id="112" xr3:uid="{00000000-0010-0000-3000-000070000000}" name="Column112" dataDxfId="2920"/>
    <tableColumn id="113" xr3:uid="{00000000-0010-0000-3000-000071000000}" name="Column113" dataDxfId="2919"/>
    <tableColumn id="114" xr3:uid="{00000000-0010-0000-3000-000072000000}" name="Column114" dataDxfId="2918"/>
    <tableColumn id="115" xr3:uid="{00000000-0010-0000-3000-000073000000}" name="Column115" dataDxfId="2917"/>
    <tableColumn id="116" xr3:uid="{00000000-0010-0000-3000-000074000000}" name="Column116" dataDxfId="2916"/>
    <tableColumn id="117" xr3:uid="{00000000-0010-0000-3000-000075000000}" name="Column117" dataDxfId="2915"/>
    <tableColumn id="118" xr3:uid="{00000000-0010-0000-3000-000076000000}" name="Column118" dataDxfId="2914"/>
    <tableColumn id="119" xr3:uid="{00000000-0010-0000-3000-000077000000}" name="Column119" dataDxfId="2913"/>
    <tableColumn id="120" xr3:uid="{00000000-0010-0000-3000-000078000000}" name="Column120" dataDxfId="2912"/>
    <tableColumn id="121" xr3:uid="{00000000-0010-0000-3000-000079000000}" name="Column121" dataDxfId="2911"/>
    <tableColumn id="122" xr3:uid="{00000000-0010-0000-3000-00007A000000}" name="Column122" dataDxfId="2910"/>
    <tableColumn id="123" xr3:uid="{00000000-0010-0000-3000-00007B000000}" name="Column123" dataDxfId="2909"/>
    <tableColumn id="124" xr3:uid="{00000000-0010-0000-3000-00007C000000}" name="Column124" dataDxfId="2908"/>
    <tableColumn id="125" xr3:uid="{00000000-0010-0000-3000-00007D000000}" name="Column125" dataDxfId="2907"/>
    <tableColumn id="126" xr3:uid="{00000000-0010-0000-3000-00007E000000}" name="Column126" dataDxfId="2906"/>
    <tableColumn id="127" xr3:uid="{00000000-0010-0000-3000-00007F000000}" name="Column127" dataDxfId="2905"/>
    <tableColumn id="128" xr3:uid="{00000000-0010-0000-3000-000080000000}" name="Column128" dataDxfId="2904"/>
    <tableColumn id="129" xr3:uid="{00000000-0010-0000-3000-000081000000}" name="Column129" dataDxfId="2903"/>
    <tableColumn id="130" xr3:uid="{00000000-0010-0000-3000-000082000000}" name="Column130" dataDxfId="2902"/>
    <tableColumn id="131" xr3:uid="{00000000-0010-0000-3000-000083000000}" name="Column131" dataDxfId="2901"/>
    <tableColumn id="132" xr3:uid="{00000000-0010-0000-3000-000084000000}" name="Column132" dataDxfId="2900"/>
    <tableColumn id="133" xr3:uid="{00000000-0010-0000-3000-000085000000}" name="Column133" dataDxfId="2899"/>
    <tableColumn id="134" xr3:uid="{00000000-0010-0000-3000-000086000000}" name="Column134" dataDxfId="2898"/>
    <tableColumn id="135" xr3:uid="{00000000-0010-0000-3000-000087000000}" name="Column135" dataDxfId="2897"/>
    <tableColumn id="136" xr3:uid="{00000000-0010-0000-3000-000088000000}" name="Column136" dataDxfId="2896"/>
    <tableColumn id="137" xr3:uid="{00000000-0010-0000-3000-000089000000}" name="Column137" dataDxfId="2895"/>
    <tableColumn id="138" xr3:uid="{00000000-0010-0000-3000-00008A000000}" name="Column138" dataDxfId="2894"/>
    <tableColumn id="139" xr3:uid="{00000000-0010-0000-3000-00008B000000}" name="Column139" dataDxfId="2893"/>
    <tableColumn id="140" xr3:uid="{00000000-0010-0000-3000-00008C000000}" name="Column140" dataDxfId="2892"/>
    <tableColumn id="141" xr3:uid="{00000000-0010-0000-3000-00008D000000}" name="Column141" dataDxfId="2891"/>
    <tableColumn id="142" xr3:uid="{00000000-0010-0000-3000-00008E000000}" name="Column142" dataDxfId="2890"/>
    <tableColumn id="143" xr3:uid="{00000000-0010-0000-3000-00008F000000}" name="Column143" dataDxfId="2889"/>
    <tableColumn id="144" xr3:uid="{00000000-0010-0000-3000-000090000000}" name="Column144" dataDxfId="2888"/>
    <tableColumn id="145" xr3:uid="{00000000-0010-0000-3000-000091000000}" name="Column145" dataDxfId="2887"/>
    <tableColumn id="146" xr3:uid="{00000000-0010-0000-3000-000092000000}" name="Column146" dataDxfId="2886"/>
    <tableColumn id="147" xr3:uid="{00000000-0010-0000-3000-000093000000}" name="Column147" dataDxfId="2885"/>
    <tableColumn id="148" xr3:uid="{00000000-0010-0000-3000-000094000000}" name="Column148" dataDxfId="2884"/>
    <tableColumn id="149" xr3:uid="{00000000-0010-0000-3000-000095000000}" name="Column149" dataDxfId="2883"/>
    <tableColumn id="150" xr3:uid="{00000000-0010-0000-3000-000096000000}" name="Column150" dataDxfId="2882"/>
    <tableColumn id="151" xr3:uid="{00000000-0010-0000-3000-000097000000}" name="Column151" dataDxfId="2881"/>
    <tableColumn id="152" xr3:uid="{00000000-0010-0000-3000-000098000000}" name="Column152" dataDxfId="2880"/>
    <tableColumn id="153" xr3:uid="{00000000-0010-0000-3000-000099000000}" name="Column153" dataDxfId="2879"/>
    <tableColumn id="154" xr3:uid="{00000000-0010-0000-3000-00009A000000}" name="Column154" dataDxfId="2878"/>
    <tableColumn id="155" xr3:uid="{00000000-0010-0000-3000-00009B000000}" name="Column155" dataDxfId="2877"/>
    <tableColumn id="156" xr3:uid="{00000000-0010-0000-3000-00009C000000}" name="Column156" dataDxfId="2876"/>
    <tableColumn id="157" xr3:uid="{00000000-0010-0000-3000-00009D000000}" name="Column157" dataDxfId="2875"/>
    <tableColumn id="158" xr3:uid="{00000000-0010-0000-3000-00009E000000}" name="Column158" dataDxfId="2874"/>
    <tableColumn id="159" xr3:uid="{00000000-0010-0000-3000-00009F000000}" name="Column159" dataDxfId="2873"/>
    <tableColumn id="160" xr3:uid="{00000000-0010-0000-3000-0000A0000000}" name="Column160" dataDxfId="2872"/>
    <tableColumn id="161" xr3:uid="{00000000-0010-0000-3000-0000A1000000}" name="Column161" dataDxfId="2871"/>
    <tableColumn id="162" xr3:uid="{00000000-0010-0000-3000-0000A2000000}" name="Column162" dataDxfId="2870"/>
    <tableColumn id="163" xr3:uid="{00000000-0010-0000-3000-0000A3000000}" name="Column163" dataDxfId="2869"/>
    <tableColumn id="164" xr3:uid="{00000000-0010-0000-3000-0000A4000000}" name="Column164" dataDxfId="2868"/>
    <tableColumn id="165" xr3:uid="{00000000-0010-0000-3000-0000A5000000}" name="Column165" dataDxfId="2867"/>
    <tableColumn id="166" xr3:uid="{00000000-0010-0000-3000-0000A6000000}" name="Column166" dataDxfId="2866"/>
    <tableColumn id="167" xr3:uid="{00000000-0010-0000-3000-0000A7000000}" name="Column167" dataDxfId="2865"/>
    <tableColumn id="168" xr3:uid="{00000000-0010-0000-3000-0000A8000000}" name="Column168" dataDxfId="2864"/>
    <tableColumn id="169" xr3:uid="{00000000-0010-0000-3000-0000A9000000}" name="Column169" dataDxfId="2863"/>
    <tableColumn id="170" xr3:uid="{00000000-0010-0000-3000-0000AA000000}" name="Column170" dataDxfId="2862"/>
    <tableColumn id="171" xr3:uid="{00000000-0010-0000-3000-0000AB000000}" name="Column171" dataDxfId="2861"/>
    <tableColumn id="172" xr3:uid="{00000000-0010-0000-3000-0000AC000000}" name="Column172" dataDxfId="2860"/>
    <tableColumn id="173" xr3:uid="{00000000-0010-0000-3000-0000AD000000}" name="Column173" dataDxfId="2859"/>
    <tableColumn id="174" xr3:uid="{00000000-0010-0000-3000-0000AE000000}" name="Column174" dataDxfId="2858"/>
    <tableColumn id="175" xr3:uid="{00000000-0010-0000-3000-0000AF000000}" name="Column175" dataDxfId="2857"/>
    <tableColumn id="176" xr3:uid="{00000000-0010-0000-3000-0000B0000000}" name="Column176" dataDxfId="2856"/>
    <tableColumn id="177" xr3:uid="{00000000-0010-0000-3000-0000B1000000}" name="Column177" dataDxfId="2855"/>
    <tableColumn id="178" xr3:uid="{00000000-0010-0000-3000-0000B2000000}" name="Column178" dataDxfId="2854"/>
    <tableColumn id="179" xr3:uid="{00000000-0010-0000-3000-0000B3000000}" name="Column179" dataDxfId="2853"/>
    <tableColumn id="180" xr3:uid="{00000000-0010-0000-3000-0000B4000000}" name="Column180" dataDxfId="2852"/>
    <tableColumn id="181" xr3:uid="{00000000-0010-0000-3000-0000B5000000}" name="Column181" dataDxfId="2851"/>
    <tableColumn id="182" xr3:uid="{00000000-0010-0000-3000-0000B6000000}" name="Column182" dataDxfId="2850"/>
    <tableColumn id="183" xr3:uid="{00000000-0010-0000-3000-0000B7000000}" name="Column183" dataDxfId="2849"/>
    <tableColumn id="184" xr3:uid="{00000000-0010-0000-3000-0000B8000000}" name="Column184" dataDxfId="2848"/>
    <tableColumn id="185" xr3:uid="{00000000-0010-0000-3000-0000B9000000}" name="Column185" dataDxfId="2847"/>
    <tableColumn id="186" xr3:uid="{00000000-0010-0000-3000-0000BA000000}" name="Column186" dataDxfId="2846"/>
    <tableColumn id="187" xr3:uid="{00000000-0010-0000-3000-0000BB000000}" name="Column187" dataDxfId="2845"/>
    <tableColumn id="188" xr3:uid="{00000000-0010-0000-3000-0000BC000000}" name="Column188" dataDxfId="2844"/>
    <tableColumn id="189" xr3:uid="{00000000-0010-0000-3000-0000BD000000}" name="Column189" dataDxfId="2843"/>
    <tableColumn id="190" xr3:uid="{00000000-0010-0000-3000-0000BE000000}" name="Column190" dataDxfId="2842"/>
    <tableColumn id="191" xr3:uid="{00000000-0010-0000-3000-0000BF000000}" name="Column191" dataDxfId="2841"/>
    <tableColumn id="192" xr3:uid="{00000000-0010-0000-3000-0000C0000000}" name="Column192" dataDxfId="2840"/>
    <tableColumn id="193" xr3:uid="{00000000-0010-0000-3000-0000C1000000}" name="Column193" dataDxfId="2839"/>
    <tableColumn id="194" xr3:uid="{00000000-0010-0000-3000-0000C2000000}" name="Column194" dataDxfId="2838"/>
    <tableColumn id="195" xr3:uid="{00000000-0010-0000-3000-0000C3000000}" name="Column195" dataDxfId="2837"/>
    <tableColumn id="196" xr3:uid="{00000000-0010-0000-3000-0000C4000000}" name="Column196" dataDxfId="2836"/>
    <tableColumn id="197" xr3:uid="{00000000-0010-0000-3000-0000C5000000}" name="Column197" dataDxfId="2835"/>
    <tableColumn id="198" xr3:uid="{00000000-0010-0000-3000-0000C6000000}" name="Column198" dataDxfId="2834"/>
    <tableColumn id="199" xr3:uid="{00000000-0010-0000-3000-0000C7000000}" name="Column199" dataDxfId="2833"/>
    <tableColumn id="200" xr3:uid="{00000000-0010-0000-3000-0000C8000000}" name="Column200" dataDxfId="2832"/>
    <tableColumn id="201" xr3:uid="{00000000-0010-0000-3000-0000C9000000}" name="Column201" dataDxfId="2831"/>
    <tableColumn id="202" xr3:uid="{00000000-0010-0000-3000-0000CA000000}" name="Column202" dataDxfId="2830"/>
    <tableColumn id="203" xr3:uid="{00000000-0010-0000-3000-0000CB000000}" name="Column203" dataDxfId="2829"/>
    <tableColumn id="204" xr3:uid="{00000000-0010-0000-3000-0000CC000000}" name="Column204" dataDxfId="2828"/>
    <tableColumn id="205" xr3:uid="{00000000-0010-0000-3000-0000CD000000}" name="Column205" dataDxfId="2827"/>
    <tableColumn id="206" xr3:uid="{00000000-0010-0000-3000-0000CE000000}" name="Column206" dataDxfId="2826"/>
    <tableColumn id="207" xr3:uid="{00000000-0010-0000-3000-0000CF000000}" name="Column207" dataDxfId="2825"/>
    <tableColumn id="208" xr3:uid="{00000000-0010-0000-3000-0000D0000000}" name="Column208" dataDxfId="2824"/>
    <tableColumn id="209" xr3:uid="{00000000-0010-0000-3000-0000D1000000}" name="Column209" dataDxfId="2823"/>
    <tableColumn id="210" xr3:uid="{00000000-0010-0000-3000-0000D2000000}" name="Column210" dataDxfId="2822"/>
    <tableColumn id="211" xr3:uid="{35EC7D48-6423-4DDD-BFEB-D82A9D0C5024}" name="Colonne1" dataDxfId="2821"/>
    <tableColumn id="212" xr3:uid="{3C3DF4A4-E527-4566-BA80-B266B15DAA2F}" name="Colonne2" dataDxfId="2820"/>
  </tableColumns>
  <tableStyleInfo name="New BO-style 25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le_50" displayName="Table_50" ref="AB27:JU28" headerRowCount="0" headerRowDxfId="2819" dataDxfId="2818" totalsRowDxfId="2817">
  <tableColumns count="254">
    <tableColumn id="1" xr3:uid="{00000000-0010-0000-3100-000001000000}" name="Column1" dataDxfId="2816"/>
    <tableColumn id="2" xr3:uid="{00000000-0010-0000-3100-000002000000}" name="Column2" dataDxfId="2815"/>
    <tableColumn id="3" xr3:uid="{00000000-0010-0000-3100-000003000000}" name="Column3" dataDxfId="2814"/>
    <tableColumn id="4" xr3:uid="{00000000-0010-0000-3100-000004000000}" name="Column4" dataDxfId="2813"/>
    <tableColumn id="5" xr3:uid="{00000000-0010-0000-3100-000005000000}" name="Column5" dataDxfId="2812"/>
    <tableColumn id="6" xr3:uid="{00000000-0010-0000-3100-000006000000}" name="Column6" dataDxfId="2811"/>
    <tableColumn id="7" xr3:uid="{00000000-0010-0000-3100-000007000000}" name="Column7" dataDxfId="2810"/>
    <tableColumn id="8" xr3:uid="{00000000-0010-0000-3100-000008000000}" name="Column8" dataDxfId="2809"/>
    <tableColumn id="9" xr3:uid="{00000000-0010-0000-3100-000009000000}" name="Column9" dataDxfId="2808"/>
    <tableColumn id="10" xr3:uid="{00000000-0010-0000-3100-00000A000000}" name="Column10" dataDxfId="2807"/>
    <tableColumn id="11" xr3:uid="{00000000-0010-0000-3100-00000B000000}" name="Column11" dataDxfId="2806"/>
    <tableColumn id="12" xr3:uid="{00000000-0010-0000-3100-00000C000000}" name="Column12" dataDxfId="2805"/>
    <tableColumn id="13" xr3:uid="{00000000-0010-0000-3100-00000D000000}" name="Column13" dataDxfId="2804"/>
    <tableColumn id="14" xr3:uid="{00000000-0010-0000-3100-00000E000000}" name="Column14" dataDxfId="2803"/>
    <tableColumn id="15" xr3:uid="{00000000-0010-0000-3100-00000F000000}" name="Column15" dataDxfId="2802"/>
    <tableColumn id="16" xr3:uid="{00000000-0010-0000-3100-000010000000}" name="Column16" dataDxfId="2801"/>
    <tableColumn id="17" xr3:uid="{00000000-0010-0000-3100-000011000000}" name="Column17" dataDxfId="2800"/>
    <tableColumn id="18" xr3:uid="{00000000-0010-0000-3100-000012000000}" name="Column18" dataDxfId="2799"/>
    <tableColumn id="19" xr3:uid="{00000000-0010-0000-3100-000013000000}" name="Column19" dataDxfId="2798"/>
    <tableColumn id="20" xr3:uid="{00000000-0010-0000-3100-000014000000}" name="Column20" dataDxfId="2797"/>
    <tableColumn id="21" xr3:uid="{00000000-0010-0000-3100-000015000000}" name="Column21" dataDxfId="2796"/>
    <tableColumn id="22" xr3:uid="{00000000-0010-0000-3100-000016000000}" name="Column22" dataDxfId="2795"/>
    <tableColumn id="23" xr3:uid="{00000000-0010-0000-3100-000017000000}" name="Column23" dataDxfId="2794"/>
    <tableColumn id="24" xr3:uid="{00000000-0010-0000-3100-000018000000}" name="Column24" dataDxfId="2793"/>
    <tableColumn id="25" xr3:uid="{00000000-0010-0000-3100-000019000000}" name="Column25" dataDxfId="2792"/>
    <tableColumn id="26" xr3:uid="{00000000-0010-0000-3100-00001A000000}" name="Column26" dataDxfId="2791"/>
    <tableColumn id="27" xr3:uid="{00000000-0010-0000-3100-00001B000000}" name="Column27" dataDxfId="2790"/>
    <tableColumn id="28" xr3:uid="{00000000-0010-0000-3100-00001C000000}" name="Column28" dataDxfId="2789"/>
    <tableColumn id="29" xr3:uid="{00000000-0010-0000-3100-00001D000000}" name="Column29" dataDxfId="2788"/>
    <tableColumn id="30" xr3:uid="{00000000-0010-0000-3100-00001E000000}" name="Column30" dataDxfId="2787"/>
    <tableColumn id="31" xr3:uid="{00000000-0010-0000-3100-00001F000000}" name="Column31" dataDxfId="2786"/>
    <tableColumn id="32" xr3:uid="{00000000-0010-0000-3100-000020000000}" name="Column32" dataDxfId="2785"/>
    <tableColumn id="33" xr3:uid="{00000000-0010-0000-3100-000021000000}" name="Column33" dataDxfId="2784"/>
    <tableColumn id="34" xr3:uid="{00000000-0010-0000-3100-000022000000}" name="Column34" dataDxfId="2783"/>
    <tableColumn id="35" xr3:uid="{00000000-0010-0000-3100-000023000000}" name="Column35" dataDxfId="2782"/>
    <tableColumn id="36" xr3:uid="{00000000-0010-0000-3100-000024000000}" name="Column36" dataDxfId="2781"/>
    <tableColumn id="37" xr3:uid="{00000000-0010-0000-3100-000025000000}" name="Column37" dataDxfId="2780"/>
    <tableColumn id="38" xr3:uid="{00000000-0010-0000-3100-000026000000}" name="Column38" dataDxfId="2779"/>
    <tableColumn id="39" xr3:uid="{00000000-0010-0000-3100-000027000000}" name="Column39" dataDxfId="2778"/>
    <tableColumn id="40" xr3:uid="{00000000-0010-0000-3100-000028000000}" name="Column40" dataDxfId="2777"/>
    <tableColumn id="41" xr3:uid="{00000000-0010-0000-3100-000029000000}" name="Column41" dataDxfId="2776"/>
    <tableColumn id="42" xr3:uid="{00000000-0010-0000-3100-00002A000000}" name="Column42" dataDxfId="2775"/>
    <tableColumn id="43" xr3:uid="{00000000-0010-0000-3100-00002B000000}" name="Column43" dataDxfId="2774"/>
    <tableColumn id="44" xr3:uid="{00000000-0010-0000-3100-00002C000000}" name="Column44" dataDxfId="2773"/>
    <tableColumn id="45" xr3:uid="{00000000-0010-0000-3100-00002D000000}" name="Column45" dataDxfId="2772"/>
    <tableColumn id="46" xr3:uid="{00000000-0010-0000-3100-00002E000000}" name="Column46" dataDxfId="2771"/>
    <tableColumn id="47" xr3:uid="{00000000-0010-0000-3100-00002F000000}" name="Column47" dataDxfId="2770"/>
    <tableColumn id="48" xr3:uid="{00000000-0010-0000-3100-000030000000}" name="Column48" dataDxfId="2769"/>
    <tableColumn id="49" xr3:uid="{00000000-0010-0000-3100-000031000000}" name="Column49" dataDxfId="2768"/>
    <tableColumn id="50" xr3:uid="{00000000-0010-0000-3100-000032000000}" name="Column50" dataDxfId="2767"/>
    <tableColumn id="51" xr3:uid="{00000000-0010-0000-3100-000033000000}" name="Column51" dataDxfId="2766"/>
    <tableColumn id="52" xr3:uid="{00000000-0010-0000-3100-000034000000}" name="Column52" dataDxfId="2765"/>
    <tableColumn id="53" xr3:uid="{00000000-0010-0000-3100-000035000000}" name="Column53" dataDxfId="2764"/>
    <tableColumn id="54" xr3:uid="{00000000-0010-0000-3100-000036000000}" name="Column54" dataDxfId="2763"/>
    <tableColumn id="55" xr3:uid="{00000000-0010-0000-3100-000037000000}" name="Column55" dataDxfId="2762"/>
    <tableColumn id="56" xr3:uid="{00000000-0010-0000-3100-000038000000}" name="Column56" dataDxfId="2761"/>
    <tableColumn id="57" xr3:uid="{00000000-0010-0000-3100-000039000000}" name="Column57" dataDxfId="2760"/>
    <tableColumn id="58" xr3:uid="{00000000-0010-0000-3100-00003A000000}" name="Column58" dataDxfId="2759"/>
    <tableColumn id="59" xr3:uid="{00000000-0010-0000-3100-00003B000000}" name="Column59" dataDxfId="2758"/>
    <tableColumn id="60" xr3:uid="{00000000-0010-0000-3100-00003C000000}" name="Column60" dataDxfId="2757"/>
    <tableColumn id="61" xr3:uid="{00000000-0010-0000-3100-00003D000000}" name="Column61" dataDxfId="2756"/>
    <tableColumn id="62" xr3:uid="{00000000-0010-0000-3100-00003E000000}" name="Column62" dataDxfId="2755"/>
    <tableColumn id="63" xr3:uid="{00000000-0010-0000-3100-00003F000000}" name="Column63" dataDxfId="2754"/>
    <tableColumn id="64" xr3:uid="{00000000-0010-0000-3100-000040000000}" name="Column64" dataDxfId="2753"/>
    <tableColumn id="65" xr3:uid="{00000000-0010-0000-3100-000041000000}" name="Column65" dataDxfId="2752"/>
    <tableColumn id="66" xr3:uid="{00000000-0010-0000-3100-000042000000}" name="Column66" dataDxfId="2751"/>
    <tableColumn id="67" xr3:uid="{00000000-0010-0000-3100-000043000000}" name="Column67" dataDxfId="2750"/>
    <tableColumn id="68" xr3:uid="{00000000-0010-0000-3100-000044000000}" name="Column68" dataDxfId="2749"/>
    <tableColumn id="69" xr3:uid="{00000000-0010-0000-3100-000045000000}" name="Column69" dataDxfId="2748"/>
    <tableColumn id="70" xr3:uid="{00000000-0010-0000-3100-000046000000}" name="Column70" dataDxfId="2747"/>
    <tableColumn id="71" xr3:uid="{00000000-0010-0000-3100-000047000000}" name="Column71" dataDxfId="2746"/>
    <tableColumn id="72" xr3:uid="{00000000-0010-0000-3100-000048000000}" name="Column72" dataDxfId="2745"/>
    <tableColumn id="73" xr3:uid="{00000000-0010-0000-3100-000049000000}" name="Column73" dataDxfId="2744"/>
    <tableColumn id="74" xr3:uid="{00000000-0010-0000-3100-00004A000000}" name="Column74" dataDxfId="2743"/>
    <tableColumn id="75" xr3:uid="{00000000-0010-0000-3100-00004B000000}" name="Column75" dataDxfId="2742"/>
    <tableColumn id="76" xr3:uid="{00000000-0010-0000-3100-00004C000000}" name="Column76" dataDxfId="2741"/>
    <tableColumn id="77" xr3:uid="{00000000-0010-0000-3100-00004D000000}" name="Column77" dataDxfId="2740"/>
    <tableColumn id="78" xr3:uid="{00000000-0010-0000-3100-00004E000000}" name="Column78" dataDxfId="2739"/>
    <tableColumn id="79" xr3:uid="{00000000-0010-0000-3100-00004F000000}" name="Column79" dataDxfId="2738"/>
    <tableColumn id="80" xr3:uid="{00000000-0010-0000-3100-000050000000}" name="Column80" dataDxfId="2737"/>
    <tableColumn id="81" xr3:uid="{00000000-0010-0000-3100-000051000000}" name="Column81" dataDxfId="2736"/>
    <tableColumn id="82" xr3:uid="{00000000-0010-0000-3100-000052000000}" name="Column82" dataDxfId="2735"/>
    <tableColumn id="83" xr3:uid="{00000000-0010-0000-3100-000053000000}" name="Column83" dataDxfId="2734"/>
    <tableColumn id="84" xr3:uid="{00000000-0010-0000-3100-000054000000}" name="Column84" dataDxfId="2733"/>
    <tableColumn id="85" xr3:uid="{00000000-0010-0000-3100-000055000000}" name="Column85" dataDxfId="2732"/>
    <tableColumn id="86" xr3:uid="{00000000-0010-0000-3100-000056000000}" name="Column86" dataDxfId="2731"/>
    <tableColumn id="87" xr3:uid="{00000000-0010-0000-3100-000057000000}" name="Column87" dataDxfId="2730"/>
    <tableColumn id="88" xr3:uid="{00000000-0010-0000-3100-000058000000}" name="Column88" dataDxfId="2729"/>
    <tableColumn id="89" xr3:uid="{00000000-0010-0000-3100-000059000000}" name="Column89" dataDxfId="2728"/>
    <tableColumn id="90" xr3:uid="{00000000-0010-0000-3100-00005A000000}" name="Column90" dataDxfId="2727"/>
    <tableColumn id="91" xr3:uid="{00000000-0010-0000-3100-00005B000000}" name="Column91" dataDxfId="2726"/>
    <tableColumn id="92" xr3:uid="{00000000-0010-0000-3100-00005C000000}" name="Column92" dataDxfId="2725"/>
    <tableColumn id="93" xr3:uid="{00000000-0010-0000-3100-00005D000000}" name="Column93" dataDxfId="2724"/>
    <tableColumn id="94" xr3:uid="{00000000-0010-0000-3100-00005E000000}" name="Column94" dataDxfId="2723"/>
    <tableColumn id="95" xr3:uid="{00000000-0010-0000-3100-00005F000000}" name="Column95" dataDxfId="2722"/>
    <tableColumn id="96" xr3:uid="{00000000-0010-0000-3100-000060000000}" name="Column96" dataDxfId="2721"/>
    <tableColumn id="97" xr3:uid="{00000000-0010-0000-3100-000061000000}" name="Column97" dataDxfId="2720"/>
    <tableColumn id="98" xr3:uid="{00000000-0010-0000-3100-000062000000}" name="Column98" dataDxfId="2719"/>
    <tableColumn id="99" xr3:uid="{00000000-0010-0000-3100-000063000000}" name="Column99" dataDxfId="2718"/>
    <tableColumn id="100" xr3:uid="{00000000-0010-0000-3100-000064000000}" name="Column100" dataDxfId="2717"/>
    <tableColumn id="101" xr3:uid="{00000000-0010-0000-3100-000065000000}" name="Column101" dataDxfId="2716"/>
    <tableColumn id="102" xr3:uid="{00000000-0010-0000-3100-000066000000}" name="Column102" dataDxfId="2715"/>
    <tableColumn id="103" xr3:uid="{00000000-0010-0000-3100-000067000000}" name="Column103" dataDxfId="2714"/>
    <tableColumn id="104" xr3:uid="{00000000-0010-0000-3100-000068000000}" name="Column104" dataDxfId="2713"/>
    <tableColumn id="105" xr3:uid="{00000000-0010-0000-3100-000069000000}" name="Column105" dataDxfId="2712"/>
    <tableColumn id="106" xr3:uid="{00000000-0010-0000-3100-00006A000000}" name="Column106" dataDxfId="2711"/>
    <tableColumn id="107" xr3:uid="{00000000-0010-0000-3100-00006B000000}" name="Column107" dataDxfId="2710"/>
    <tableColumn id="108" xr3:uid="{00000000-0010-0000-3100-00006C000000}" name="Column108" dataDxfId="2709"/>
    <tableColumn id="109" xr3:uid="{00000000-0010-0000-3100-00006D000000}" name="Column109" dataDxfId="2708"/>
    <tableColumn id="110" xr3:uid="{00000000-0010-0000-3100-00006E000000}" name="Column110" dataDxfId="2707"/>
    <tableColumn id="111" xr3:uid="{00000000-0010-0000-3100-00006F000000}" name="Column111" dataDxfId="2706"/>
    <tableColumn id="112" xr3:uid="{00000000-0010-0000-3100-000070000000}" name="Column112" dataDxfId="2705"/>
    <tableColumn id="113" xr3:uid="{00000000-0010-0000-3100-000071000000}" name="Column113" dataDxfId="2704"/>
    <tableColumn id="114" xr3:uid="{00000000-0010-0000-3100-000072000000}" name="Column114" dataDxfId="2703"/>
    <tableColumn id="115" xr3:uid="{00000000-0010-0000-3100-000073000000}" name="Column115" dataDxfId="2702"/>
    <tableColumn id="116" xr3:uid="{00000000-0010-0000-3100-000074000000}" name="Column116" dataDxfId="2701"/>
    <tableColumn id="117" xr3:uid="{00000000-0010-0000-3100-000075000000}" name="Column117" dataDxfId="2700"/>
    <tableColumn id="118" xr3:uid="{00000000-0010-0000-3100-000076000000}" name="Column118" dataDxfId="2699"/>
    <tableColumn id="119" xr3:uid="{00000000-0010-0000-3100-000077000000}" name="Column119" dataDxfId="2698"/>
    <tableColumn id="120" xr3:uid="{00000000-0010-0000-3100-000078000000}" name="Column120" dataDxfId="2697"/>
    <tableColumn id="121" xr3:uid="{00000000-0010-0000-3100-000079000000}" name="Column121" dataDxfId="2696"/>
    <tableColumn id="122" xr3:uid="{00000000-0010-0000-3100-00007A000000}" name="Column122" dataDxfId="2695"/>
    <tableColumn id="123" xr3:uid="{00000000-0010-0000-3100-00007B000000}" name="Column123" dataDxfId="2694"/>
    <tableColumn id="124" xr3:uid="{00000000-0010-0000-3100-00007C000000}" name="Column124" dataDxfId="2693"/>
    <tableColumn id="125" xr3:uid="{00000000-0010-0000-3100-00007D000000}" name="Column125" dataDxfId="2692"/>
    <tableColumn id="126" xr3:uid="{00000000-0010-0000-3100-00007E000000}" name="Column126" dataDxfId="2691"/>
    <tableColumn id="127" xr3:uid="{00000000-0010-0000-3100-00007F000000}" name="Column127" dataDxfId="2690"/>
    <tableColumn id="128" xr3:uid="{00000000-0010-0000-3100-000080000000}" name="Column128" dataDxfId="2689"/>
    <tableColumn id="129" xr3:uid="{00000000-0010-0000-3100-000081000000}" name="Column129" dataDxfId="2688"/>
    <tableColumn id="130" xr3:uid="{00000000-0010-0000-3100-000082000000}" name="Column130" dataDxfId="2687"/>
    <tableColumn id="131" xr3:uid="{00000000-0010-0000-3100-000083000000}" name="Column131" dataDxfId="2686"/>
    <tableColumn id="132" xr3:uid="{00000000-0010-0000-3100-000084000000}" name="Column132" dataDxfId="2685"/>
    <tableColumn id="133" xr3:uid="{00000000-0010-0000-3100-000085000000}" name="Column133" dataDxfId="2684"/>
    <tableColumn id="134" xr3:uid="{00000000-0010-0000-3100-000086000000}" name="Column134" dataDxfId="2683"/>
    <tableColumn id="135" xr3:uid="{00000000-0010-0000-3100-000087000000}" name="Column135" dataDxfId="2682"/>
    <tableColumn id="136" xr3:uid="{00000000-0010-0000-3100-000088000000}" name="Column136" dataDxfId="2681"/>
    <tableColumn id="137" xr3:uid="{00000000-0010-0000-3100-000089000000}" name="Column137" dataDxfId="2680"/>
    <tableColumn id="138" xr3:uid="{00000000-0010-0000-3100-00008A000000}" name="Column138" dataDxfId="2679"/>
    <tableColumn id="139" xr3:uid="{00000000-0010-0000-3100-00008B000000}" name="Column139" dataDxfId="2678"/>
    <tableColumn id="140" xr3:uid="{00000000-0010-0000-3100-00008C000000}" name="Column140" dataDxfId="2677"/>
    <tableColumn id="141" xr3:uid="{00000000-0010-0000-3100-00008D000000}" name="Column141" dataDxfId="2676"/>
    <tableColumn id="142" xr3:uid="{00000000-0010-0000-3100-00008E000000}" name="Column142" dataDxfId="2675"/>
    <tableColumn id="143" xr3:uid="{00000000-0010-0000-3100-00008F000000}" name="Column143" dataDxfId="2674"/>
    <tableColumn id="144" xr3:uid="{00000000-0010-0000-3100-000090000000}" name="Column144" dataDxfId="2673"/>
    <tableColumn id="145" xr3:uid="{00000000-0010-0000-3100-000091000000}" name="Column145" dataDxfId="2672"/>
    <tableColumn id="146" xr3:uid="{00000000-0010-0000-3100-000092000000}" name="Column146" dataDxfId="2671"/>
    <tableColumn id="147" xr3:uid="{00000000-0010-0000-3100-000093000000}" name="Column147" dataDxfId="2670"/>
    <tableColumn id="148" xr3:uid="{00000000-0010-0000-3100-000094000000}" name="Column148" dataDxfId="2669"/>
    <tableColumn id="149" xr3:uid="{00000000-0010-0000-3100-000095000000}" name="Column149" dataDxfId="2668"/>
    <tableColumn id="150" xr3:uid="{00000000-0010-0000-3100-000096000000}" name="Column150" dataDxfId="2667"/>
    <tableColumn id="151" xr3:uid="{00000000-0010-0000-3100-000097000000}" name="Column151" dataDxfId="2666"/>
    <tableColumn id="152" xr3:uid="{00000000-0010-0000-3100-000098000000}" name="Column152" dataDxfId="2665"/>
    <tableColumn id="153" xr3:uid="{00000000-0010-0000-3100-000099000000}" name="Column153" dataDxfId="2664"/>
    <tableColumn id="154" xr3:uid="{00000000-0010-0000-3100-00009A000000}" name="Column154" dataDxfId="2663"/>
    <tableColumn id="155" xr3:uid="{00000000-0010-0000-3100-00009B000000}" name="Column155" dataDxfId="2662"/>
    <tableColumn id="156" xr3:uid="{00000000-0010-0000-3100-00009C000000}" name="Column156" dataDxfId="2661"/>
    <tableColumn id="157" xr3:uid="{00000000-0010-0000-3100-00009D000000}" name="Column157" dataDxfId="2660"/>
    <tableColumn id="158" xr3:uid="{00000000-0010-0000-3100-00009E000000}" name="Column158" dataDxfId="2659"/>
    <tableColumn id="159" xr3:uid="{00000000-0010-0000-3100-00009F000000}" name="Column159" dataDxfId="2658"/>
    <tableColumn id="160" xr3:uid="{00000000-0010-0000-3100-0000A0000000}" name="Column160" dataDxfId="2657"/>
    <tableColumn id="161" xr3:uid="{00000000-0010-0000-3100-0000A1000000}" name="Column161" dataDxfId="2656"/>
    <tableColumn id="162" xr3:uid="{00000000-0010-0000-3100-0000A2000000}" name="Column162" dataDxfId="2655"/>
    <tableColumn id="163" xr3:uid="{00000000-0010-0000-3100-0000A3000000}" name="Column163" dataDxfId="2654"/>
    <tableColumn id="164" xr3:uid="{00000000-0010-0000-3100-0000A4000000}" name="Column164" dataDxfId="2653"/>
    <tableColumn id="165" xr3:uid="{00000000-0010-0000-3100-0000A5000000}" name="Column165" dataDxfId="2652"/>
    <tableColumn id="166" xr3:uid="{00000000-0010-0000-3100-0000A6000000}" name="Column166" dataDxfId="2651"/>
    <tableColumn id="167" xr3:uid="{00000000-0010-0000-3100-0000A7000000}" name="Column167" dataDxfId="2650"/>
    <tableColumn id="168" xr3:uid="{00000000-0010-0000-3100-0000A8000000}" name="Column168" dataDxfId="2649"/>
    <tableColumn id="169" xr3:uid="{00000000-0010-0000-3100-0000A9000000}" name="Column169" dataDxfId="2648"/>
    <tableColumn id="170" xr3:uid="{00000000-0010-0000-3100-0000AA000000}" name="Column170" dataDxfId="2647"/>
    <tableColumn id="171" xr3:uid="{00000000-0010-0000-3100-0000AB000000}" name="Column171" dataDxfId="2646"/>
    <tableColumn id="172" xr3:uid="{00000000-0010-0000-3100-0000AC000000}" name="Column172" dataDxfId="2645"/>
    <tableColumn id="173" xr3:uid="{00000000-0010-0000-3100-0000AD000000}" name="Column173" dataDxfId="2644"/>
    <tableColumn id="174" xr3:uid="{00000000-0010-0000-3100-0000AE000000}" name="Column174" dataDxfId="2643"/>
    <tableColumn id="175" xr3:uid="{00000000-0010-0000-3100-0000AF000000}" name="Column175" dataDxfId="2642"/>
    <tableColumn id="176" xr3:uid="{00000000-0010-0000-3100-0000B0000000}" name="Column176" dataDxfId="2641"/>
    <tableColumn id="177" xr3:uid="{00000000-0010-0000-3100-0000B1000000}" name="Column177" dataDxfId="2640"/>
    <tableColumn id="178" xr3:uid="{00000000-0010-0000-3100-0000B2000000}" name="Column178" dataDxfId="2639"/>
    <tableColumn id="179" xr3:uid="{00000000-0010-0000-3100-0000B3000000}" name="Column179" dataDxfId="2638"/>
    <tableColumn id="180" xr3:uid="{00000000-0010-0000-3100-0000B4000000}" name="Column180" dataDxfId="2637"/>
    <tableColumn id="181" xr3:uid="{00000000-0010-0000-3100-0000B5000000}" name="Column181" dataDxfId="2636"/>
    <tableColumn id="182" xr3:uid="{00000000-0010-0000-3100-0000B6000000}" name="Column182" dataDxfId="2635"/>
    <tableColumn id="183" xr3:uid="{00000000-0010-0000-3100-0000B7000000}" name="Column183" dataDxfId="2634"/>
    <tableColumn id="184" xr3:uid="{00000000-0010-0000-3100-0000B8000000}" name="Column184" dataDxfId="2633"/>
    <tableColumn id="185" xr3:uid="{00000000-0010-0000-3100-0000B9000000}" name="Column185" dataDxfId="2632"/>
    <tableColumn id="186" xr3:uid="{00000000-0010-0000-3100-0000BA000000}" name="Column186" dataDxfId="2631"/>
    <tableColumn id="187" xr3:uid="{00000000-0010-0000-3100-0000BB000000}" name="Column187" dataDxfId="2630"/>
    <tableColumn id="188" xr3:uid="{00000000-0010-0000-3100-0000BC000000}" name="Column188" dataDxfId="2629"/>
    <tableColumn id="189" xr3:uid="{00000000-0010-0000-3100-0000BD000000}" name="Column189" dataDxfId="2628"/>
    <tableColumn id="190" xr3:uid="{00000000-0010-0000-3100-0000BE000000}" name="Column190" dataDxfId="2627"/>
    <tableColumn id="191" xr3:uid="{00000000-0010-0000-3100-0000BF000000}" name="Column191" dataDxfId="2626"/>
    <tableColumn id="192" xr3:uid="{00000000-0010-0000-3100-0000C0000000}" name="Column192" dataDxfId="2625"/>
    <tableColumn id="193" xr3:uid="{00000000-0010-0000-3100-0000C1000000}" name="Column193" dataDxfId="2624"/>
    <tableColumn id="194" xr3:uid="{00000000-0010-0000-3100-0000C2000000}" name="Column194" dataDxfId="2623"/>
    <tableColumn id="195" xr3:uid="{00000000-0010-0000-3100-0000C3000000}" name="Column195" dataDxfId="2622"/>
    <tableColumn id="196" xr3:uid="{00000000-0010-0000-3100-0000C4000000}" name="Column196" dataDxfId="2621"/>
    <tableColumn id="197" xr3:uid="{00000000-0010-0000-3100-0000C5000000}" name="Column197" dataDxfId="2620"/>
    <tableColumn id="198" xr3:uid="{00000000-0010-0000-3100-0000C6000000}" name="Column198" dataDxfId="2619"/>
    <tableColumn id="199" xr3:uid="{00000000-0010-0000-3100-0000C7000000}" name="Column199" dataDxfId="2618"/>
    <tableColumn id="200" xr3:uid="{00000000-0010-0000-3100-0000C8000000}" name="Column200" dataDxfId="2617"/>
    <tableColumn id="201" xr3:uid="{00000000-0010-0000-3100-0000C9000000}" name="Column201" dataDxfId="2616"/>
    <tableColumn id="202" xr3:uid="{00000000-0010-0000-3100-0000CA000000}" name="Column202" dataDxfId="2615"/>
    <tableColumn id="203" xr3:uid="{00000000-0010-0000-3100-0000CB000000}" name="Column203" dataDxfId="2614"/>
    <tableColumn id="204" xr3:uid="{00000000-0010-0000-3100-0000CC000000}" name="Column204" dataDxfId="2613"/>
    <tableColumn id="205" xr3:uid="{00000000-0010-0000-3100-0000CD000000}" name="Column205" dataDxfId="2612"/>
    <tableColumn id="206" xr3:uid="{00000000-0010-0000-3100-0000CE000000}" name="Column206" dataDxfId="2611"/>
    <tableColumn id="207" xr3:uid="{00000000-0010-0000-3100-0000CF000000}" name="Column207" dataDxfId="2610"/>
    <tableColumn id="208" xr3:uid="{00000000-0010-0000-3100-0000D0000000}" name="Column208" dataDxfId="2609"/>
    <tableColumn id="209" xr3:uid="{00000000-0010-0000-3100-0000D1000000}" name="Column209" dataDxfId="2608"/>
    <tableColumn id="210" xr3:uid="{00000000-0010-0000-3100-0000D2000000}" name="Column210" dataDxfId="2607"/>
    <tableColumn id="211" xr3:uid="{00000000-0010-0000-3100-0000D3000000}" name="Column211" dataDxfId="2606"/>
    <tableColumn id="212" xr3:uid="{00000000-0010-0000-3100-0000D4000000}" name="Column212" dataDxfId="2605"/>
    <tableColumn id="213" xr3:uid="{00000000-0010-0000-3100-0000D5000000}" name="Column213" dataDxfId="2604"/>
    <tableColumn id="214" xr3:uid="{00000000-0010-0000-3100-0000D6000000}" name="Column214" dataDxfId="2603"/>
    <tableColumn id="215" xr3:uid="{00000000-0010-0000-3100-0000D7000000}" name="Column215" dataDxfId="2602"/>
    <tableColumn id="216" xr3:uid="{00000000-0010-0000-3100-0000D8000000}" name="Column216" dataDxfId="2601"/>
    <tableColumn id="217" xr3:uid="{00000000-0010-0000-3100-0000D9000000}" name="Column217" dataDxfId="2600"/>
    <tableColumn id="218" xr3:uid="{00000000-0010-0000-3100-0000DA000000}" name="Column218" dataDxfId="2599"/>
    <tableColumn id="219" xr3:uid="{00000000-0010-0000-3100-0000DB000000}" name="Column219" dataDxfId="2598"/>
    <tableColumn id="220" xr3:uid="{00000000-0010-0000-3100-0000DC000000}" name="Column220" dataDxfId="2597"/>
    <tableColumn id="221" xr3:uid="{00000000-0010-0000-3100-0000DD000000}" name="Column221" dataDxfId="2596"/>
    <tableColumn id="222" xr3:uid="{00000000-0010-0000-3100-0000DE000000}" name="Column222" dataDxfId="2595"/>
    <tableColumn id="223" xr3:uid="{00000000-0010-0000-3100-0000DF000000}" name="Column223" dataDxfId="2594"/>
    <tableColumn id="224" xr3:uid="{00000000-0010-0000-3100-0000E0000000}" name="Column224" dataDxfId="2593"/>
    <tableColumn id="225" xr3:uid="{00000000-0010-0000-3100-0000E1000000}" name="Column225" dataDxfId="2592"/>
    <tableColumn id="226" xr3:uid="{00000000-0010-0000-3100-0000E2000000}" name="Column226" dataDxfId="2591"/>
    <tableColumn id="227" xr3:uid="{00000000-0010-0000-3100-0000E3000000}" name="Column227" dataDxfId="2590"/>
    <tableColumn id="228" xr3:uid="{00000000-0010-0000-3100-0000E4000000}" name="Column228" dataDxfId="2589"/>
    <tableColumn id="229" xr3:uid="{00000000-0010-0000-3100-0000E5000000}" name="Column229" dataDxfId="2588"/>
    <tableColumn id="230" xr3:uid="{00000000-0010-0000-3100-0000E6000000}" name="Column230" dataDxfId="2587"/>
    <tableColumn id="231" xr3:uid="{00000000-0010-0000-3100-0000E7000000}" name="Column231" dataDxfId="2586"/>
    <tableColumn id="232" xr3:uid="{00000000-0010-0000-3100-0000E8000000}" name="Column232" dataDxfId="2585"/>
    <tableColumn id="233" xr3:uid="{00000000-0010-0000-3100-0000E9000000}" name="Column233" dataDxfId="2584"/>
    <tableColumn id="234" xr3:uid="{00000000-0010-0000-3100-0000EA000000}" name="Column234" dataDxfId="2583"/>
    <tableColumn id="235" xr3:uid="{00000000-0010-0000-3100-0000EB000000}" name="Column235" dataDxfId="2582"/>
    <tableColumn id="236" xr3:uid="{00000000-0010-0000-3100-0000EC000000}" name="Column236" dataDxfId="2581"/>
    <tableColumn id="237" xr3:uid="{00000000-0010-0000-3100-0000ED000000}" name="Column237" dataDxfId="2580"/>
    <tableColumn id="238" xr3:uid="{00000000-0010-0000-3100-0000EE000000}" name="Column238" dataDxfId="2579"/>
    <tableColumn id="239" xr3:uid="{00000000-0010-0000-3100-0000EF000000}" name="Column239" dataDxfId="2578"/>
    <tableColumn id="240" xr3:uid="{00000000-0010-0000-3100-0000F0000000}" name="Column240" dataDxfId="2577"/>
    <tableColumn id="241" xr3:uid="{00000000-0010-0000-3100-0000F1000000}" name="Column241" dataDxfId="2576"/>
    <tableColumn id="242" xr3:uid="{00000000-0010-0000-3100-0000F2000000}" name="Column242" dataDxfId="2575"/>
    <tableColumn id="243" xr3:uid="{00000000-0010-0000-3100-0000F3000000}" name="Column243" dataDxfId="2574"/>
    <tableColumn id="244" xr3:uid="{00000000-0010-0000-3100-0000F4000000}" name="Column244" dataDxfId="2573"/>
    <tableColumn id="245" xr3:uid="{00000000-0010-0000-3100-0000F5000000}" name="Column245" dataDxfId="2572"/>
    <tableColumn id="246" xr3:uid="{00000000-0010-0000-3100-0000F6000000}" name="Column246" dataDxfId="2571"/>
    <tableColumn id="247" xr3:uid="{00000000-0010-0000-3100-0000F7000000}" name="Column247" dataDxfId="2570"/>
    <tableColumn id="248" xr3:uid="{00000000-0010-0000-3100-0000F8000000}" name="Column248" dataDxfId="2569"/>
    <tableColumn id="249" xr3:uid="{00000000-0010-0000-3100-0000F9000000}" name="Column249" dataDxfId="2568"/>
    <tableColumn id="250" xr3:uid="{00000000-0010-0000-3100-0000FA000000}" name="Column250" dataDxfId="2567"/>
    <tableColumn id="251" xr3:uid="{00000000-0010-0000-3100-0000FB000000}" name="Column251" dataDxfId="2566"/>
    <tableColumn id="252" xr3:uid="{00000000-0010-0000-3100-0000FC000000}" name="Column252" dataDxfId="2565"/>
    <tableColumn id="253" xr3:uid="{00000000-0010-0000-3100-0000FD000000}" name="Column253" dataDxfId="2564"/>
    <tableColumn id="254" xr3:uid="{00000000-0010-0000-3100-0000FE000000}" name="Column254" dataDxfId="2563"/>
  </tableColumns>
  <tableStyleInfo name="New BO-style 26" showFirstColumn="1" showLastColumn="1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_51" displayName="Table_51" ref="AR29:AT29" headerRowCount="0" headerRowDxfId="2562" dataDxfId="2561" totalsRowDxfId="2560">
  <tableColumns count="3">
    <tableColumn id="1" xr3:uid="{00000000-0010-0000-3200-000001000000}" name="Column1" dataDxfId="2559"/>
    <tableColumn id="2" xr3:uid="{00000000-0010-0000-3200-000002000000}" name="Column2" dataDxfId="2558"/>
    <tableColumn id="3" xr3:uid="{00000000-0010-0000-3200-000003000000}" name="Column3" dataDxfId="2557"/>
  </tableColumns>
  <tableStyleInfo name="New BO-style 27" showFirstColumn="1" showLastColumn="1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le_52" displayName="Table_52" ref="BT29:JU30" headerRowCount="0" headerRowDxfId="2556" dataDxfId="2555" totalsRowDxfId="2554">
  <tableColumns count="210">
    <tableColumn id="1" xr3:uid="{00000000-0010-0000-3300-000001000000}" name="Column1" dataDxfId="2553"/>
    <tableColumn id="2" xr3:uid="{00000000-0010-0000-3300-000002000000}" name="Column2" dataDxfId="2552"/>
    <tableColumn id="3" xr3:uid="{00000000-0010-0000-3300-000003000000}" name="Column3" dataDxfId="2551"/>
    <tableColumn id="4" xr3:uid="{00000000-0010-0000-3300-000004000000}" name="Column4" dataDxfId="2550"/>
    <tableColumn id="5" xr3:uid="{00000000-0010-0000-3300-000005000000}" name="Column5" dataDxfId="2549"/>
    <tableColumn id="6" xr3:uid="{00000000-0010-0000-3300-000006000000}" name="Column6" dataDxfId="2548"/>
    <tableColumn id="7" xr3:uid="{00000000-0010-0000-3300-000007000000}" name="Column7" dataDxfId="2547"/>
    <tableColumn id="8" xr3:uid="{00000000-0010-0000-3300-000008000000}" name="Column8" dataDxfId="2546"/>
    <tableColumn id="9" xr3:uid="{00000000-0010-0000-3300-000009000000}" name="Column9" dataDxfId="2545"/>
    <tableColumn id="10" xr3:uid="{00000000-0010-0000-3300-00000A000000}" name="Column10" dataDxfId="2544"/>
    <tableColumn id="11" xr3:uid="{00000000-0010-0000-3300-00000B000000}" name="Column11" dataDxfId="2543"/>
    <tableColumn id="12" xr3:uid="{00000000-0010-0000-3300-00000C000000}" name="Column12" dataDxfId="2542"/>
    <tableColumn id="13" xr3:uid="{00000000-0010-0000-3300-00000D000000}" name="Column13" dataDxfId="2541"/>
    <tableColumn id="14" xr3:uid="{00000000-0010-0000-3300-00000E000000}" name="Column14" dataDxfId="2540"/>
    <tableColumn id="15" xr3:uid="{00000000-0010-0000-3300-00000F000000}" name="Column15" dataDxfId="2539"/>
    <tableColumn id="16" xr3:uid="{00000000-0010-0000-3300-000010000000}" name="Column16" dataDxfId="2538"/>
    <tableColumn id="17" xr3:uid="{00000000-0010-0000-3300-000011000000}" name="Column17" dataDxfId="2537"/>
    <tableColumn id="18" xr3:uid="{00000000-0010-0000-3300-000012000000}" name="Column18" dataDxfId="2536"/>
    <tableColumn id="19" xr3:uid="{00000000-0010-0000-3300-000013000000}" name="Column19" dataDxfId="2535"/>
    <tableColumn id="20" xr3:uid="{00000000-0010-0000-3300-000014000000}" name="Column20" dataDxfId="2534"/>
    <tableColumn id="21" xr3:uid="{00000000-0010-0000-3300-000015000000}" name="Column21" dataDxfId="2533"/>
    <tableColumn id="22" xr3:uid="{00000000-0010-0000-3300-000016000000}" name="Column22" dataDxfId="2532"/>
    <tableColumn id="23" xr3:uid="{00000000-0010-0000-3300-000017000000}" name="Column23" dataDxfId="2531"/>
    <tableColumn id="24" xr3:uid="{00000000-0010-0000-3300-000018000000}" name="Column24" dataDxfId="2530"/>
    <tableColumn id="25" xr3:uid="{00000000-0010-0000-3300-000019000000}" name="Column25" dataDxfId="2529"/>
    <tableColumn id="26" xr3:uid="{00000000-0010-0000-3300-00001A000000}" name="Column26" dataDxfId="2528"/>
    <tableColumn id="27" xr3:uid="{00000000-0010-0000-3300-00001B000000}" name="Column27" dataDxfId="2527"/>
    <tableColumn id="28" xr3:uid="{00000000-0010-0000-3300-00001C000000}" name="Column28" dataDxfId="2526"/>
    <tableColumn id="29" xr3:uid="{00000000-0010-0000-3300-00001D000000}" name="Column29" dataDxfId="2525"/>
    <tableColumn id="30" xr3:uid="{00000000-0010-0000-3300-00001E000000}" name="Column30" dataDxfId="2524"/>
    <tableColumn id="31" xr3:uid="{00000000-0010-0000-3300-00001F000000}" name="Column31" dataDxfId="2523"/>
    <tableColumn id="32" xr3:uid="{00000000-0010-0000-3300-000020000000}" name="Column32" dataDxfId="2522"/>
    <tableColumn id="33" xr3:uid="{00000000-0010-0000-3300-000021000000}" name="Column33" dataDxfId="2521"/>
    <tableColumn id="34" xr3:uid="{00000000-0010-0000-3300-000022000000}" name="Column34" dataDxfId="2520"/>
    <tableColumn id="35" xr3:uid="{00000000-0010-0000-3300-000023000000}" name="Column35" dataDxfId="2519"/>
    <tableColumn id="36" xr3:uid="{00000000-0010-0000-3300-000024000000}" name="Column36" dataDxfId="2518"/>
    <tableColumn id="37" xr3:uid="{00000000-0010-0000-3300-000025000000}" name="Column37" dataDxfId="2517"/>
    <tableColumn id="38" xr3:uid="{00000000-0010-0000-3300-000026000000}" name="Column38" dataDxfId="2516"/>
    <tableColumn id="39" xr3:uid="{00000000-0010-0000-3300-000027000000}" name="Column39" dataDxfId="2515"/>
    <tableColumn id="40" xr3:uid="{00000000-0010-0000-3300-000028000000}" name="Column40" dataDxfId="2514"/>
    <tableColumn id="41" xr3:uid="{00000000-0010-0000-3300-000029000000}" name="Column41" dataDxfId="2513"/>
    <tableColumn id="42" xr3:uid="{00000000-0010-0000-3300-00002A000000}" name="Column42" dataDxfId="2512"/>
    <tableColumn id="43" xr3:uid="{00000000-0010-0000-3300-00002B000000}" name="Column43" dataDxfId="2511"/>
    <tableColumn id="44" xr3:uid="{00000000-0010-0000-3300-00002C000000}" name="Column44" dataDxfId="2510"/>
    <tableColumn id="45" xr3:uid="{00000000-0010-0000-3300-00002D000000}" name="Column45" dataDxfId="2509"/>
    <tableColumn id="46" xr3:uid="{00000000-0010-0000-3300-00002E000000}" name="Column46" dataDxfId="2508"/>
    <tableColumn id="47" xr3:uid="{00000000-0010-0000-3300-00002F000000}" name="Column47" dataDxfId="2507"/>
    <tableColumn id="48" xr3:uid="{00000000-0010-0000-3300-000030000000}" name="Column48" dataDxfId="2506"/>
    <tableColumn id="49" xr3:uid="{00000000-0010-0000-3300-000031000000}" name="Column49" dataDxfId="2505"/>
    <tableColumn id="50" xr3:uid="{00000000-0010-0000-3300-000032000000}" name="Column50" dataDxfId="2504"/>
    <tableColumn id="51" xr3:uid="{00000000-0010-0000-3300-000033000000}" name="Column51" dataDxfId="2503"/>
    <tableColumn id="52" xr3:uid="{00000000-0010-0000-3300-000034000000}" name="Column52" dataDxfId="2502"/>
    <tableColumn id="53" xr3:uid="{00000000-0010-0000-3300-000035000000}" name="Column53" dataDxfId="2501"/>
    <tableColumn id="54" xr3:uid="{00000000-0010-0000-3300-000036000000}" name="Column54" dataDxfId="2500"/>
    <tableColumn id="55" xr3:uid="{00000000-0010-0000-3300-000037000000}" name="Column55" dataDxfId="2499"/>
    <tableColumn id="56" xr3:uid="{00000000-0010-0000-3300-000038000000}" name="Column56" dataDxfId="2498"/>
    <tableColumn id="57" xr3:uid="{00000000-0010-0000-3300-000039000000}" name="Column57" dataDxfId="2497"/>
    <tableColumn id="58" xr3:uid="{00000000-0010-0000-3300-00003A000000}" name="Column58" dataDxfId="2496"/>
    <tableColumn id="59" xr3:uid="{00000000-0010-0000-3300-00003B000000}" name="Column59" dataDxfId="2495"/>
    <tableColumn id="60" xr3:uid="{00000000-0010-0000-3300-00003C000000}" name="Column60" dataDxfId="2494"/>
    <tableColumn id="61" xr3:uid="{00000000-0010-0000-3300-00003D000000}" name="Column61" dataDxfId="2493"/>
    <tableColumn id="62" xr3:uid="{00000000-0010-0000-3300-00003E000000}" name="Column62" dataDxfId="2492"/>
    <tableColumn id="63" xr3:uid="{00000000-0010-0000-3300-00003F000000}" name="Column63" dataDxfId="2491"/>
    <tableColumn id="64" xr3:uid="{00000000-0010-0000-3300-000040000000}" name="Column64" dataDxfId="2490"/>
    <tableColumn id="65" xr3:uid="{00000000-0010-0000-3300-000041000000}" name="Column65" dataDxfId="2489"/>
    <tableColumn id="66" xr3:uid="{00000000-0010-0000-3300-000042000000}" name="Column66" dataDxfId="2488"/>
    <tableColumn id="67" xr3:uid="{00000000-0010-0000-3300-000043000000}" name="Column67" dataDxfId="2487"/>
    <tableColumn id="68" xr3:uid="{00000000-0010-0000-3300-000044000000}" name="Column68" dataDxfId="2486"/>
    <tableColumn id="69" xr3:uid="{00000000-0010-0000-3300-000045000000}" name="Column69" dataDxfId="2485"/>
    <tableColumn id="70" xr3:uid="{00000000-0010-0000-3300-000046000000}" name="Column70" dataDxfId="2484"/>
    <tableColumn id="71" xr3:uid="{00000000-0010-0000-3300-000047000000}" name="Column71" dataDxfId="2483"/>
    <tableColumn id="72" xr3:uid="{00000000-0010-0000-3300-000048000000}" name="Column72" dataDxfId="2482"/>
    <tableColumn id="73" xr3:uid="{00000000-0010-0000-3300-000049000000}" name="Column73" dataDxfId="2481"/>
    <tableColumn id="74" xr3:uid="{00000000-0010-0000-3300-00004A000000}" name="Column74" dataDxfId="2480"/>
    <tableColumn id="75" xr3:uid="{00000000-0010-0000-3300-00004B000000}" name="Column75" dataDxfId="2479"/>
    <tableColumn id="76" xr3:uid="{00000000-0010-0000-3300-00004C000000}" name="Column76" dataDxfId="2478"/>
    <tableColumn id="77" xr3:uid="{00000000-0010-0000-3300-00004D000000}" name="Column77" dataDxfId="2477"/>
    <tableColumn id="78" xr3:uid="{00000000-0010-0000-3300-00004E000000}" name="Column78" dataDxfId="2476"/>
    <tableColumn id="79" xr3:uid="{00000000-0010-0000-3300-00004F000000}" name="Column79" dataDxfId="2475"/>
    <tableColumn id="80" xr3:uid="{00000000-0010-0000-3300-000050000000}" name="Column80" dataDxfId="2474"/>
    <tableColumn id="81" xr3:uid="{00000000-0010-0000-3300-000051000000}" name="Column81" dataDxfId="2473"/>
    <tableColumn id="82" xr3:uid="{00000000-0010-0000-3300-000052000000}" name="Column82" dataDxfId="2472"/>
    <tableColumn id="83" xr3:uid="{00000000-0010-0000-3300-000053000000}" name="Column83" dataDxfId="2471"/>
    <tableColumn id="84" xr3:uid="{00000000-0010-0000-3300-000054000000}" name="Column84" dataDxfId="2470"/>
    <tableColumn id="85" xr3:uid="{00000000-0010-0000-3300-000055000000}" name="Column85" dataDxfId="2469"/>
    <tableColumn id="86" xr3:uid="{00000000-0010-0000-3300-000056000000}" name="Column86" dataDxfId="2468"/>
    <tableColumn id="87" xr3:uid="{00000000-0010-0000-3300-000057000000}" name="Column87" dataDxfId="2467"/>
    <tableColumn id="88" xr3:uid="{00000000-0010-0000-3300-000058000000}" name="Column88" dataDxfId="2466"/>
    <tableColumn id="89" xr3:uid="{00000000-0010-0000-3300-000059000000}" name="Column89" dataDxfId="2465"/>
    <tableColumn id="90" xr3:uid="{00000000-0010-0000-3300-00005A000000}" name="Column90" dataDxfId="2464"/>
    <tableColumn id="91" xr3:uid="{00000000-0010-0000-3300-00005B000000}" name="Column91" dataDxfId="2463"/>
    <tableColumn id="92" xr3:uid="{00000000-0010-0000-3300-00005C000000}" name="Column92" dataDxfId="2462"/>
    <tableColumn id="93" xr3:uid="{00000000-0010-0000-3300-00005D000000}" name="Column93" dataDxfId="2461"/>
    <tableColumn id="94" xr3:uid="{00000000-0010-0000-3300-00005E000000}" name="Column94" dataDxfId="2460"/>
    <tableColumn id="95" xr3:uid="{00000000-0010-0000-3300-00005F000000}" name="Column95" dataDxfId="2459"/>
    <tableColumn id="96" xr3:uid="{00000000-0010-0000-3300-000060000000}" name="Column96" dataDxfId="2458"/>
    <tableColumn id="97" xr3:uid="{00000000-0010-0000-3300-000061000000}" name="Column97" dataDxfId="2457"/>
    <tableColumn id="98" xr3:uid="{00000000-0010-0000-3300-000062000000}" name="Column98" dataDxfId="2456"/>
    <tableColumn id="99" xr3:uid="{00000000-0010-0000-3300-000063000000}" name="Column99" dataDxfId="2455"/>
    <tableColumn id="100" xr3:uid="{00000000-0010-0000-3300-000064000000}" name="Column100" dataDxfId="2454"/>
    <tableColumn id="101" xr3:uid="{00000000-0010-0000-3300-000065000000}" name="Column101" dataDxfId="2453"/>
    <tableColumn id="102" xr3:uid="{00000000-0010-0000-3300-000066000000}" name="Column102" dataDxfId="2452"/>
    <tableColumn id="103" xr3:uid="{00000000-0010-0000-3300-000067000000}" name="Column103" dataDxfId="2451"/>
    <tableColumn id="104" xr3:uid="{00000000-0010-0000-3300-000068000000}" name="Column104" dataDxfId="2450"/>
    <tableColumn id="105" xr3:uid="{00000000-0010-0000-3300-000069000000}" name="Column105" dataDxfId="2449"/>
    <tableColumn id="106" xr3:uid="{00000000-0010-0000-3300-00006A000000}" name="Column106" dataDxfId="2448"/>
    <tableColumn id="107" xr3:uid="{00000000-0010-0000-3300-00006B000000}" name="Column107" dataDxfId="2447"/>
    <tableColumn id="108" xr3:uid="{00000000-0010-0000-3300-00006C000000}" name="Column108" dataDxfId="2446"/>
    <tableColumn id="109" xr3:uid="{00000000-0010-0000-3300-00006D000000}" name="Column109" dataDxfId="2445"/>
    <tableColumn id="110" xr3:uid="{00000000-0010-0000-3300-00006E000000}" name="Column110" dataDxfId="2444"/>
    <tableColumn id="111" xr3:uid="{00000000-0010-0000-3300-00006F000000}" name="Column111" dataDxfId="2443"/>
    <tableColumn id="112" xr3:uid="{00000000-0010-0000-3300-000070000000}" name="Column112" dataDxfId="2442"/>
    <tableColumn id="113" xr3:uid="{00000000-0010-0000-3300-000071000000}" name="Column113" dataDxfId="2441"/>
    <tableColumn id="114" xr3:uid="{00000000-0010-0000-3300-000072000000}" name="Column114" dataDxfId="2440"/>
    <tableColumn id="115" xr3:uid="{00000000-0010-0000-3300-000073000000}" name="Column115" dataDxfId="2439"/>
    <tableColumn id="116" xr3:uid="{00000000-0010-0000-3300-000074000000}" name="Column116" dataDxfId="2438"/>
    <tableColumn id="117" xr3:uid="{00000000-0010-0000-3300-000075000000}" name="Column117" dataDxfId="2437"/>
    <tableColumn id="118" xr3:uid="{00000000-0010-0000-3300-000076000000}" name="Column118" dataDxfId="2436"/>
    <tableColumn id="119" xr3:uid="{00000000-0010-0000-3300-000077000000}" name="Column119" dataDxfId="2435"/>
    <tableColumn id="120" xr3:uid="{00000000-0010-0000-3300-000078000000}" name="Column120" dataDxfId="2434"/>
    <tableColumn id="121" xr3:uid="{00000000-0010-0000-3300-000079000000}" name="Column121" dataDxfId="2433"/>
    <tableColumn id="122" xr3:uid="{00000000-0010-0000-3300-00007A000000}" name="Column122" dataDxfId="2432"/>
    <tableColumn id="123" xr3:uid="{00000000-0010-0000-3300-00007B000000}" name="Column123" dataDxfId="2431"/>
    <tableColumn id="124" xr3:uid="{00000000-0010-0000-3300-00007C000000}" name="Column124" dataDxfId="2430"/>
    <tableColumn id="125" xr3:uid="{00000000-0010-0000-3300-00007D000000}" name="Column125" dataDxfId="2429"/>
    <tableColumn id="126" xr3:uid="{00000000-0010-0000-3300-00007E000000}" name="Column126" dataDxfId="2428"/>
    <tableColumn id="127" xr3:uid="{00000000-0010-0000-3300-00007F000000}" name="Column127" dataDxfId="2427"/>
    <tableColumn id="128" xr3:uid="{00000000-0010-0000-3300-000080000000}" name="Column128" dataDxfId="2426"/>
    <tableColumn id="129" xr3:uid="{00000000-0010-0000-3300-000081000000}" name="Column129" dataDxfId="2425"/>
    <tableColumn id="130" xr3:uid="{00000000-0010-0000-3300-000082000000}" name="Column130" dataDxfId="2424"/>
    <tableColumn id="131" xr3:uid="{00000000-0010-0000-3300-000083000000}" name="Column131" dataDxfId="2423"/>
    <tableColumn id="132" xr3:uid="{00000000-0010-0000-3300-000084000000}" name="Column132" dataDxfId="2422"/>
    <tableColumn id="133" xr3:uid="{00000000-0010-0000-3300-000085000000}" name="Column133" dataDxfId="2421"/>
    <tableColumn id="134" xr3:uid="{00000000-0010-0000-3300-000086000000}" name="Column134" dataDxfId="2420"/>
    <tableColumn id="135" xr3:uid="{00000000-0010-0000-3300-000087000000}" name="Column135" dataDxfId="2419"/>
    <tableColumn id="136" xr3:uid="{00000000-0010-0000-3300-000088000000}" name="Column136" dataDxfId="2418"/>
    <tableColumn id="137" xr3:uid="{00000000-0010-0000-3300-000089000000}" name="Column137" dataDxfId="2417"/>
    <tableColumn id="138" xr3:uid="{00000000-0010-0000-3300-00008A000000}" name="Column138" dataDxfId="2416"/>
    <tableColumn id="139" xr3:uid="{00000000-0010-0000-3300-00008B000000}" name="Column139" dataDxfId="2415"/>
    <tableColumn id="140" xr3:uid="{00000000-0010-0000-3300-00008C000000}" name="Column140" dataDxfId="2414"/>
    <tableColumn id="141" xr3:uid="{00000000-0010-0000-3300-00008D000000}" name="Column141" dataDxfId="2413"/>
    <tableColumn id="142" xr3:uid="{00000000-0010-0000-3300-00008E000000}" name="Column142" dataDxfId="2412"/>
    <tableColumn id="143" xr3:uid="{00000000-0010-0000-3300-00008F000000}" name="Column143" dataDxfId="2411"/>
    <tableColumn id="144" xr3:uid="{00000000-0010-0000-3300-000090000000}" name="Column144" dataDxfId="2410"/>
    <tableColumn id="145" xr3:uid="{00000000-0010-0000-3300-000091000000}" name="Column145" dataDxfId="2409"/>
    <tableColumn id="146" xr3:uid="{00000000-0010-0000-3300-000092000000}" name="Column146" dataDxfId="2408"/>
    <tableColumn id="147" xr3:uid="{00000000-0010-0000-3300-000093000000}" name="Column147" dataDxfId="2407"/>
    <tableColumn id="148" xr3:uid="{00000000-0010-0000-3300-000094000000}" name="Column148" dataDxfId="2406"/>
    <tableColumn id="149" xr3:uid="{00000000-0010-0000-3300-000095000000}" name="Column149" dataDxfId="2405"/>
    <tableColumn id="150" xr3:uid="{00000000-0010-0000-3300-000096000000}" name="Column150" dataDxfId="2404"/>
    <tableColumn id="151" xr3:uid="{00000000-0010-0000-3300-000097000000}" name="Column151" dataDxfId="2403"/>
    <tableColumn id="152" xr3:uid="{00000000-0010-0000-3300-000098000000}" name="Column152" dataDxfId="2402"/>
    <tableColumn id="153" xr3:uid="{00000000-0010-0000-3300-000099000000}" name="Column153" dataDxfId="2401"/>
    <tableColumn id="154" xr3:uid="{00000000-0010-0000-3300-00009A000000}" name="Column154" dataDxfId="2400"/>
    <tableColumn id="155" xr3:uid="{00000000-0010-0000-3300-00009B000000}" name="Column155" dataDxfId="2399"/>
    <tableColumn id="156" xr3:uid="{00000000-0010-0000-3300-00009C000000}" name="Column156" dataDxfId="2398"/>
    <tableColumn id="157" xr3:uid="{00000000-0010-0000-3300-00009D000000}" name="Column157" dataDxfId="2397"/>
    <tableColumn id="158" xr3:uid="{00000000-0010-0000-3300-00009E000000}" name="Column158" dataDxfId="2396"/>
    <tableColumn id="159" xr3:uid="{00000000-0010-0000-3300-00009F000000}" name="Column159" dataDxfId="2395"/>
    <tableColumn id="160" xr3:uid="{00000000-0010-0000-3300-0000A0000000}" name="Column160" dataDxfId="2394"/>
    <tableColumn id="161" xr3:uid="{00000000-0010-0000-3300-0000A1000000}" name="Column161" dataDxfId="2393"/>
    <tableColumn id="162" xr3:uid="{00000000-0010-0000-3300-0000A2000000}" name="Column162" dataDxfId="2392"/>
    <tableColumn id="163" xr3:uid="{00000000-0010-0000-3300-0000A3000000}" name="Column163" dataDxfId="2391"/>
    <tableColumn id="164" xr3:uid="{00000000-0010-0000-3300-0000A4000000}" name="Column164" dataDxfId="2390"/>
    <tableColumn id="165" xr3:uid="{00000000-0010-0000-3300-0000A5000000}" name="Column165" dataDxfId="2389"/>
    <tableColumn id="166" xr3:uid="{00000000-0010-0000-3300-0000A6000000}" name="Column166" dataDxfId="2388"/>
    <tableColumn id="167" xr3:uid="{00000000-0010-0000-3300-0000A7000000}" name="Column167" dataDxfId="2387"/>
    <tableColumn id="168" xr3:uid="{00000000-0010-0000-3300-0000A8000000}" name="Column168" dataDxfId="2386"/>
    <tableColumn id="169" xr3:uid="{00000000-0010-0000-3300-0000A9000000}" name="Column169" dataDxfId="2385"/>
    <tableColumn id="170" xr3:uid="{00000000-0010-0000-3300-0000AA000000}" name="Column170" dataDxfId="2384"/>
    <tableColumn id="171" xr3:uid="{00000000-0010-0000-3300-0000AB000000}" name="Column171" dataDxfId="2383"/>
    <tableColumn id="172" xr3:uid="{00000000-0010-0000-3300-0000AC000000}" name="Column172" dataDxfId="2382"/>
    <tableColumn id="173" xr3:uid="{00000000-0010-0000-3300-0000AD000000}" name="Column173" dataDxfId="2381"/>
    <tableColumn id="174" xr3:uid="{00000000-0010-0000-3300-0000AE000000}" name="Column174" dataDxfId="2380"/>
    <tableColumn id="175" xr3:uid="{00000000-0010-0000-3300-0000AF000000}" name="Column175" dataDxfId="2379"/>
    <tableColumn id="176" xr3:uid="{00000000-0010-0000-3300-0000B0000000}" name="Column176" dataDxfId="2378"/>
    <tableColumn id="177" xr3:uid="{00000000-0010-0000-3300-0000B1000000}" name="Column177" dataDxfId="2377"/>
    <tableColumn id="178" xr3:uid="{00000000-0010-0000-3300-0000B2000000}" name="Column178" dataDxfId="2376"/>
    <tableColumn id="179" xr3:uid="{00000000-0010-0000-3300-0000B3000000}" name="Column179" dataDxfId="2375"/>
    <tableColumn id="180" xr3:uid="{00000000-0010-0000-3300-0000B4000000}" name="Column180" dataDxfId="2374"/>
    <tableColumn id="181" xr3:uid="{00000000-0010-0000-3300-0000B5000000}" name="Column181" dataDxfId="2373"/>
    <tableColumn id="182" xr3:uid="{00000000-0010-0000-3300-0000B6000000}" name="Column182" dataDxfId="2372"/>
    <tableColumn id="183" xr3:uid="{00000000-0010-0000-3300-0000B7000000}" name="Column183" dataDxfId="2371"/>
    <tableColumn id="184" xr3:uid="{00000000-0010-0000-3300-0000B8000000}" name="Column184" dataDxfId="2370"/>
    <tableColumn id="185" xr3:uid="{00000000-0010-0000-3300-0000B9000000}" name="Column185" dataDxfId="2369"/>
    <tableColumn id="186" xr3:uid="{00000000-0010-0000-3300-0000BA000000}" name="Column186" dataDxfId="2368"/>
    <tableColumn id="187" xr3:uid="{00000000-0010-0000-3300-0000BB000000}" name="Column187" dataDxfId="2367"/>
    <tableColumn id="188" xr3:uid="{00000000-0010-0000-3300-0000BC000000}" name="Column188" dataDxfId="2366"/>
    <tableColumn id="189" xr3:uid="{00000000-0010-0000-3300-0000BD000000}" name="Column189" dataDxfId="2365"/>
    <tableColumn id="190" xr3:uid="{00000000-0010-0000-3300-0000BE000000}" name="Column190" dataDxfId="2364"/>
    <tableColumn id="191" xr3:uid="{00000000-0010-0000-3300-0000BF000000}" name="Column191" dataDxfId="2363"/>
    <tableColumn id="192" xr3:uid="{00000000-0010-0000-3300-0000C0000000}" name="Column192" dataDxfId="2362"/>
    <tableColumn id="193" xr3:uid="{00000000-0010-0000-3300-0000C1000000}" name="Column193" dataDxfId="2361"/>
    <tableColumn id="194" xr3:uid="{00000000-0010-0000-3300-0000C2000000}" name="Column194" dataDxfId="2360"/>
    <tableColumn id="195" xr3:uid="{00000000-0010-0000-3300-0000C3000000}" name="Column195" dataDxfId="2359"/>
    <tableColumn id="196" xr3:uid="{00000000-0010-0000-3300-0000C4000000}" name="Column196" dataDxfId="2358"/>
    <tableColumn id="197" xr3:uid="{00000000-0010-0000-3300-0000C5000000}" name="Column197" dataDxfId="2357"/>
    <tableColumn id="198" xr3:uid="{00000000-0010-0000-3300-0000C6000000}" name="Column198" dataDxfId="2356"/>
    <tableColumn id="199" xr3:uid="{00000000-0010-0000-3300-0000C7000000}" name="Column199" dataDxfId="2355"/>
    <tableColumn id="200" xr3:uid="{00000000-0010-0000-3300-0000C8000000}" name="Column200" dataDxfId="2354"/>
    <tableColumn id="201" xr3:uid="{00000000-0010-0000-3300-0000C9000000}" name="Column201" dataDxfId="2353"/>
    <tableColumn id="202" xr3:uid="{00000000-0010-0000-3300-0000CA000000}" name="Column202" dataDxfId="2352"/>
    <tableColumn id="203" xr3:uid="{00000000-0010-0000-3300-0000CB000000}" name="Column203" dataDxfId="2351"/>
    <tableColumn id="204" xr3:uid="{00000000-0010-0000-3300-0000CC000000}" name="Column204" dataDxfId="2350"/>
    <tableColumn id="205" xr3:uid="{00000000-0010-0000-3300-0000CD000000}" name="Column205" dataDxfId="2349"/>
    <tableColumn id="206" xr3:uid="{00000000-0010-0000-3300-0000CE000000}" name="Column206" dataDxfId="2348"/>
    <tableColumn id="207" xr3:uid="{00000000-0010-0000-3300-0000CF000000}" name="Column207" dataDxfId="2347"/>
    <tableColumn id="208" xr3:uid="{00000000-0010-0000-3300-0000D0000000}" name="Column208" dataDxfId="2346"/>
    <tableColumn id="209" xr3:uid="{00000000-0010-0000-3300-0000D1000000}" name="Column209" dataDxfId="2345"/>
    <tableColumn id="210" xr3:uid="{00000000-0010-0000-3300-0000D2000000}" name="Column210" dataDxfId="2344"/>
  </tableColumns>
  <tableStyleInfo name="New BO-style 28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Table_53" displayName="Table_53" ref="DG36:DG37" headerRowCount="0" headerRowDxfId="2343" dataDxfId="2342" totalsRowDxfId="2341">
  <tableColumns count="1">
    <tableColumn id="1" xr3:uid="{00000000-0010-0000-3400-000001000000}" name="Column1" dataDxfId="2340"/>
  </tableColumns>
  <tableStyleInfo name="New BO-style 29" showFirstColumn="1" showLastColumn="1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able_54" displayName="Table_54" ref="FG36:FK36" headerRowCount="0" headerRowDxfId="2339" dataDxfId="2338" totalsRowDxfId="2337">
  <tableColumns count="5">
    <tableColumn id="1" xr3:uid="{00000000-0010-0000-3500-000001000000}" name="Column1" dataDxfId="2336"/>
    <tableColumn id="2" xr3:uid="{00000000-0010-0000-3500-000002000000}" name="Column2" dataDxfId="2335"/>
    <tableColumn id="3" xr3:uid="{00000000-0010-0000-3500-000003000000}" name="Column3" dataDxfId="2334"/>
    <tableColumn id="4" xr3:uid="{00000000-0010-0000-3500-000004000000}" name="Column4" dataDxfId="2333"/>
    <tableColumn id="5" xr3:uid="{00000000-0010-0000-3500-000005000000}" name="Column5" dataDxfId="2332"/>
  </tableColumns>
  <tableStyleInfo name="New BO-style 30" showFirstColumn="1" showLastColumn="1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Table_55" displayName="Table_55" ref="FN36:FR36" headerRowCount="0" headerRowDxfId="2331" dataDxfId="2330" totalsRowDxfId="2329">
  <tableColumns count="5">
    <tableColumn id="1" xr3:uid="{00000000-0010-0000-3600-000001000000}" name="Column1" dataDxfId="2328"/>
    <tableColumn id="2" xr3:uid="{00000000-0010-0000-3600-000002000000}" name="Column2" dataDxfId="2327"/>
    <tableColumn id="3" xr3:uid="{00000000-0010-0000-3600-000003000000}" name="Column3" dataDxfId="2326"/>
    <tableColumn id="4" xr3:uid="{00000000-0010-0000-3600-000004000000}" name="Column4" dataDxfId="2325"/>
    <tableColumn id="5" xr3:uid="{00000000-0010-0000-3600-000005000000}" name="Column5" dataDxfId="2324"/>
  </tableColumns>
  <tableStyleInfo name="New BO-style 31" showFirstColumn="1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Table_56" displayName="Table_56" ref="FU36:FY36" headerRowCount="0" headerRowDxfId="2323" dataDxfId="2322" totalsRowDxfId="2321">
  <tableColumns count="5">
    <tableColumn id="1" xr3:uid="{00000000-0010-0000-3700-000001000000}" name="Column1" dataDxfId="2320"/>
    <tableColumn id="2" xr3:uid="{00000000-0010-0000-3700-000002000000}" name="Column2" dataDxfId="2319"/>
    <tableColumn id="3" xr3:uid="{00000000-0010-0000-3700-000003000000}" name="Column3" dataDxfId="2318"/>
    <tableColumn id="4" xr3:uid="{00000000-0010-0000-3700-000004000000}" name="Column4" dataDxfId="2317"/>
    <tableColumn id="5" xr3:uid="{00000000-0010-0000-3700-000005000000}" name="Column5" dataDxfId="2316"/>
  </tableColumns>
  <tableStyleInfo name="New BO-style 32" showFirstColumn="1" showLastColumn="1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Table_57" displayName="Table_57" ref="GB36:GF36" headerRowCount="0" headerRowDxfId="2315" dataDxfId="2314" totalsRowDxfId="2313">
  <tableColumns count="5">
    <tableColumn id="1" xr3:uid="{00000000-0010-0000-3800-000001000000}" name="Column1" dataDxfId="2312"/>
    <tableColumn id="2" xr3:uid="{00000000-0010-0000-3800-000002000000}" name="Column2" dataDxfId="2311"/>
    <tableColumn id="3" xr3:uid="{00000000-0010-0000-3800-000003000000}" name="Column3" dataDxfId="2310"/>
    <tableColumn id="4" xr3:uid="{00000000-0010-0000-3800-000004000000}" name="Column4" dataDxfId="2309"/>
    <tableColumn id="5" xr3:uid="{00000000-0010-0000-3800-000005000000}" name="Column5" dataDxfId="2308"/>
  </tableColumns>
  <tableStyleInfo name="New BO-style 33" showFirstColumn="1" showLastColumn="1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Table_58" displayName="Table_58" ref="FG37:FL38" headerRowCount="0" headerRowDxfId="2307" dataDxfId="2306" totalsRowDxfId="2305">
  <tableColumns count="6">
    <tableColumn id="1" xr3:uid="{00000000-0010-0000-3900-000001000000}" name="Column1" dataDxfId="2304"/>
    <tableColumn id="2" xr3:uid="{00000000-0010-0000-3900-000002000000}" name="Column2" dataDxfId="2303"/>
    <tableColumn id="3" xr3:uid="{00000000-0010-0000-3900-000003000000}" name="Column3" dataDxfId="2302"/>
    <tableColumn id="4" xr3:uid="{00000000-0010-0000-3900-000004000000}" name="Column4" dataDxfId="2301"/>
    <tableColumn id="5" xr3:uid="{00000000-0010-0000-3900-000005000000}" name="Column5" dataDxfId="2300"/>
    <tableColumn id="6" xr3:uid="{00000000-0010-0000-3900-000006000000}" name="Column6" dataDxfId="2299"/>
  </tableColumns>
  <tableStyleInfo name="New BO-style 34" showFirstColumn="1" showLastColumn="1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Table_59" displayName="Table_59" ref="FN37:FS38" headerRowCount="0" headerRowDxfId="2298" dataDxfId="2297" totalsRowDxfId="2296">
  <tableColumns count="6">
    <tableColumn id="1" xr3:uid="{00000000-0010-0000-3A00-000001000000}" name="Column1" dataDxfId="2295"/>
    <tableColumn id="2" xr3:uid="{00000000-0010-0000-3A00-000002000000}" name="Column2" dataDxfId="2294"/>
    <tableColumn id="3" xr3:uid="{00000000-0010-0000-3A00-000003000000}" name="Column3" dataDxfId="2293"/>
    <tableColumn id="4" xr3:uid="{00000000-0010-0000-3A00-000004000000}" name="Column4" dataDxfId="2292"/>
    <tableColumn id="5" xr3:uid="{00000000-0010-0000-3A00-000005000000}" name="Column5" dataDxfId="2291"/>
    <tableColumn id="6" xr3:uid="{00000000-0010-0000-3A00-000006000000}" name="Column6" dataDxfId="2290"/>
  </tableColumns>
  <tableStyleInfo name="New BO-style 35" showFirstColumn="1" showLastColumn="1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Table_60" displayName="Table_60" ref="FU37:FZ38" headerRowCount="0" headerRowDxfId="2289" dataDxfId="2288" totalsRowDxfId="2287">
  <tableColumns count="6">
    <tableColumn id="1" xr3:uid="{00000000-0010-0000-3B00-000001000000}" name="Column1" dataDxfId="2286"/>
    <tableColumn id="2" xr3:uid="{00000000-0010-0000-3B00-000002000000}" name="Column2" dataDxfId="2285"/>
    <tableColumn id="3" xr3:uid="{00000000-0010-0000-3B00-000003000000}" name="Column3" dataDxfId="2284"/>
    <tableColumn id="4" xr3:uid="{00000000-0010-0000-3B00-000004000000}" name="Column4" dataDxfId="2283"/>
    <tableColumn id="5" xr3:uid="{00000000-0010-0000-3B00-000005000000}" name="Column5" dataDxfId="2282"/>
    <tableColumn id="6" xr3:uid="{00000000-0010-0000-3B00-000006000000}" name="Column6" dataDxfId="2281"/>
  </tableColumns>
  <tableStyleInfo name="New BO-style 36" showFirstColumn="1" showLastColumn="1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Table_61" displayName="Table_61" ref="DG38:DG39" headerRowCount="0" headerRowDxfId="2280" dataDxfId="2279" totalsRowDxfId="2278">
  <tableColumns count="1">
    <tableColumn id="1" xr3:uid="{00000000-0010-0000-3C00-000001000000}" name="Column1" dataDxfId="2277"/>
  </tableColumns>
  <tableStyleInfo name="New BO-style 37" showFirstColumn="1" showLastColumn="1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Table_62" displayName="Table_62" ref="FG39:FK39" headerRowCount="0" headerRowDxfId="2276" dataDxfId="2275" totalsRowDxfId="2274">
  <tableColumns count="5">
    <tableColumn id="1" xr3:uid="{00000000-0010-0000-3D00-000001000000}" name="Column1" dataDxfId="2273"/>
    <tableColumn id="2" xr3:uid="{00000000-0010-0000-3D00-000002000000}" name="Column2" dataDxfId="2272"/>
    <tableColumn id="3" xr3:uid="{00000000-0010-0000-3D00-000003000000}" name="Column3" dataDxfId="2271"/>
    <tableColumn id="4" xr3:uid="{00000000-0010-0000-3D00-000004000000}" name="Column4" dataDxfId="2270"/>
    <tableColumn id="5" xr3:uid="{00000000-0010-0000-3D00-000005000000}" name="Column5" dataDxfId="2269"/>
  </tableColumns>
  <tableStyleInfo name="New BO-style 38" showFirstColumn="1" showLastColumn="1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Table_63" displayName="Table_63" ref="FN39:FS39" headerRowCount="0" headerRowDxfId="2268" dataDxfId="2267" totalsRowDxfId="2266">
  <tableColumns count="6">
    <tableColumn id="1" xr3:uid="{00000000-0010-0000-3E00-000001000000}" name="Column1" dataDxfId="2265"/>
    <tableColumn id="2" xr3:uid="{00000000-0010-0000-3E00-000002000000}" name="Column2" dataDxfId="2264"/>
    <tableColumn id="3" xr3:uid="{00000000-0010-0000-3E00-000003000000}" name="Column3" dataDxfId="2263"/>
    <tableColumn id="4" xr3:uid="{00000000-0010-0000-3E00-000004000000}" name="Column4" dataDxfId="2262"/>
    <tableColumn id="5" xr3:uid="{00000000-0010-0000-3E00-000005000000}" name="Column5" dataDxfId="2261"/>
    <tableColumn id="6" xr3:uid="{00000000-0010-0000-3E00-000006000000}" name="Column6" dataDxfId="2260"/>
  </tableColumns>
  <tableStyleInfo name="New BO-style 39" showFirstColumn="1" showLastColumn="1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Table_64" displayName="Table_64" ref="FU39:FZ39" headerRowCount="0" headerRowDxfId="2259" dataDxfId="2258" totalsRowDxfId="2257">
  <tableColumns count="6">
    <tableColumn id="1" xr3:uid="{00000000-0010-0000-3F00-000001000000}" name="Column1" dataDxfId="2256"/>
    <tableColumn id="2" xr3:uid="{00000000-0010-0000-3F00-000002000000}" name="Column2" dataDxfId="2255"/>
    <tableColumn id="3" xr3:uid="{00000000-0010-0000-3F00-000003000000}" name="Column3" dataDxfId="2254"/>
    <tableColumn id="4" xr3:uid="{00000000-0010-0000-3F00-000004000000}" name="Column4" dataDxfId="2253"/>
    <tableColumn id="5" xr3:uid="{00000000-0010-0000-3F00-000005000000}" name="Column5" dataDxfId="2252"/>
    <tableColumn id="6" xr3:uid="{00000000-0010-0000-3F00-000006000000}" name="Column6" dataDxfId="2251"/>
  </tableColumns>
  <tableStyleInfo name="New BO-style 40" showFirstColumn="1" showLastColumn="1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Table_65" displayName="Table_65" ref="DG40" headerRowCount="0" headerRowDxfId="2250" dataDxfId="2249" totalsRowDxfId="2248">
  <tableColumns count="1">
    <tableColumn id="1" xr3:uid="{00000000-0010-0000-4000-000001000000}" name="Column1" dataDxfId="2247"/>
  </tableColumns>
  <tableStyleInfo name="New BO-style 41" showFirstColumn="1" showLastColumn="1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Table_66" displayName="Table_66" ref="FG40:FK40" headerRowCount="0" headerRowDxfId="2246" dataDxfId="2245" totalsRowDxfId="2244">
  <tableColumns count="5">
    <tableColumn id="1" xr3:uid="{00000000-0010-0000-4100-000001000000}" name="Column1" dataDxfId="2243"/>
    <tableColumn id="2" xr3:uid="{00000000-0010-0000-4100-000002000000}" name="Column2" dataDxfId="2242"/>
    <tableColumn id="3" xr3:uid="{00000000-0010-0000-4100-000003000000}" name="Column3" dataDxfId="2241"/>
    <tableColumn id="4" xr3:uid="{00000000-0010-0000-4100-000004000000}" name="Column4" dataDxfId="2240"/>
    <tableColumn id="5" xr3:uid="{00000000-0010-0000-4100-000005000000}" name="Column5" dataDxfId="2239"/>
  </tableColumns>
  <tableStyleInfo name="New BO-style 42" showFirstColumn="1" showLastColumn="1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Table_67" displayName="Table_67" ref="FN40:FR40" headerRowCount="0" headerRowDxfId="2238" dataDxfId="2237" totalsRowDxfId="2236">
  <tableColumns count="5">
    <tableColumn id="1" xr3:uid="{00000000-0010-0000-4200-000001000000}" name="Column1" dataDxfId="2235"/>
    <tableColumn id="2" xr3:uid="{00000000-0010-0000-4200-000002000000}" name="Column2" dataDxfId="2234"/>
    <tableColumn id="3" xr3:uid="{00000000-0010-0000-4200-000003000000}" name="Column3" dataDxfId="2233"/>
    <tableColumn id="4" xr3:uid="{00000000-0010-0000-4200-000004000000}" name="Column4" dataDxfId="2232"/>
    <tableColumn id="5" xr3:uid="{00000000-0010-0000-4200-000005000000}" name="Column5" dataDxfId="2231"/>
  </tableColumns>
  <tableStyleInfo name="New BO-style 43" showFirstColumn="1" showLastColumn="1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Table_68" displayName="Table_68" ref="FU40:FZ40" headerRowCount="0" headerRowDxfId="2230" dataDxfId="2229" totalsRowDxfId="2228">
  <tableColumns count="6">
    <tableColumn id="1" xr3:uid="{00000000-0010-0000-4300-000001000000}" name="Column1" dataDxfId="2227"/>
    <tableColumn id="2" xr3:uid="{00000000-0010-0000-4300-000002000000}" name="Column2" dataDxfId="2226"/>
    <tableColumn id="3" xr3:uid="{00000000-0010-0000-4300-000003000000}" name="Column3" dataDxfId="2225"/>
    <tableColumn id="4" xr3:uid="{00000000-0010-0000-4300-000004000000}" name="Column4" dataDxfId="2224"/>
    <tableColumn id="5" xr3:uid="{00000000-0010-0000-4300-000005000000}" name="Column5" dataDxfId="2223"/>
    <tableColumn id="6" xr3:uid="{00000000-0010-0000-4300-000006000000}" name="Column6" dataDxfId="2222"/>
  </tableColumns>
  <tableStyleInfo name="New BO-style 44" showFirstColumn="1" showLastColumn="1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Table_69" displayName="Table_69" ref="AR41:AX41" headerRowCount="0" headerRowDxfId="2221" dataDxfId="2220" totalsRowDxfId="2219">
  <tableColumns count="7">
    <tableColumn id="1" xr3:uid="{00000000-0010-0000-4400-000001000000}" name="Column1" dataDxfId="2218"/>
    <tableColumn id="2" xr3:uid="{00000000-0010-0000-4400-000002000000}" name="Column2" dataDxfId="2217"/>
    <tableColumn id="3" xr3:uid="{00000000-0010-0000-4400-000003000000}" name="Column3" dataDxfId="2216"/>
    <tableColumn id="4" xr3:uid="{00000000-0010-0000-4400-000004000000}" name="Column4" dataDxfId="2215"/>
    <tableColumn id="5" xr3:uid="{00000000-0010-0000-4400-000005000000}" name="Column5" dataDxfId="2214"/>
    <tableColumn id="6" xr3:uid="{00000000-0010-0000-4400-000006000000}" name="Column6" dataDxfId="2213"/>
    <tableColumn id="7" xr3:uid="{00000000-0010-0000-4400-000007000000}" name="Column7" dataDxfId="2212"/>
  </tableColumns>
  <tableStyleInfo name="New BO-style 45" showFirstColumn="1" showLastColumn="1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Table_70" displayName="Table_70" ref="DG41" headerRowCount="0" headerRowDxfId="2211" dataDxfId="2210" totalsRowDxfId="2209">
  <tableColumns count="1">
    <tableColumn id="1" xr3:uid="{00000000-0010-0000-4500-000001000000}" name="Column1" dataDxfId="2208"/>
  </tableColumns>
  <tableStyleInfo name="New BO-style 46" showFirstColumn="1" showLastColumn="1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Table_71" displayName="Table_71" ref="FG41:FK41" headerRowCount="0" headerRowDxfId="2207" dataDxfId="2206" totalsRowDxfId="2205">
  <tableColumns count="5">
    <tableColumn id="1" xr3:uid="{00000000-0010-0000-4600-000001000000}" name="Column1" dataDxfId="2204"/>
    <tableColumn id="2" xr3:uid="{00000000-0010-0000-4600-000002000000}" name="Column2" dataDxfId="2203"/>
    <tableColumn id="3" xr3:uid="{00000000-0010-0000-4600-000003000000}" name="Column3" dataDxfId="2202"/>
    <tableColumn id="4" xr3:uid="{00000000-0010-0000-4600-000004000000}" name="Column4" dataDxfId="2201"/>
    <tableColumn id="5" xr3:uid="{00000000-0010-0000-4600-000005000000}" name="Column5" dataDxfId="2200"/>
  </tableColumns>
  <tableStyleInfo name="New BO-style 47" showFirstColumn="1" showLastColumn="1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Table_72" displayName="Table_72" ref="FN41:FS41" headerRowCount="0" headerRowDxfId="2199" dataDxfId="2198" totalsRowDxfId="2197">
  <tableColumns count="6">
    <tableColumn id="1" xr3:uid="{00000000-0010-0000-4700-000001000000}" name="Column1" dataDxfId="2196"/>
    <tableColumn id="2" xr3:uid="{00000000-0010-0000-4700-000002000000}" name="Column2" dataDxfId="2195"/>
    <tableColumn id="3" xr3:uid="{00000000-0010-0000-4700-000003000000}" name="Column3" dataDxfId="2194"/>
    <tableColumn id="4" xr3:uid="{00000000-0010-0000-4700-000004000000}" name="Column4" dataDxfId="2193"/>
    <tableColumn id="5" xr3:uid="{00000000-0010-0000-4700-000005000000}" name="Column5" dataDxfId="2192"/>
    <tableColumn id="6" xr3:uid="{00000000-0010-0000-4700-000006000000}" name="Column6" dataDxfId="2191"/>
  </tableColumns>
  <tableStyleInfo name="New BO-style 48" showFirstColumn="1" showLastColumn="1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8000000}" name="Table_73" displayName="Table_73" ref="FU41:FZ41" headerRowCount="0" headerRowDxfId="2190" dataDxfId="2189" totalsRowDxfId="2188">
  <tableColumns count="6">
    <tableColumn id="1" xr3:uid="{00000000-0010-0000-4800-000001000000}" name="Column1" dataDxfId="2187"/>
    <tableColumn id="2" xr3:uid="{00000000-0010-0000-4800-000002000000}" name="Column2" dataDxfId="2186"/>
    <tableColumn id="3" xr3:uid="{00000000-0010-0000-4800-000003000000}" name="Column3" dataDxfId="2185"/>
    <tableColumn id="4" xr3:uid="{00000000-0010-0000-4800-000004000000}" name="Column4" dataDxfId="2184"/>
    <tableColumn id="5" xr3:uid="{00000000-0010-0000-4800-000005000000}" name="Column5" dataDxfId="2183"/>
    <tableColumn id="6" xr3:uid="{00000000-0010-0000-4800-000006000000}" name="Column6" dataDxfId="2182"/>
  </tableColumns>
  <tableStyleInfo name="New BO-style 49" showFirstColumn="1" showLastColumn="1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9000000}" name="Table_74" displayName="Table_74" ref="AR42:AX42" headerRowCount="0" headerRowDxfId="2181" dataDxfId="2180" totalsRowDxfId="2179">
  <tableColumns count="7">
    <tableColumn id="1" xr3:uid="{00000000-0010-0000-4900-000001000000}" name="Column1" dataDxfId="2178"/>
    <tableColumn id="2" xr3:uid="{00000000-0010-0000-4900-000002000000}" name="Column2" dataDxfId="2177"/>
    <tableColumn id="3" xr3:uid="{00000000-0010-0000-4900-000003000000}" name="Column3" dataDxfId="2176"/>
    <tableColumn id="4" xr3:uid="{00000000-0010-0000-4900-000004000000}" name="Column4" dataDxfId="2175"/>
    <tableColumn id="5" xr3:uid="{00000000-0010-0000-4900-000005000000}" name="Column5" dataDxfId="2174"/>
    <tableColumn id="6" xr3:uid="{00000000-0010-0000-4900-000006000000}" name="Column6" dataDxfId="2173"/>
    <tableColumn id="7" xr3:uid="{00000000-0010-0000-4900-000007000000}" name="Column7" dataDxfId="2172"/>
  </tableColumns>
  <tableStyleInfo name="New BO-style 50" showFirstColumn="1" showLastColumn="1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A000000}" name="Table_75" displayName="Table_75" ref="DG42" headerRowCount="0" headerRowDxfId="2171" dataDxfId="2170" totalsRowDxfId="2169">
  <tableColumns count="1">
    <tableColumn id="1" xr3:uid="{00000000-0010-0000-4A00-000001000000}" name="Column1" dataDxfId="2168"/>
  </tableColumns>
  <tableStyleInfo name="New BO-style 51" showFirstColumn="1" showLastColumn="1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B000000}" name="Table_76" displayName="Table_76" ref="FG42:FL42" headerRowCount="0" headerRowDxfId="2167" dataDxfId="2166" totalsRowDxfId="2165">
  <tableColumns count="6">
    <tableColumn id="1" xr3:uid="{00000000-0010-0000-4B00-000001000000}" name="Column1" dataDxfId="2164"/>
    <tableColumn id="2" xr3:uid="{00000000-0010-0000-4B00-000002000000}" name="Column2" dataDxfId="2163"/>
    <tableColumn id="3" xr3:uid="{00000000-0010-0000-4B00-000003000000}" name="Column3" dataDxfId="2162"/>
    <tableColumn id="4" xr3:uid="{00000000-0010-0000-4B00-000004000000}" name="Column4" dataDxfId="2161"/>
    <tableColumn id="5" xr3:uid="{00000000-0010-0000-4B00-000005000000}" name="Column5" dataDxfId="2160"/>
    <tableColumn id="6" xr3:uid="{00000000-0010-0000-4B00-000006000000}" name="Column6" dataDxfId="2159"/>
  </tableColumns>
  <tableStyleInfo name="New BO-style 52" showFirstColumn="1" showLastColumn="1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C000000}" name="Table_77" displayName="Table_77" ref="FN42:FS42" headerRowCount="0" headerRowDxfId="2158" dataDxfId="2157" totalsRowDxfId="2156">
  <tableColumns count="6">
    <tableColumn id="1" xr3:uid="{00000000-0010-0000-4C00-000001000000}" name="Column1" dataDxfId="2155"/>
    <tableColumn id="2" xr3:uid="{00000000-0010-0000-4C00-000002000000}" name="Column2" dataDxfId="2154"/>
    <tableColumn id="3" xr3:uid="{00000000-0010-0000-4C00-000003000000}" name="Column3" dataDxfId="2153"/>
    <tableColumn id="4" xr3:uid="{00000000-0010-0000-4C00-000004000000}" name="Column4" dataDxfId="2152"/>
    <tableColumn id="5" xr3:uid="{00000000-0010-0000-4C00-000005000000}" name="Column5" dataDxfId="2151"/>
    <tableColumn id="6" xr3:uid="{00000000-0010-0000-4C00-000006000000}" name="Column6" dataDxfId="2150"/>
  </tableColumns>
  <tableStyleInfo name="New BO-style 53" showFirstColumn="1" showLastColumn="1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D000000}" name="Table_78" displayName="Table_78" ref="FU42:FZ42" headerRowCount="0" headerRowDxfId="2149" dataDxfId="2148" totalsRowDxfId="2147">
  <tableColumns count="6">
    <tableColumn id="1" xr3:uid="{00000000-0010-0000-4D00-000001000000}" name="Column1" dataDxfId="2146"/>
    <tableColumn id="2" xr3:uid="{00000000-0010-0000-4D00-000002000000}" name="Column2" dataDxfId="2145"/>
    <tableColumn id="3" xr3:uid="{00000000-0010-0000-4D00-000003000000}" name="Column3" dataDxfId="2144"/>
    <tableColumn id="4" xr3:uid="{00000000-0010-0000-4D00-000004000000}" name="Column4" dataDxfId="2143"/>
    <tableColumn id="5" xr3:uid="{00000000-0010-0000-4D00-000005000000}" name="Column5" dataDxfId="2142"/>
    <tableColumn id="6" xr3:uid="{00000000-0010-0000-4D00-000006000000}" name="Column6" dataDxfId="2141"/>
  </tableColumns>
  <tableStyleInfo name="New BO-style 54" showFirstColumn="1" showLastColumn="1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E000000}" name="Table_79" displayName="Table_79" ref="DG43" headerRowCount="0" headerRowDxfId="2140" dataDxfId="2139" totalsRowDxfId="2138">
  <tableColumns count="1">
    <tableColumn id="1" xr3:uid="{00000000-0010-0000-4E00-000001000000}" name="Column1" dataDxfId="2137"/>
  </tableColumns>
  <tableStyleInfo name="New BO-style 55" showFirstColumn="1" showLastColumn="1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F000000}" name="Table_80" displayName="Table_80" ref="FG43:FK44" headerRowCount="0" headerRowDxfId="2136" dataDxfId="2135" totalsRowDxfId="2134">
  <tableColumns count="5">
    <tableColumn id="1" xr3:uid="{00000000-0010-0000-4F00-000001000000}" name="Column1" dataDxfId="2133"/>
    <tableColumn id="2" xr3:uid="{00000000-0010-0000-4F00-000002000000}" name="Column2" dataDxfId="2132"/>
    <tableColumn id="3" xr3:uid="{00000000-0010-0000-4F00-000003000000}" name="Column3" dataDxfId="2131"/>
    <tableColumn id="4" xr3:uid="{00000000-0010-0000-4F00-000004000000}" name="Column4" dataDxfId="2130"/>
    <tableColumn id="5" xr3:uid="{00000000-0010-0000-4F00-000005000000}" name="Column5" dataDxfId="2129"/>
  </tableColumns>
  <tableStyleInfo name="New BO-style 56" showFirstColumn="1" showLastColumn="1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50000000}" name="Table_81" displayName="Table_81" ref="FN43:FS44" headerRowCount="0" headerRowDxfId="2128" dataDxfId="2127" totalsRowDxfId="2126">
  <tableColumns count="6">
    <tableColumn id="1" xr3:uid="{00000000-0010-0000-5000-000001000000}" name="Column1" dataDxfId="2125"/>
    <tableColumn id="2" xr3:uid="{00000000-0010-0000-5000-000002000000}" name="Column2" dataDxfId="2124"/>
    <tableColumn id="3" xr3:uid="{00000000-0010-0000-5000-000003000000}" name="Column3" dataDxfId="2123"/>
    <tableColumn id="4" xr3:uid="{00000000-0010-0000-5000-000004000000}" name="Column4" dataDxfId="2122"/>
    <tableColumn id="5" xr3:uid="{00000000-0010-0000-5000-000005000000}" name="Column5" dataDxfId="2121"/>
    <tableColumn id="6" xr3:uid="{00000000-0010-0000-5000-000006000000}" name="Column6" dataDxfId="2120"/>
  </tableColumns>
  <tableStyleInfo name="New BO-style 57" showFirstColumn="1" showLastColumn="1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51000000}" name="Table_82" displayName="Table_82" ref="FU43:FZ44" headerRowCount="0" headerRowDxfId="2119" dataDxfId="2118" totalsRowDxfId="2117">
  <tableColumns count="6">
    <tableColumn id="1" xr3:uid="{00000000-0010-0000-5100-000001000000}" name="Column1" dataDxfId="2116"/>
    <tableColumn id="2" xr3:uid="{00000000-0010-0000-5100-000002000000}" name="Column2" dataDxfId="2115"/>
    <tableColumn id="3" xr3:uid="{00000000-0010-0000-5100-000003000000}" name="Column3" dataDxfId="2114"/>
    <tableColumn id="4" xr3:uid="{00000000-0010-0000-5100-000004000000}" name="Column4" dataDxfId="2113"/>
    <tableColumn id="5" xr3:uid="{00000000-0010-0000-5100-000005000000}" name="Column5" dataDxfId="2112"/>
    <tableColumn id="6" xr3:uid="{00000000-0010-0000-5100-000006000000}" name="Column6" dataDxfId="2111"/>
  </tableColumns>
  <tableStyleInfo name="New BO-style 58" showFirstColumn="1" showLastColumn="1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52000000}" name="Table_83" displayName="Table_83" ref="DG44" headerRowCount="0" headerRowDxfId="2110" dataDxfId="2109" totalsRowDxfId="2108">
  <tableColumns count="1">
    <tableColumn id="1" xr3:uid="{00000000-0010-0000-5200-000001000000}" name="Column1" dataDxfId="2107"/>
  </tableColumns>
  <tableStyleInfo name="New BO-style 59" showFirstColumn="1" showLastColumn="1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53000000}" name="Table_84" displayName="Table_84" ref="FG45:FL46" headerRowCount="0" headerRowDxfId="2106" dataDxfId="2105" totalsRowDxfId="2104">
  <tableColumns count="6">
    <tableColumn id="1" xr3:uid="{00000000-0010-0000-5300-000001000000}" name="Column1" dataDxfId="2103"/>
    <tableColumn id="2" xr3:uid="{00000000-0010-0000-5300-000002000000}" name="Column2" dataDxfId="2102"/>
    <tableColumn id="3" xr3:uid="{00000000-0010-0000-5300-000003000000}" name="Column3" dataDxfId="2101"/>
    <tableColumn id="4" xr3:uid="{00000000-0010-0000-5300-000004000000}" name="Column4" dataDxfId="2100"/>
    <tableColumn id="5" xr3:uid="{00000000-0010-0000-5300-000005000000}" name="Column5" dataDxfId="2099"/>
    <tableColumn id="6" xr3:uid="{00000000-0010-0000-5300-000006000000}" name="Column6" dataDxfId="2098"/>
  </tableColumns>
  <tableStyleInfo name="New BO-style 60" showFirstColumn="1" showLastColumn="1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54000000}" name="Table_85" displayName="Table_85" ref="FN45:FS46" headerRowCount="0" headerRowDxfId="2097" dataDxfId="2096" totalsRowDxfId="2095">
  <tableColumns count="6">
    <tableColumn id="1" xr3:uid="{00000000-0010-0000-5400-000001000000}" name="Column1" dataDxfId="2094"/>
    <tableColumn id="2" xr3:uid="{00000000-0010-0000-5400-000002000000}" name="Column2" dataDxfId="2093"/>
    <tableColumn id="3" xr3:uid="{00000000-0010-0000-5400-000003000000}" name="Column3" dataDxfId="2092"/>
    <tableColumn id="4" xr3:uid="{00000000-0010-0000-5400-000004000000}" name="Column4" dataDxfId="2091"/>
    <tableColumn id="5" xr3:uid="{00000000-0010-0000-5400-000005000000}" name="Column5" dataDxfId="2090"/>
    <tableColumn id="6" xr3:uid="{00000000-0010-0000-5400-000006000000}" name="Column6" dataDxfId="2089"/>
  </tableColumns>
  <tableStyleInfo name="New BO-style 61" showFirstColumn="1" showLastColumn="1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55000000}" name="Table_86" displayName="Table_86" ref="FU45:FZ46" headerRowCount="0" headerRowDxfId="2088" dataDxfId="2087" totalsRowDxfId="2086">
  <tableColumns count="6">
    <tableColumn id="1" xr3:uid="{00000000-0010-0000-5500-000001000000}" name="Column1" dataDxfId="2085"/>
    <tableColumn id="2" xr3:uid="{00000000-0010-0000-5500-000002000000}" name="Column2" dataDxfId="2084"/>
    <tableColumn id="3" xr3:uid="{00000000-0010-0000-5500-000003000000}" name="Column3" dataDxfId="2083"/>
    <tableColumn id="4" xr3:uid="{00000000-0010-0000-5500-000004000000}" name="Column4" dataDxfId="2082"/>
    <tableColumn id="5" xr3:uid="{00000000-0010-0000-5500-000005000000}" name="Column5" dataDxfId="2081"/>
    <tableColumn id="6" xr3:uid="{00000000-0010-0000-5500-000006000000}" name="Column6" dataDxfId="2080"/>
  </tableColumns>
  <tableStyleInfo name="New BO-style 62" showFirstColumn="1" showLastColumn="1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56000000}" name="Table_87" displayName="Table_87" ref="C9:AD9" headerRowCount="0">
  <tableColumns count="28">
    <tableColumn id="1" xr3:uid="{00000000-0010-0000-5600-000001000000}" name="Column1"/>
    <tableColumn id="2" xr3:uid="{00000000-0010-0000-5600-000002000000}" name="Column2"/>
    <tableColumn id="3" xr3:uid="{00000000-0010-0000-5600-000003000000}" name="Column3"/>
    <tableColumn id="4" xr3:uid="{00000000-0010-0000-5600-000004000000}" name="Column4"/>
    <tableColumn id="5" xr3:uid="{00000000-0010-0000-5600-000005000000}" name="Column5"/>
    <tableColumn id="6" xr3:uid="{00000000-0010-0000-5600-000006000000}" name="Column6"/>
    <tableColumn id="7" xr3:uid="{00000000-0010-0000-5600-000007000000}" name="Column7"/>
    <tableColumn id="8" xr3:uid="{00000000-0010-0000-5600-000008000000}" name="Column8"/>
    <tableColumn id="9" xr3:uid="{00000000-0010-0000-5600-000009000000}" name="Column9"/>
    <tableColumn id="10" xr3:uid="{00000000-0010-0000-5600-00000A000000}" name="Column10"/>
    <tableColumn id="11" xr3:uid="{00000000-0010-0000-5600-00000B000000}" name="Column11"/>
    <tableColumn id="12" xr3:uid="{00000000-0010-0000-5600-00000C000000}" name="Column12"/>
    <tableColumn id="13" xr3:uid="{00000000-0010-0000-5600-00000D000000}" name="Column13"/>
    <tableColumn id="14" xr3:uid="{00000000-0010-0000-5600-00000E000000}" name="Column14"/>
    <tableColumn id="15" xr3:uid="{00000000-0010-0000-5600-00000F000000}" name="Column15"/>
    <tableColumn id="16" xr3:uid="{00000000-0010-0000-5600-000010000000}" name="Column16"/>
    <tableColumn id="17" xr3:uid="{00000000-0010-0000-5600-000011000000}" name="Column17"/>
    <tableColumn id="18" xr3:uid="{00000000-0010-0000-5600-000012000000}" name="Column18"/>
    <tableColumn id="19" xr3:uid="{00000000-0010-0000-5600-000013000000}" name="Column19"/>
    <tableColumn id="20" xr3:uid="{00000000-0010-0000-5600-000014000000}" name="Column20"/>
    <tableColumn id="21" xr3:uid="{00000000-0010-0000-5600-000015000000}" name="Column21"/>
    <tableColumn id="22" xr3:uid="{00000000-0010-0000-5600-000016000000}" name="Column22"/>
    <tableColumn id="23" xr3:uid="{00000000-0010-0000-5600-000017000000}" name="Column23"/>
    <tableColumn id="24" xr3:uid="{00000000-0010-0000-5600-000018000000}" name="Column24"/>
    <tableColumn id="25" xr3:uid="{00000000-0010-0000-5600-000019000000}" name="Column25"/>
    <tableColumn id="26" xr3:uid="{00000000-0010-0000-5600-00001A000000}" name="Column26"/>
    <tableColumn id="27" xr3:uid="{00000000-0010-0000-5600-00001B000000}" name="Column27"/>
    <tableColumn id="28" xr3:uid="{00000000-0010-0000-5600-00001C000000}" name="Column28"/>
  </tableColumns>
  <tableStyleInfo name="BO-style" showFirstColumn="1" showLastColumn="1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57000000}" name="Table_88" displayName="Table_88" ref="B10:K23" headerRowCount="0">
  <tableColumns count="10">
    <tableColumn id="1" xr3:uid="{00000000-0010-0000-5700-000001000000}" name="Column1"/>
    <tableColumn id="2" xr3:uid="{00000000-0010-0000-5700-000002000000}" name="Column2"/>
    <tableColumn id="3" xr3:uid="{00000000-0010-0000-5700-000003000000}" name="Column3"/>
    <tableColumn id="4" xr3:uid="{00000000-0010-0000-5700-000004000000}" name="Column4"/>
    <tableColumn id="5" xr3:uid="{00000000-0010-0000-5700-000005000000}" name="Column5"/>
    <tableColumn id="6" xr3:uid="{00000000-0010-0000-5700-000006000000}" name="Column6"/>
    <tableColumn id="7" xr3:uid="{00000000-0010-0000-5700-000007000000}" name="Column7"/>
    <tableColumn id="8" xr3:uid="{00000000-0010-0000-5700-000008000000}" name="Column8"/>
    <tableColumn id="9" xr3:uid="{00000000-0010-0000-5700-000009000000}" name="Column9"/>
    <tableColumn id="10" xr3:uid="{00000000-0010-0000-5700-00000A000000}" name="Column10"/>
  </tableColumns>
  <tableStyleInfo name="BO-style 2" showFirstColumn="1" showLastColumn="1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58000000}" name="Table_89" displayName="Table_89" ref="O11:AD11" headerRowCount="0">
  <tableColumns count="16">
    <tableColumn id="1" xr3:uid="{00000000-0010-0000-5800-000001000000}" name="Column1"/>
    <tableColumn id="2" xr3:uid="{00000000-0010-0000-5800-000002000000}" name="Column2"/>
    <tableColumn id="3" xr3:uid="{00000000-0010-0000-5800-000003000000}" name="Column3"/>
    <tableColumn id="4" xr3:uid="{00000000-0010-0000-5800-000004000000}" name="Column4"/>
    <tableColumn id="5" xr3:uid="{00000000-0010-0000-5800-000005000000}" name="Column5"/>
    <tableColumn id="6" xr3:uid="{00000000-0010-0000-5800-000006000000}" name="Column6"/>
    <tableColumn id="7" xr3:uid="{00000000-0010-0000-5800-000007000000}" name="Column7"/>
    <tableColumn id="8" xr3:uid="{00000000-0010-0000-5800-000008000000}" name="Column8"/>
    <tableColumn id="9" xr3:uid="{00000000-0010-0000-5800-000009000000}" name="Column9"/>
    <tableColumn id="10" xr3:uid="{00000000-0010-0000-5800-00000A000000}" name="Column10"/>
    <tableColumn id="11" xr3:uid="{00000000-0010-0000-5800-00000B000000}" name="Column11"/>
    <tableColumn id="12" xr3:uid="{00000000-0010-0000-5800-00000C000000}" name="Column12"/>
    <tableColumn id="13" xr3:uid="{00000000-0010-0000-5800-00000D000000}" name="Column13"/>
    <tableColumn id="14" xr3:uid="{00000000-0010-0000-5800-00000E000000}" name="Column14"/>
    <tableColumn id="15" xr3:uid="{00000000-0010-0000-5800-00000F000000}" name="Column15"/>
    <tableColumn id="16" xr3:uid="{00000000-0010-0000-5800-000010000000}" name="Column16"/>
  </tableColumns>
  <tableStyleInfo name="BO-style 3" showFirstColumn="1" showLastColumn="1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59000000}" name="Table_90" displayName="Table_90" ref="O12:AD12" headerRowCount="0">
  <tableColumns count="16">
    <tableColumn id="1" xr3:uid="{00000000-0010-0000-5900-000001000000}" name="Column1"/>
    <tableColumn id="2" xr3:uid="{00000000-0010-0000-5900-000002000000}" name="Column2"/>
    <tableColumn id="3" xr3:uid="{00000000-0010-0000-5900-000003000000}" name="Column3"/>
    <tableColumn id="4" xr3:uid="{00000000-0010-0000-5900-000004000000}" name="Column4"/>
    <tableColumn id="5" xr3:uid="{00000000-0010-0000-5900-000005000000}" name="Column5"/>
    <tableColumn id="6" xr3:uid="{00000000-0010-0000-5900-000006000000}" name="Column6"/>
    <tableColumn id="7" xr3:uid="{00000000-0010-0000-5900-000007000000}" name="Column7"/>
    <tableColumn id="8" xr3:uid="{00000000-0010-0000-5900-000008000000}" name="Column8"/>
    <tableColumn id="9" xr3:uid="{00000000-0010-0000-5900-000009000000}" name="Column9"/>
    <tableColumn id="10" xr3:uid="{00000000-0010-0000-5900-00000A000000}" name="Column10"/>
    <tableColumn id="11" xr3:uid="{00000000-0010-0000-5900-00000B000000}" name="Column11"/>
    <tableColumn id="12" xr3:uid="{00000000-0010-0000-5900-00000C000000}" name="Column12"/>
    <tableColumn id="13" xr3:uid="{00000000-0010-0000-5900-00000D000000}" name="Column13"/>
    <tableColumn id="14" xr3:uid="{00000000-0010-0000-5900-00000E000000}" name="Column14"/>
    <tableColumn id="15" xr3:uid="{00000000-0010-0000-5900-00000F000000}" name="Column15"/>
    <tableColumn id="16" xr3:uid="{00000000-0010-0000-5900-000010000000}" name="Column16"/>
  </tableColumns>
  <tableStyleInfo name="BO-style 4" showFirstColumn="1" showLastColumn="1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5A000000}" name="Table_91" displayName="Table_91" ref="L15:M17" headerRowCount="0">
  <tableColumns count="2">
    <tableColumn id="1" xr3:uid="{00000000-0010-0000-5A00-000001000000}" name="Column1"/>
    <tableColumn id="2" xr3:uid="{00000000-0010-0000-5A00-000002000000}" name="Column2"/>
  </tableColumns>
  <tableStyleInfo name="BO-style 5" showFirstColumn="1" showLastColumn="1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0000000-000C-0000-FFFF-FFFF5B000000}" name="Table_92" displayName="Table_92" ref="L18:AD18" headerRowCount="0">
  <tableColumns count="19">
    <tableColumn id="1" xr3:uid="{00000000-0010-0000-5B00-000001000000}" name="Column1"/>
    <tableColumn id="2" xr3:uid="{00000000-0010-0000-5B00-000002000000}" name="Column2"/>
    <tableColumn id="3" xr3:uid="{00000000-0010-0000-5B00-000003000000}" name="Column3"/>
    <tableColumn id="4" xr3:uid="{00000000-0010-0000-5B00-000004000000}" name="Column4"/>
    <tableColumn id="5" xr3:uid="{00000000-0010-0000-5B00-000005000000}" name="Column5"/>
    <tableColumn id="6" xr3:uid="{00000000-0010-0000-5B00-000006000000}" name="Column6"/>
    <tableColumn id="7" xr3:uid="{00000000-0010-0000-5B00-000007000000}" name="Column7"/>
    <tableColumn id="8" xr3:uid="{00000000-0010-0000-5B00-000008000000}" name="Column8"/>
    <tableColumn id="9" xr3:uid="{00000000-0010-0000-5B00-000009000000}" name="Column9"/>
    <tableColumn id="10" xr3:uid="{00000000-0010-0000-5B00-00000A000000}" name="Column10"/>
    <tableColumn id="11" xr3:uid="{00000000-0010-0000-5B00-00000B000000}" name="Column11"/>
    <tableColumn id="12" xr3:uid="{00000000-0010-0000-5B00-00000C000000}" name="Column12"/>
    <tableColumn id="13" xr3:uid="{00000000-0010-0000-5B00-00000D000000}" name="Column13"/>
    <tableColumn id="14" xr3:uid="{00000000-0010-0000-5B00-00000E000000}" name="Column14"/>
    <tableColumn id="15" xr3:uid="{00000000-0010-0000-5B00-00000F000000}" name="Column15"/>
    <tableColumn id="16" xr3:uid="{00000000-0010-0000-5B00-000010000000}" name="Column16"/>
    <tableColumn id="17" xr3:uid="{00000000-0010-0000-5B00-000011000000}" name="Column17"/>
    <tableColumn id="18" xr3:uid="{00000000-0010-0000-5B00-000012000000}" name="Column18"/>
    <tableColumn id="19" xr3:uid="{00000000-0010-0000-5B00-000013000000}" name="Column19"/>
  </tableColumns>
  <tableStyleInfo name="BO-style 6" showFirstColumn="1" showLastColumn="1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0000000-000C-0000-FFFF-FFFF5C000000}" name="Table_93" displayName="Table_93" ref="O19:AD20" headerRowCount="0">
  <tableColumns count="16">
    <tableColumn id="1" xr3:uid="{00000000-0010-0000-5C00-000001000000}" name="Column1"/>
    <tableColumn id="2" xr3:uid="{00000000-0010-0000-5C00-000002000000}" name="Column2"/>
    <tableColumn id="3" xr3:uid="{00000000-0010-0000-5C00-000003000000}" name="Column3"/>
    <tableColumn id="4" xr3:uid="{00000000-0010-0000-5C00-000004000000}" name="Column4"/>
    <tableColumn id="5" xr3:uid="{00000000-0010-0000-5C00-000005000000}" name="Column5"/>
    <tableColumn id="6" xr3:uid="{00000000-0010-0000-5C00-000006000000}" name="Column6"/>
    <tableColumn id="7" xr3:uid="{00000000-0010-0000-5C00-000007000000}" name="Column7"/>
    <tableColumn id="8" xr3:uid="{00000000-0010-0000-5C00-000008000000}" name="Column8"/>
    <tableColumn id="9" xr3:uid="{00000000-0010-0000-5C00-000009000000}" name="Column9"/>
    <tableColumn id="10" xr3:uid="{00000000-0010-0000-5C00-00000A000000}" name="Column10"/>
    <tableColumn id="11" xr3:uid="{00000000-0010-0000-5C00-00000B000000}" name="Column11"/>
    <tableColumn id="12" xr3:uid="{00000000-0010-0000-5C00-00000C000000}" name="Column12"/>
    <tableColumn id="13" xr3:uid="{00000000-0010-0000-5C00-00000D000000}" name="Column13"/>
    <tableColumn id="14" xr3:uid="{00000000-0010-0000-5C00-00000E000000}" name="Column14"/>
    <tableColumn id="15" xr3:uid="{00000000-0010-0000-5C00-00000F000000}" name="Column15"/>
    <tableColumn id="16" xr3:uid="{00000000-0010-0000-5C00-000010000000}" name="Column16"/>
  </tableColumns>
  <tableStyleInfo name="BO-style 7" showFirstColumn="1" showLastColumn="1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5D000000}" name="Table_94" displayName="Table_94" ref="L21:M23" headerRowCount="0">
  <tableColumns count="2">
    <tableColumn id="1" xr3:uid="{00000000-0010-0000-5D00-000001000000}" name="Column1"/>
    <tableColumn id="2" xr3:uid="{00000000-0010-0000-5D00-000002000000}" name="Column2"/>
  </tableColumns>
  <tableStyleInfo name="BO-style 8" showFirstColumn="1" showLastColumn="1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0000000-000C-0000-FFFF-FFFF5E000000}" name="Table_95" displayName="Table_95" ref="N21:AD21" headerRowCount="0">
  <tableColumns count="17">
    <tableColumn id="1" xr3:uid="{00000000-0010-0000-5E00-000001000000}" name="Column1"/>
    <tableColumn id="2" xr3:uid="{00000000-0010-0000-5E00-000002000000}" name="Column2"/>
    <tableColumn id="3" xr3:uid="{00000000-0010-0000-5E00-000003000000}" name="Column3"/>
    <tableColumn id="4" xr3:uid="{00000000-0010-0000-5E00-000004000000}" name="Column4"/>
    <tableColumn id="5" xr3:uid="{00000000-0010-0000-5E00-000005000000}" name="Column5"/>
    <tableColumn id="6" xr3:uid="{00000000-0010-0000-5E00-000006000000}" name="Column6"/>
    <tableColumn id="7" xr3:uid="{00000000-0010-0000-5E00-000007000000}" name="Column7"/>
    <tableColumn id="8" xr3:uid="{00000000-0010-0000-5E00-000008000000}" name="Column8"/>
    <tableColumn id="9" xr3:uid="{00000000-0010-0000-5E00-000009000000}" name="Column9"/>
    <tableColumn id="10" xr3:uid="{00000000-0010-0000-5E00-00000A000000}" name="Column10"/>
    <tableColumn id="11" xr3:uid="{00000000-0010-0000-5E00-00000B000000}" name="Column11"/>
    <tableColumn id="12" xr3:uid="{00000000-0010-0000-5E00-00000C000000}" name="Column12"/>
    <tableColumn id="13" xr3:uid="{00000000-0010-0000-5E00-00000D000000}" name="Column13"/>
    <tableColumn id="14" xr3:uid="{00000000-0010-0000-5E00-00000E000000}" name="Column14"/>
    <tableColumn id="15" xr3:uid="{00000000-0010-0000-5E00-00000F000000}" name="Column15"/>
    <tableColumn id="16" xr3:uid="{00000000-0010-0000-5E00-000010000000}" name="Column16"/>
    <tableColumn id="17" xr3:uid="{00000000-0010-0000-5E00-000011000000}" name="Column17"/>
  </tableColumns>
  <tableStyleInfo name="BO-style 9" showFirstColumn="1" showLastColumn="1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000000-000C-0000-FFFF-FFFF5F000000}" name="Table_96" displayName="Table_96" ref="C25:K25" headerRowCount="0">
  <tableColumns count="9">
    <tableColumn id="1" xr3:uid="{00000000-0010-0000-5F00-000001000000}" name="Column1"/>
    <tableColumn id="2" xr3:uid="{00000000-0010-0000-5F00-000002000000}" name="Column2"/>
    <tableColumn id="3" xr3:uid="{00000000-0010-0000-5F00-000003000000}" name="Column3"/>
    <tableColumn id="4" xr3:uid="{00000000-0010-0000-5F00-000004000000}" name="Column4"/>
    <tableColumn id="5" xr3:uid="{00000000-0010-0000-5F00-000005000000}" name="Column5"/>
    <tableColumn id="6" xr3:uid="{00000000-0010-0000-5F00-000006000000}" name="Column6"/>
    <tableColumn id="7" xr3:uid="{00000000-0010-0000-5F00-000007000000}" name="Column7"/>
    <tableColumn id="8" xr3:uid="{00000000-0010-0000-5F00-000008000000}" name="Column8"/>
    <tableColumn id="9" xr3:uid="{00000000-0010-0000-5F00-000009000000}" name="Column9"/>
  </tableColumns>
  <tableStyleInfo name="BO-style 10" showFirstColumn="1" showLastColumn="1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0000000-000C-0000-FFFF-FFFF60000000}" name="Table_97" displayName="Table_97" ref="M25:O25" headerRowCount="0">
  <tableColumns count="3">
    <tableColumn id="1" xr3:uid="{00000000-0010-0000-6000-000001000000}" name="Column1"/>
    <tableColumn id="2" xr3:uid="{00000000-0010-0000-6000-000002000000}" name="Column2"/>
    <tableColumn id="3" xr3:uid="{00000000-0010-0000-6000-000003000000}" name="Column3"/>
  </tableColumns>
  <tableStyleInfo name="BO-style 11" showFirstColumn="1" showLastColumn="1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0000000-000C-0000-FFFF-FFFF61000000}" name="Table_98" displayName="Table_98" ref="B26:K32" headerRowCount="0">
  <tableColumns count="10">
    <tableColumn id="1" xr3:uid="{00000000-0010-0000-6100-000001000000}" name="Column1"/>
    <tableColumn id="2" xr3:uid="{00000000-0010-0000-6100-000002000000}" name="Column2"/>
    <tableColumn id="3" xr3:uid="{00000000-0010-0000-6100-000003000000}" name="Column3"/>
    <tableColumn id="4" xr3:uid="{00000000-0010-0000-6100-000004000000}" name="Column4"/>
    <tableColumn id="5" xr3:uid="{00000000-0010-0000-6100-000005000000}" name="Column5"/>
    <tableColumn id="6" xr3:uid="{00000000-0010-0000-6100-000006000000}" name="Column6"/>
    <tableColumn id="7" xr3:uid="{00000000-0010-0000-6100-000007000000}" name="Column7"/>
    <tableColumn id="8" xr3:uid="{00000000-0010-0000-6100-000008000000}" name="Column8"/>
    <tableColumn id="9" xr3:uid="{00000000-0010-0000-6100-000009000000}" name="Column9"/>
    <tableColumn id="10" xr3:uid="{00000000-0010-0000-6100-00000A000000}" name="Column10"/>
  </tableColumns>
  <tableStyleInfo name="BO-style 12" showFirstColumn="1" showLastColumn="1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000000-000C-0000-FFFF-FFFF62000000}" name="Table_99" displayName="Table_99" ref="O28:AD29" headerRowCount="0">
  <tableColumns count="16">
    <tableColumn id="1" xr3:uid="{00000000-0010-0000-6200-000001000000}" name="Column1"/>
    <tableColumn id="2" xr3:uid="{00000000-0010-0000-6200-000002000000}" name="Column2"/>
    <tableColumn id="3" xr3:uid="{00000000-0010-0000-6200-000003000000}" name="Column3"/>
    <tableColumn id="4" xr3:uid="{00000000-0010-0000-6200-000004000000}" name="Column4"/>
    <tableColumn id="5" xr3:uid="{00000000-0010-0000-6200-000005000000}" name="Column5"/>
    <tableColumn id="6" xr3:uid="{00000000-0010-0000-6200-000006000000}" name="Column6"/>
    <tableColumn id="7" xr3:uid="{00000000-0010-0000-6200-000007000000}" name="Column7"/>
    <tableColumn id="8" xr3:uid="{00000000-0010-0000-6200-000008000000}" name="Column8"/>
    <tableColumn id="9" xr3:uid="{00000000-0010-0000-6200-000009000000}" name="Column9"/>
    <tableColumn id="10" xr3:uid="{00000000-0010-0000-6200-00000A000000}" name="Column10"/>
    <tableColumn id="11" xr3:uid="{00000000-0010-0000-6200-00000B000000}" name="Column11"/>
    <tableColumn id="12" xr3:uid="{00000000-0010-0000-6200-00000C000000}" name="Column12"/>
    <tableColumn id="13" xr3:uid="{00000000-0010-0000-6200-00000D000000}" name="Column13"/>
    <tableColumn id="14" xr3:uid="{00000000-0010-0000-6200-00000E000000}" name="Column14"/>
    <tableColumn id="15" xr3:uid="{00000000-0010-0000-6200-00000F000000}" name="Column15"/>
    <tableColumn id="16" xr3:uid="{00000000-0010-0000-6200-000010000000}" name="Column16"/>
  </tableColumns>
  <tableStyleInfo name="BO-style 13" showFirstColumn="1" showLastColumn="1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0000000-000C-0000-FFFF-FFFF63000000}" name="Table_100" displayName="Table_100" ref="L31:N32" headerRowCount="0">
  <tableColumns count="3">
    <tableColumn id="1" xr3:uid="{00000000-0010-0000-6300-000001000000}" name="Column1"/>
    <tableColumn id="2" xr3:uid="{00000000-0010-0000-6300-000002000000}" name="Column2"/>
    <tableColumn id="3" xr3:uid="{00000000-0010-0000-6300-000003000000}" name="Column3"/>
  </tableColumns>
  <tableStyleInfo name="BO-style 14" showFirstColumn="1" showLastColumn="1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0000000-000C-0000-FFFF-FFFF64000000}" name="Table_101" displayName="Table_101" ref="B35:B56" headerRowCount="0">
  <tableColumns count="1">
    <tableColumn id="1" xr3:uid="{00000000-0010-0000-6400-000001000000}" name="Column1"/>
  </tableColumns>
  <tableStyleInfo name="BO-style 15" showFirstColumn="1" showLastColumn="1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00000000-000C-0000-FFFF-FFFF65000000}" name="Table_102" displayName="Table_102" ref="C7:F7" headerRowCount="0">
  <tableColumns count="4">
    <tableColumn id="1" xr3:uid="{00000000-0010-0000-6500-000001000000}" name="Column1"/>
    <tableColumn id="2" xr3:uid="{00000000-0010-0000-6500-000002000000}" name="Column2"/>
    <tableColumn id="3" xr3:uid="{00000000-0010-0000-6500-000003000000}" name="Column3"/>
    <tableColumn id="4" xr3:uid="{00000000-0010-0000-6500-000004000000}" name="Column4"/>
  </tableColumns>
  <tableStyleInfo name="FO2-style" showFirstColumn="1" showLastColumn="1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0000000-000C-0000-FFFF-FFFF66000000}" name="Table_103" displayName="Table_103" ref="G7:AD7" headerRowCount="0">
  <tableColumns count="24">
    <tableColumn id="1" xr3:uid="{00000000-0010-0000-6600-000001000000}" name="Column1"/>
    <tableColumn id="2" xr3:uid="{00000000-0010-0000-6600-000002000000}" name="Column2"/>
    <tableColumn id="3" xr3:uid="{00000000-0010-0000-6600-000003000000}" name="Column3"/>
    <tableColumn id="4" xr3:uid="{00000000-0010-0000-6600-000004000000}" name="Column4"/>
    <tableColumn id="5" xr3:uid="{00000000-0010-0000-6600-000005000000}" name="Column5"/>
    <tableColumn id="6" xr3:uid="{00000000-0010-0000-6600-000006000000}" name="Column6"/>
    <tableColumn id="7" xr3:uid="{00000000-0010-0000-6600-000007000000}" name="Column7"/>
    <tableColumn id="8" xr3:uid="{00000000-0010-0000-6600-000008000000}" name="Column8"/>
    <tableColumn id="9" xr3:uid="{00000000-0010-0000-6600-000009000000}" name="Column9"/>
    <tableColumn id="10" xr3:uid="{00000000-0010-0000-6600-00000A000000}" name="Column10"/>
    <tableColumn id="11" xr3:uid="{00000000-0010-0000-6600-00000B000000}" name="Column11"/>
    <tableColumn id="12" xr3:uid="{00000000-0010-0000-6600-00000C000000}" name="Column12"/>
    <tableColumn id="13" xr3:uid="{00000000-0010-0000-6600-00000D000000}" name="Column13"/>
    <tableColumn id="14" xr3:uid="{00000000-0010-0000-6600-00000E000000}" name="Column14"/>
    <tableColumn id="15" xr3:uid="{00000000-0010-0000-6600-00000F000000}" name="Column15"/>
    <tableColumn id="16" xr3:uid="{00000000-0010-0000-6600-000010000000}" name="Column16"/>
    <tableColumn id="17" xr3:uid="{00000000-0010-0000-6600-000011000000}" name="Column17"/>
    <tableColumn id="18" xr3:uid="{00000000-0010-0000-6600-000012000000}" name="Column18"/>
    <tableColumn id="19" xr3:uid="{00000000-0010-0000-6600-000013000000}" name="Column19"/>
    <tableColumn id="20" xr3:uid="{00000000-0010-0000-6600-000014000000}" name="Column20"/>
    <tableColumn id="21" xr3:uid="{00000000-0010-0000-6600-000015000000}" name="Column21"/>
    <tableColumn id="22" xr3:uid="{00000000-0010-0000-6600-000016000000}" name="Column22"/>
    <tableColumn id="23" xr3:uid="{00000000-0010-0000-6600-000017000000}" name="Column23"/>
    <tableColumn id="24" xr3:uid="{00000000-0010-0000-6600-000018000000}" name="Column24"/>
  </tableColumns>
  <tableStyleInfo name="FO2-style 2" showFirstColumn="1" showLastColumn="1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0000000-000C-0000-FFFF-FFFF67000000}" name="Table_104" displayName="Table_104" ref="L8" headerRowCount="0">
  <tableColumns count="1">
    <tableColumn id="1" xr3:uid="{00000000-0010-0000-6700-000001000000}" name="Column1"/>
  </tableColumns>
  <tableStyleInfo name="FO2-style 3" showFirstColumn="1" showLastColumn="1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0000000-000C-0000-FFFF-FFFF68000000}" name="Table_105" displayName="Table_105" ref="N9:N11" headerRowCount="0">
  <tableColumns count="1">
    <tableColumn id="1" xr3:uid="{00000000-0010-0000-6800-000001000000}" name="Column1"/>
  </tableColumns>
  <tableStyleInfo name="FO2-style 4" showFirstColumn="1" showLastColumn="1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0000000-000C-0000-FFFF-FFFF69000000}" name="Table_106" displayName="Table_106" ref="K10:M10" headerRowCount="0">
  <tableColumns count="3">
    <tableColumn id="1" xr3:uid="{00000000-0010-0000-6900-000001000000}" name="Column1"/>
    <tableColumn id="2" xr3:uid="{00000000-0010-0000-6900-000002000000}" name="Column2"/>
    <tableColumn id="3" xr3:uid="{00000000-0010-0000-6900-000003000000}" name="Column3"/>
  </tableColumns>
  <tableStyleInfo name="FO2-style 5" showFirstColumn="1" showLastColumn="1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0000000-000C-0000-FFFF-FFFF6A000000}" name="Table_107" displayName="Table_107" ref="L11:L12" headerRowCount="0">
  <tableColumns count="1">
    <tableColumn id="1" xr3:uid="{00000000-0010-0000-6A00-000001000000}" name="Column1"/>
  </tableColumns>
  <tableStyleInfo name="FO2-style 6" showFirstColumn="1" showLastColumn="1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0000000-000C-0000-FFFF-FFFF6B000000}" name="Table_108" displayName="Table_108" ref="M12:P13" headerRowCount="0">
  <tableColumns count="4">
    <tableColumn id="1" xr3:uid="{00000000-0010-0000-6B00-000001000000}" name="Column1"/>
    <tableColumn id="2" xr3:uid="{00000000-0010-0000-6B00-000002000000}" name="Column2"/>
    <tableColumn id="3" xr3:uid="{00000000-0010-0000-6B00-000003000000}" name="Column3"/>
    <tableColumn id="4" xr3:uid="{00000000-0010-0000-6B00-000004000000}" name="Column4"/>
  </tableColumns>
  <tableStyleInfo name="FO2-style 7" showFirstColumn="1" showLastColumn="1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00000000-000C-0000-FFFF-FFFF6C000000}" name="Table_109" displayName="Table_109" ref="K13:L14" headerRowCount="0">
  <tableColumns count="2">
    <tableColumn id="1" xr3:uid="{00000000-0010-0000-6C00-000001000000}" name="Column1"/>
    <tableColumn id="2" xr3:uid="{00000000-0010-0000-6C00-000002000000}" name="Column2"/>
  </tableColumns>
  <tableStyleInfo name="FO2-style 8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P2" dT="2025-11-06T16:50:33.00" personId="{D71C9C20-B444-4914-A5CE-3FCD9ECA83E9}" id="{B02BF771-C7E4-4DC6-BD8B-0B5E40B2C1E9}">
    <text>Férié France</text>
  </threadedComment>
  <threadedComment ref="CW2" dT="2025-11-06T16:50:58.00" personId="{D71C9C20-B444-4914-A5CE-3FCD9ECA83E9}" id="{09F7E8A3-C589-4C21-B329-AADD44F6587D}">
    <text>Férié Maroc</text>
  </threadedComment>
  <threadedComment ref="GH2" dT="2026-02-13T11:35:19.00" personId="{D71C9C20-B444-4914-A5CE-3FCD9ECA83E9}" id="{A7EFF18C-C9FF-49F2-A2B2-DED0D492F67B}">
    <text>Passage en heure GMT</text>
  </threadedComment>
  <threadedComment ref="AU7" dT="2025-09-24T12:25:17.00" personId="{D71C9C20-B444-4914-A5CE-3FCD9ECA83E9}" id="{10529858-1369-49C0-B348-776001E44501}">
    <text>En prise d'appel à partir de 5h</text>
  </threadedComment>
  <threadedComment ref="BB7" dT="2025-10-02T08:42:57.00" personId="{D71C9C20-B444-4914-A5CE-3FCD9ECA83E9}" id="{AF72BFF3-EF83-4A5E-A25C-E778A8994DD5}">
    <text>FORMATION</text>
  </threadedComment>
  <threadedComment ref="CO7" dT="2025-11-06T16:45:41.00" personId="{D71C9C20-B444-4914-A5CE-3FCD9ECA83E9}" id="{7DBC9353-719F-4291-A536-73BF602B4B47}">
    <text>TT</text>
  </threadedComment>
  <threadedComment ref="CP7" dT="2025-11-06T16:45:47.00" personId="{D71C9C20-B444-4914-A5CE-3FCD9ECA83E9}" id="{B897E145-953B-4AA8-A441-AB1AEDA74122}">
    <text>TT</text>
  </threadedComment>
  <threadedComment ref="EF7" dT="2025-12-22T13:06:06.00" personId="{786E305A-46F6-4A8F-AD35-8A4B179B6911}" id="{5AF0348C-0BB0-4048-9671-BE9FF4EDC607}">
    <text>Formation NEW CRF 11h-15h</text>
  </threadedComment>
  <threadedComment ref="BB8" dT="2025-10-02T08:43:09.00" personId="{D71C9C20-B444-4914-A5CE-3FCD9ECA83E9}" id="{973D0754-F44E-4BD0-B60F-8F9E9E34CE2B}">
    <text>FORMATION</text>
  </threadedComment>
  <threadedComment ref="DQ8" dT="2025-12-06T12:08:42.00" personId="{786E305A-46F6-4A8F-AD35-8A4B179B6911}" id="{EC6105F6-D386-4BCD-B23A-C6F15211DAAB}" done="1">
    <text>Formation New CRF 14h-16h</text>
  </threadedComment>
  <threadedComment ref="DR8" dT="2025-12-06T12:09:15.00" personId="{786E305A-46F6-4A8F-AD35-8A4B179B6911}" id="{272AD280-F85E-4FFC-BF4D-415CAD80A47C}">
    <text>Formation New CRF 14h-16h</text>
  </threadedComment>
  <threadedComment ref="DS8" dT="2025-12-06T12:09:55.00" personId="{786E305A-46F6-4A8F-AD35-8A4B179B6911}" id="{699E69F8-36D5-4621-AA6B-C12D34C79AC9}">
    <text>Formation New CRF 14h-16h</text>
  </threadedComment>
  <threadedComment ref="GP8" dT="2026-02-23T12:12:48.00" personId="{D71C9C20-B444-4914-A5CE-3FCD9ECA83E9}" id="{4C343FDB-E01C-4A34-95B4-3BA8FC5D1F0A}">
    <text>Départ 14h</text>
  </threadedComment>
  <threadedComment ref="JO8" dT="2026-05-12T07:16:26.00" personId="{786E305A-46F6-4A8F-AD35-8A4B179B6911}" id="{2E258A92-4655-4520-8CF4-335F32961D7E}">
    <text>RET 1H</text>
  </threadedComment>
  <threadedComment ref="EF9" dT="2025-12-22T13:06:13.00" personId="{786E305A-46F6-4A8F-AD35-8A4B179B6911}" id="{A5D93499-7CE2-4910-B762-5E1F2A7F4C98}">
    <text>Formation NEW CRF 14h-18h</text>
  </threadedComment>
  <threadedComment ref="DJ10" dT="2025-12-01T07:38:56.00" personId="{786E305A-46F6-4A8F-AD35-8A4B179B6911}" id="{129AE57D-1C53-46DC-9E4B-0C51998926BE}">
    <text>Formation New CRF 14h-16h</text>
  </threadedComment>
  <threadedComment ref="DN10" dT="2025-12-01T07:39:16.00" personId="{786E305A-46F6-4A8F-AD35-8A4B179B6911}" id="{2DF0E254-EDBF-4442-95DD-FE31F6EDD57C}">
    <text>Formation New CRF 14h30-16h30</text>
  </threadedComment>
  <threadedComment ref="DY10" dT="2025-12-16T09:37:03.00" personId="{D71C9C20-B444-4914-A5CE-3FCD9ECA83E9}" id="{454E4DA4-3256-4C45-8CDA-E4C82910F269}">
    <text>Othmane heure sup</text>
  </threadedComment>
  <threadedComment ref="DJ11" dT="2025-12-01T07:38:44.00" personId="{786E305A-46F6-4A8F-AD35-8A4B179B6911}" id="{4A5D0FDC-1177-4238-AE08-F17E632C0D98}" done="1">
    <text>Formation New CRF</text>
  </threadedComment>
  <threadedComment ref="EF11" dT="2025-12-22T13:06:24.00" personId="{786E305A-46F6-4A8F-AD35-8A4B179B6911}" id="{F4C26BF7-B801-44FE-98BE-ED1413699236}">
    <text>Formation NEW CRF 13h-17</text>
  </threadedComment>
  <threadedComment ref="GS12" dT="2026-02-26T13:55:18.00" personId="{D71C9C20-B444-4914-A5CE-3FCD9ECA83E9}" id="{972ED006-C42D-415F-AA3A-C984971DD4B0}">
    <text>Départ à 13h</text>
  </threadedComment>
  <threadedComment ref="HD12" dT="2026-02-17T08:58:27.00" personId="{786E305A-46F6-4A8F-AD35-8A4B179B6911}" id="{D2F2B39A-E512-44B7-BDA1-5A078EEC86CA}">
    <text>Congé du 9-03 au 22-03</text>
  </threadedComment>
  <threadedComment ref="DJ13" dT="2025-12-01T07:38:11.00" personId="{786E305A-46F6-4A8F-AD35-8A4B179B6911}" id="{884FBD05-D086-419C-B2C8-612A80DC2261}" done="1">
    <text>Formation New CRF 14h-16h</text>
  </threadedComment>
  <threadedComment ref="DN13" dT="2025-12-01T07:39:24.00" personId="{786E305A-46F6-4A8F-AD35-8A4B179B6911}" id="{87C48287-2E70-4B8C-B028-ACB341D8AF72}" done="1">
    <text>Formation New CRF 14h30-16h30</text>
  </threadedComment>
  <threadedComment ref="DR13" dT="2025-12-06T12:09:27.00" personId="{786E305A-46F6-4A8F-AD35-8A4B179B6911}" id="{665FC415-3059-4EC7-BBE0-E215D60A1C34}">
    <text>Formation New CRF 14h-16h</text>
  </threadedComment>
  <threadedComment ref="DS13" dT="2025-12-06T12:09:58.00" personId="{786E305A-46F6-4A8F-AD35-8A4B179B6911}" id="{06AC91FD-3A5D-478D-B36C-44E591E20EF1}">
    <text>Formation New CRF 14h-16h</text>
  </threadedComment>
  <threadedComment ref="DQ14" dT="2025-12-06T12:08:52.00" personId="{786E305A-46F6-4A8F-AD35-8A4B179B6911}" id="{68A2AF25-C09D-47D9-AF34-09E3E0B40E3D}" done="1">
    <text>Formation New CRF 14h-16h</text>
  </threadedComment>
  <threadedComment ref="DR14" dT="2025-12-06T12:09:44.00" personId="{786E305A-46F6-4A8F-AD35-8A4B179B6911}" id="{8C4FCB7F-06FE-447C-B2CF-30A4B11F89AF}">
    <text>Formation New CRF 14h-16h</text>
  </threadedComment>
  <threadedComment ref="DS14" dT="2025-12-06T12:10:11.00" personId="{786E305A-46F6-4A8F-AD35-8A4B179B6911}" id="{CC85D766-B7B4-493D-AAB5-7AF6804A9D3A}">
    <text>Formation New CRF 14h-16h</text>
  </threadedComment>
  <threadedComment ref="IF14" dT="2026-04-03T15:20:34.00" personId="{786E305A-46F6-4A8F-AD35-8A4B179B6911}" id="{2B10F932-ACA5-492B-B0E8-3080645EE6EA}" done="1">
    <text>Congé</text>
  </threadedComment>
  <threadedComment ref="DN15" dT="2025-12-06T12:08:10.00" personId="{786E305A-46F6-4A8F-AD35-8A4B179B6911}" id="{45192A45-C7AA-42FF-9758-91BD38B927D5}">
    <text>Formation New CRF 11h-13h</text>
  </threadedComment>
  <threadedComment ref="DO15" dT="2025-12-06T12:08:16.00" personId="{786E305A-46F6-4A8F-AD35-8A4B179B6911}" id="{655AFDBD-1BF4-4D02-B23E-FF452FF074C2}">
    <text>Formation New CRF 11h-13h</text>
  </threadedComment>
  <threadedComment ref="DR16" dT="2025-12-06T12:09:36.00" personId="{786E305A-46F6-4A8F-AD35-8A4B179B6911}" id="{D2148E20-BC9A-4EB6-9AD3-19FA5D1DD53D}">
    <text>Formation New CRF 14h-16h</text>
  </threadedComment>
  <threadedComment ref="DS16" dT="2025-12-06T12:10:05.00" personId="{786E305A-46F6-4A8F-AD35-8A4B179B6911}" id="{12FB02A3-C22A-4D19-A94C-96003432FDF0}">
    <text>Formation New CRF 14h-16h</text>
  </threadedComment>
  <threadedComment ref="DJ18" dT="2025-12-01T09:03:15.00" personId="{786E305A-46F6-4A8F-AD35-8A4B179B6911}" id="{A9FFEF21-54A7-4B35-A7F7-860F70DC5B25}">
    <text>Formation New CRF 14h-16h</text>
  </threadedComment>
  <threadedComment ref="DN18" dT="2025-12-01T09:03:14.00" personId="{786E305A-46F6-4A8F-AD35-8A4B179B6911}" id="{604CF4C9-DC67-4B2E-B052-C1A2CB7D6062}">
    <text>Formation New CRF 14h30-16h30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T2" dT="2025-11-06T15:54:06.00" personId="{D71C9C20-B444-4914-A5CE-3FCD9ECA83E9}" id="{5F464058-39B9-413B-ACE8-F891D0C04862}">
    <text>Férié France</text>
  </threadedComment>
  <threadedComment ref="BA2" dT="2025-11-06T15:53:43.00" personId="{D71C9C20-B444-4914-A5CE-3FCD9ECA83E9}" id="{2DCC8E5D-B8F3-4EF0-9C07-D4D60C95BBF0}">
    <text>Férié Maroc</text>
  </threadedComment>
  <threadedComment ref="AT3" dT="2025-11-06T15:51:52.00" personId="{D71C9C20-B444-4914-A5CE-3FCD9ECA83E9}" id="{5B4F93A7-6901-4447-BA0D-62C332F88F3B}">
    <text>TT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P2" dT="2025-11-06T15:05:14.00" personId="{D71C9C20-B444-4914-A5CE-3FCD9ECA83E9}" id="{C0D9AC14-E3A7-4A08-BD66-B1B9AFF44F58}">
    <text>Férié France</text>
  </threadedComment>
  <threadedComment ref="CW2" dT="2025-11-06T15:05:36.00" personId="{D71C9C20-B444-4914-A5CE-3FCD9ECA83E9}" id="{4C536DAB-63A5-4D05-9105-89111EF21319}">
    <text>Férié Maroc</text>
  </threadedComment>
  <threadedComment ref="GH2" dT="2026-02-13T11:35:38.00" personId="{D71C9C20-B444-4914-A5CE-3FCD9ECA83E9}" id="{1478883A-44C6-49E5-B7A7-28A5AEA55D1F}">
    <text>Passage en heure GMT</text>
  </threadedComment>
  <threadedComment ref="O11" dT="2026-03-10T08:45:56.00" personId="{D71C9C20-B444-4914-A5CE-3FCD9ECA83E9}" id="{F57EB69D-66C0-4D5E-929F-65864FCF571F}">
    <text>N2</text>
  </threadedComment>
  <threadedComment ref="O12" dT="2026-03-10T08:46:15.00" personId="{D71C9C20-B444-4914-A5CE-3FCD9ECA83E9}" id="{49912597-F53B-42E3-8C3B-67F88F543148}">
    <text>N2</text>
  </threadedComment>
  <threadedComment ref="BZ12" dT="2025-10-25T06:22:55.00" personId="{D71C9C20-B444-4914-A5CE-3FCD9ECA83E9}" id="{64FFF64E-6C59-4645-8025-FEE2711747D9}">
    <text>TT validé. TRSP non dispo</text>
  </threadedComment>
  <threadedComment ref="O13" dT="2026-03-10T08:46:01.00" personId="{D71C9C20-B444-4914-A5CE-3FCD9ECA83E9}" id="{75B079F3-7D23-4DF6-8252-99F65C417542}">
    <text>N2</text>
  </threadedComment>
  <threadedComment ref="BB14" dT="2025-10-02T08:43:58.00" personId="{D71C9C20-B444-4914-A5CE-3FCD9ECA83E9}" id="{66F7528D-3228-4973-9E9C-5931A0AD3075}">
    <text>Télétravail</text>
  </threadedComment>
  <threadedComment ref="GM14" dT="2026-02-20T08:34:19.00" personId="{D71C9C20-B444-4914-A5CE-3FCD9ECA83E9}" id="{A05B610C-7B9B-423C-9FFE-C4F105B10DC8}">
    <text>Retard une heure</text>
  </threadedComment>
  <threadedComment ref="JC14" dT="2026-04-30T10:15:25.00" personId="{93F062DA-EE2B-48A3-B529-454B711D0D8E}" id="{5D13509A-3D53-412D-91A9-45D46AD82707}">
    <text>Retard 15 min</text>
  </threadedComment>
  <threadedComment ref="FZ17" dT="2026-02-07T08:08:38.00" personId="{786E305A-46F6-4A8F-AD35-8A4B179B6911}" id="{F84412A5-C0BB-4F71-AB9B-0B3881C60CB7}" done="1">
    <text>1H</text>
  </threadedComment>
  <threadedComment ref="BY22" dT="2025-10-25T06:22:31.00" personId="{D71C9C20-B444-4914-A5CE-3FCD9ECA83E9}" id="{71DD0BF1-5E8E-484D-BA33-61617993AC14}">
    <text>Retard 1 heure</text>
  </threadedComment>
  <threadedComment ref="IY22" dT="2026-04-25T11:19:31.00" personId="{923B240C-7EE4-45BB-9FD6-D75002253CFC}" id="{B5DA7642-7264-4700-8542-A28F9B4C5479}">
    <text>Retard: 2h</text>
  </threadedComment>
  <threadedComment ref="DQ27" dT="2025-12-08T09:15:36.00" personId="{923B240C-7EE4-45BB-9FD6-D75002253CFC}" id="{C079690E-FF83-4712-9632-671D27A5D68D}">
    <text>ABS</text>
  </threadedComment>
  <threadedComment ref="JJ27" dT="2026-05-06T07:17:07.00" personId="{923B240C-7EE4-45BB-9FD6-D75002253CFC}" id="{85C7CFC4-9F1F-4C80-8B60-141B7DBB8664}">
    <text>Retard: 1h15</text>
  </threadedComment>
  <threadedComment ref="CQ28" dT="2025-11-12T08:59:18.00" personId="{923B240C-7EE4-45BB-9FD6-D75002253CFC}" id="{189DE588-A6D4-463A-92ED-B06FE5465FD8}" done="1">
    <text>Retard de 2h30</text>
  </threadedComment>
  <threadedComment ref="CR28" dT="2025-11-13T08:39:13.00" personId="{923B240C-7EE4-45BB-9FD6-D75002253CFC}" id="{93C0260E-D8A0-4382-ABF1-768631C7FE20}" done="1">
    <text>Retard de 1h15</text>
  </threadedComment>
  <threadedComment ref="DG28" dT="2025-11-28T15:18:48.00" personId="{923B240C-7EE4-45BB-9FD6-D75002253CFC}" id="{09631556-4681-4478-AB40-B2162012B32A}">
    <text>Retard 15min</text>
  </threadedComment>
  <threadedComment ref="DJ28" dT="2025-12-01T07:42:46.00" personId="{923B240C-7EE4-45BB-9FD6-D75002253CFC}" id="{9EDA0DAE-52D0-4BCD-8B2D-AFE0272D3D08}">
    <text>Retard de 3h45</text>
  </threadedComment>
  <threadedComment ref="DM28" dT="2025-12-04T08:00:10.00" personId="{923B240C-7EE4-45BB-9FD6-D75002253CFC}" id="{6EC353A1-76AD-4A0F-B615-1D43C50F06A9}">
    <text>Retard: 1h</text>
  </threadedComment>
  <threadedComment ref="DT28" dT="2025-12-11T08:32:10.00" personId="{923B240C-7EE4-45BB-9FD6-D75002253CFC}" id="{AA3808F8-28FE-42FB-9A22-B9313E4A9D30}">
    <text>Retard: 5h20 (effectué en TT)</text>
  </threadedComment>
  <threadedComment ref="FG28" dT="2026-01-19T09:30:43.00" personId="{923B240C-7EE4-45BB-9FD6-D75002253CFC}" id="{FF94BDB3-814C-458F-AA08-C4A4F6CCF410}">
    <text>Retard: 2h</text>
  </threadedComment>
  <threadedComment ref="FH28" dT="2026-01-20T10:14:13.00" personId="{923B240C-7EE4-45BB-9FD6-D75002253CFC}" id="{1A4EEEA2-A289-476D-8B14-F70E051D4272}">
    <text>Retard: 1h15</text>
  </threadedComment>
  <threadedComment ref="FI28" dT="2026-01-21T09:19:23.00" personId="{923B240C-7EE4-45BB-9FD6-D75002253CFC}" id="{274FD52D-A820-4A72-B5DE-7103040FF1E3}">
    <text>Retard: 20min</text>
  </threadedComment>
  <threadedComment ref="FK28" dT="2026-01-23T09:42:50.00" personId="{923B240C-7EE4-45BB-9FD6-D75002253CFC}" id="{0A803A99-A6B9-49B0-AD7C-70E139590490}">
    <text>Retard: 1H15min</text>
  </threadedComment>
  <threadedComment ref="FN28" dT="2026-01-26T09:46:18.00" personId="{923B240C-7EE4-45BB-9FD6-D75002253CFC}" id="{F6E39305-7576-4BB1-8BA8-D8815A4007A9}">
    <text>Retard: 25min</text>
  </threadedComment>
  <threadedComment ref="FO28" dT="2026-01-27T09:35:27.00" personId="{923B240C-7EE4-45BB-9FD6-D75002253CFC}" id="{7E7D4A74-54D1-41E5-A3C0-70425A9EE1E6}">
    <text>Retard: 1h5min</text>
  </threadedComment>
  <threadedComment ref="HF28" dT="2026-03-11T09:02:34.00" personId="{923B240C-7EE4-45BB-9FD6-D75002253CFC}" id="{D0B90698-FD75-44A6-B806-C527EA4FF711}">
    <text>Retard: 30min</text>
  </threadedComment>
  <threadedComment ref="HN28" dT="2026-03-19T09:17:02.00" personId="{923B240C-7EE4-45BB-9FD6-D75002253CFC}" id="{23A05326-5F90-472D-98CF-92214EA5DDC2}">
    <text>Retard: 45min</text>
  </threadedComment>
  <threadedComment ref="IG28" dT="2026-04-07T13:40:58.00" personId="{923B240C-7EE4-45BB-9FD6-D75002253CFC}" id="{C85792DE-C269-40A9-B1AB-7B0B54CBEE0C}">
    <text>Retard: 3h30</text>
  </threadedComment>
  <threadedComment ref="IH28" dT="2026-04-09T15:12:07.00" personId="{923B240C-7EE4-45BB-9FD6-D75002253CFC}" id="{0F11942C-D0E3-4BA1-9210-1B12240E63AA}">
    <text>Retard: 4h</text>
  </threadedComment>
  <threadedComment ref="II28" dT="2026-04-09T15:11:03.00" personId="{923B240C-7EE4-45BB-9FD6-D75002253CFC}" id="{AF959063-C1C3-481B-B724-BA39340691BC}">
    <text>Retard: 4h</text>
  </threadedComment>
  <threadedComment ref="JB28" dT="2026-04-28T08:48:04.00" personId="{D71C9C20-B444-4914-A5CE-3FCD9ECA83E9}" id="{5CA63C3C-08FB-4EED-BB52-9E44EE9AB2A5}">
    <text>Retard 40 min</text>
  </threadedComment>
  <threadedComment ref="JC28" dT="2026-04-29T10:31:43.00" personId="{923B240C-7EE4-45BB-9FD6-D75002253CFC}" id="{9451A568-2F4F-47CD-8929-28803CB1E2E4}">
    <text>Retard: 2h15</text>
  </threadedComment>
  <threadedComment ref="JJ28" dT="2026-05-06T07:54:41.00" personId="{923B240C-7EE4-45BB-9FD6-D75002253CFC}" id="{F31E8A4E-F0C8-4C3D-BB9C-A1F50F5A859E}">
    <text>Retard: 40min</text>
  </threadedComment>
  <threadedComment ref="JK28" dT="2026-05-07T10:51:41.00" personId="{923B240C-7EE4-45BB-9FD6-D75002253CFC}" id="{75C03903-621F-463E-8E17-5DF785233CE0}">
    <text>Retard: 2h</text>
  </threadedComment>
  <threadedComment ref="JM28" dT="2026-05-09T08:12:59.00" personId="{923B240C-7EE4-45BB-9FD6-D75002253CFC}" id="{6D1C7A55-AFE1-49D7-BF57-89EFBF2E63BA}">
    <text>Retard: 4h</text>
  </threadedComment>
  <threadedComment ref="JP28" dT="2026-05-12T07:49:45.00" personId="{BA945301-5AAE-4A7E-B3F3-DFB26DF4A6D5}" id="{B116C1FA-1A8E-41F6-9960-22AC7CBEDB0C}">
    <text>Retard de 1H45min</text>
  </threadedComment>
  <threadedComment ref="JK29" dT="2026-05-04T14:01:56.00" personId="{D71C9C20-B444-4914-A5CE-3FCD9ECA83E9}" id="{00805792-5567-4821-818E-D8BDE7804A45}" done="1">
    <text>Congé</text>
  </threadedComment>
  <threadedComment ref="JL29" dT="2026-05-04T14:02:04.00" personId="{D71C9C20-B444-4914-A5CE-3FCD9ECA83E9}" id="{486D4D74-4FEA-4D30-AB18-A44729E8DBA0}" done="1">
    <text>Congé</text>
  </threadedComment>
  <threadedComment ref="FU30" dT="2026-02-02T11:28:26.00" personId="{D71C9C20-B444-4914-A5CE-3FCD9ECA83E9}" id="{6EC9E1BE-CFB4-4C91-9190-15BDC0E4FCB3}">
    <text>Départ suite maladie à 12h30</text>
  </threadedComment>
  <threadedComment ref="DR31" dT="2025-12-09T08:13:27.00" personId="{923B240C-7EE4-45BB-9FD6-D75002253CFC}" id="{E7DD329B-4EDF-4AC1-B8C0-C246D9B485DD}">
    <text>Retard: 2h20</text>
  </threadedComment>
  <threadedComment ref="DS31" dT="2025-12-10T09:34:27.00" personId="{923B240C-7EE4-45BB-9FD6-D75002253CFC}" id="{9AF20503-5BEC-4537-8A40-4591C457617E}">
    <text>Retard: 2h30</text>
  </threadedComment>
  <threadedComment ref="DT31" dT="2025-12-11T08:31:42.00" personId="{923B240C-7EE4-45BB-9FD6-D75002253CFC}" id="{394BCE76-8753-45FC-838E-4F7B1225FDD0}">
    <text>Retard: 2h20</text>
  </threadedComment>
  <threadedComment ref="EB31" dT="2025-12-19T09:02:20.00" personId="{923B240C-7EE4-45BB-9FD6-D75002253CFC}" id="{6A1C2D3B-09A3-4F96-9A10-A65BB6B8A7B5}">
    <text>Retard: 2h</text>
  </threadedComment>
  <threadedComment ref="EL31" dT="2025-12-29T09:55:52.00" personId="{923B240C-7EE4-45BB-9FD6-D75002253CFC}" id="{FE8B202B-4D1E-45B6-A440-DD47C68D15DB}">
    <text>Retard: 55min</text>
  </threadedComment>
  <threadedComment ref="EM31" dT="2025-12-30T09:32:43.00" personId="{923B240C-7EE4-45BB-9FD6-D75002253CFC}" id="{02EEF111-4DED-4E7A-9AAC-F90CA0079847}">
    <text>Retard: 30min</text>
  </threadedComment>
  <threadedComment ref="FB31" dT="2026-01-14T09:25:14.00" personId="{923B240C-7EE4-45BB-9FD6-D75002253CFC}" id="{451C456F-377E-4105-A4B5-EAC0123EF531}">
    <text>Retard: 3h</text>
  </threadedComment>
  <threadedComment ref="FH31" dT="2026-01-20T08:58:35.00" personId="{923B240C-7EE4-45BB-9FD6-D75002253CFC}" id="{5A86CD07-54E8-4467-917A-8EC4FE82E522}">
    <text>Retard: 55min</text>
  </threadedComment>
  <threadedComment ref="FI31" dT="2026-01-21T09:19:41.00" personId="{923B240C-7EE4-45BB-9FD6-D75002253CFC}" id="{057F4243-1152-46CD-A057-40CE0966EBAB}">
    <text>Retard: 1h20</text>
  </threadedComment>
  <threadedComment ref="GD31" dT="2026-02-11T08:48:47.00" personId="{923B240C-7EE4-45BB-9FD6-D75002253CFC}" id="{350D543E-E065-4800-ACD1-0D8C5F8D9282}" done="1">
    <text>Retard: 1h50</text>
  </threadedComment>
  <threadedComment ref="GF31" dT="2026-02-13T08:43:04.00" personId="{923B240C-7EE4-45BB-9FD6-D75002253CFC}" id="{BD958FAA-44B8-441F-842D-3A29DBEC9F26}">
    <text>Retard: 1h40</text>
  </threadedComment>
  <threadedComment ref="GM31" dT="2026-02-20T09:30:58.00" personId="{923B240C-7EE4-45BB-9FD6-D75002253CFC}" id="{324455EF-46F0-4609-9413-B61CA3D45897}">
    <text>Retard: 2h30</text>
  </threadedComment>
  <threadedComment ref="GS31" dT="2026-02-26T07:20:38.00" personId="{923B240C-7EE4-45BB-9FD6-D75002253CFC}" id="{2165233C-B320-4574-B495-F42B731BA94D}">
    <text>Retard: 1h50</text>
  </threadedComment>
  <threadedComment ref="GW31" dT="2026-03-02T07:50:42.00" personId="{923B240C-7EE4-45BB-9FD6-D75002253CFC}" id="{93FC690E-D404-4AA2-89F5-803868BD6C4F}">
    <text>Retard: 1h15min</text>
  </threadedComment>
  <threadedComment ref="GX31" dT="2026-03-03T08:20:22.00" personId="{923B240C-7EE4-45BB-9FD6-D75002253CFC}" id="{10B893B2-248A-4D56-9261-786116790534}" done="1">
    <text>Retard: 50min</text>
  </threadedComment>
  <threadedComment ref="GY31" dT="2026-03-04T08:43:11.00" personId="{923B240C-7EE4-45BB-9FD6-D75002253CFC}" id="{5F1AEF20-C4FF-4E65-8A21-AB7ACB534408}">
    <text>Retard: 20min</text>
  </threadedComment>
  <threadedComment ref="HD31" dT="2026-03-09T07:55:03.00" personId="{923B240C-7EE4-45BB-9FD6-D75002253CFC}" id="{0C93A28E-FAAB-4362-942F-AAD9170624EC}">
    <text>Retard: 25min</text>
  </threadedComment>
  <threadedComment ref="HH31" dT="2026-03-13T09:51:11.00" personId="{923B240C-7EE4-45BB-9FD6-D75002253CFC}" id="{94F3C939-1A56-4753-BF5B-0D13E48DD9C2}">
    <text>Retard: 45min</text>
  </threadedComment>
  <threadedComment ref="HO31" dT="2026-03-20T08:29:27.00" personId="{923B240C-7EE4-45BB-9FD6-D75002253CFC}" id="{2AEF0D0E-A54D-4784-92AC-D1BBE4C2E761}">
    <text>Retard: 1h</text>
  </threadedComment>
  <threadedComment ref="IM31" dT="2026-04-17T13:06:49.00" personId="{BA945301-5AAE-4A7E-B3F3-DFB26DF4A6D5}" id="{95E3BBCB-4499-499F-B779-65DF5C4FC1C3}">
    <text>Retard  : 01h30</text>
  </threadedComment>
  <threadedComment ref="IN31" dT="2026-04-14T14:53:07.00" personId="{BA945301-5AAE-4A7E-B3F3-DFB26DF4A6D5}" id="{845C72CC-79EC-4B66-8EF3-5557A8905B3D}">
    <text>3H30</text>
  </threadedComment>
  <threadedComment ref="IO31" dT="2026-04-15T10:11:28.00" personId="{BA945301-5AAE-4A7E-B3F3-DFB26DF4A6D5}" id="{83479C83-C24F-4ED6-AF82-901E63469DC5}">
    <text>1 Heure</text>
  </threadedComment>
  <threadedComment ref="IQ31" dT="2026-04-17T12:38:37.00" personId="{923B240C-7EE4-45BB-9FD6-D75002253CFC}" id="{2BF012CF-9B37-4F69-93DE-487F2C5B3D10}">
    <text>Retard: 4h30</text>
  </threadedComment>
  <threadedComment ref="IQ31" dT="2026-04-17T13:04:48.00" personId="{BA945301-5AAE-4A7E-B3F3-DFB26DF4A6D5}" id="{C12FB62F-00E3-4BE4-A8CC-441296B2CCB8}" parentId="{2BF012CF-9B37-4F69-93DE-487F2C5B3D10}">
    <text>Retard 5h</text>
  </threadedComment>
  <threadedComment ref="IU31" dT="2026-04-21T07:00:22.00" personId="{923B240C-7EE4-45BB-9FD6-D75002253CFC}" id="{6D66A619-BD24-479D-9D1B-14F880FBB7D4}">
    <text>Retard: 1h15</text>
  </threadedComment>
  <threadedComment ref="JM31" dT="2026-05-09T13:59:52.00" personId="{923B240C-7EE4-45BB-9FD6-D75002253CFC}" id="{055BC9CD-3ADB-4C53-9205-5429D2517374}">
    <text>Retard: 1h</text>
  </threadedComment>
  <threadedComment ref="JP31" dT="2026-05-12T08:52:11.00" personId="{923B240C-7EE4-45BB-9FD6-D75002253CFC}" id="{E3FA88F2-5D31-475F-A065-D6D68BCF017B}">
    <text>Retard: 45min</text>
  </threadedComment>
  <threadedComment ref="EB32" dT="2025-12-19T08:46:54.00" personId="{923B240C-7EE4-45BB-9FD6-D75002253CFC}" id="{AAC66ECE-9513-4684-973E-951F6B1D742D}">
    <text>Retard: 1h45</text>
  </threadedComment>
  <threadedComment ref="GT32" dT="2026-02-27T10:17:32.00" personId="{923B240C-7EE4-45BB-9FD6-D75002253CFC}" id="{E63EBA6B-2B5C-44E5-9C6C-B4317B516EC9}">
    <text>Retard: 20min</text>
  </threadedComment>
  <threadedComment ref="HF32" dT="2026-03-11T08:13:52.00" personId="{923B240C-7EE4-45BB-9FD6-D75002253CFC}" id="{089856FC-F2C7-4782-9D80-50A3AFF47DED}">
    <text>Retard: 45min</text>
  </threadedComment>
  <threadedComment ref="HT32" dT="2026-03-25T09:00:17.00" personId="{923B240C-7EE4-45BB-9FD6-D75002253CFC}" id="{B64768B2-650B-4980-B43B-CD34169955C0}">
    <text>Retard: 2H</text>
  </threadedComment>
  <threadedComment ref="II32" dT="2026-04-22T14:57:14.00" personId="{923B240C-7EE4-45BB-9FD6-D75002253CFC}" id="{B4F8F9AC-4CB9-4BC4-B4F5-488BD2CCD017}">
    <text>Retard: 3h</text>
  </threadedComment>
  <threadedComment ref="IU32" dT="2026-04-21T07:00:33.00" personId="{923B240C-7EE4-45BB-9FD6-D75002253CFC}" id="{B12F4C8B-9D8C-457D-B356-28601D11F026}">
    <text>Retard: 1h</text>
  </threadedComment>
  <threadedComment ref="HN33" dT="2026-03-19T15:39:27.00" personId="{D71C9C20-B444-4914-A5CE-3FCD9ECA83E9}" id="{EA8D9CDF-F466-4659-9DDD-9629FD0EFA33}">
    <text>1h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85" dT="2026-03-17T15:51:58.00" personId="{7D2DD369-3E62-4F9C-9F84-998CA3889D73}" id="{73A20AA3-19A8-4C2B-8E4C-7EBFAAF00A8C}">
    <text>+Heure Sup</text>
  </threadedComment>
  <threadedComment ref="G185" dT="2026-03-17T15:52:14.00" personId="{7D2DD369-3E62-4F9C-9F84-998CA3889D73}" id="{33117207-4FC6-4D4C-AA90-8855F0400FCA}">
    <text>+Heure Sup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9" dT="2025-08-30T09:15:32.00" personId="{D71C9C20-B444-4914-A5CE-3FCD9ECA83E9}" id="{85623F52-3802-4714-AA5E-5E630A207E7E}">
    <text>SPV</text>
  </threadedComment>
  <threadedComment ref="B15" dT="2025-08-30T10:10:26.00" personId="{D71C9C20-B444-4914-A5CE-3FCD9ECA83E9}" id="{F5455881-D421-498B-84B6-8CA157DEBB05}">
    <text>TRP nn dispo</text>
  </threadedComment>
  <threadedComment ref="B22" dT="2025-08-30T10:10:58.00" personId="{D71C9C20-B444-4914-A5CE-3FCD9ECA83E9}" id="{512F4AFA-6D65-4B23-8F35-4F2A00E13A99}">
    <text>En formation</text>
  </threadedComment>
  <threadedComment ref="B23" dT="2025-08-30T10:11:06.00" personId="{D71C9C20-B444-4914-A5CE-3FCD9ECA83E9}" id="{E2521525-CCA1-4278-836E-47C1DDF927FD}">
    <text>En formation</text>
  </threadedComment>
  <threadedComment ref="B25" dT="2025-08-30T09:15:21.00" personId="{D71C9C20-B444-4914-A5CE-3FCD9ECA83E9}" id="{679FDB64-FA74-41B2-96E3-27FF20B990AD}">
    <text>SPV</text>
  </threadedComment>
  <threadedComment ref="O25" dT="2025-08-30T09:23:03.00" personId="{D71C9C20-B444-4914-A5CE-3FCD9ECA83E9}" id="{E744A3FF-92F8-455C-986B-DBCEC63A8922}">
    <text>assister au point météo de 6h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7" dT="2025-08-30T09:13:31.00" personId="{D71C9C20-B444-4914-A5CE-3FCD9ECA83E9}" id="{4C27D522-7B99-4F49-B827-3F056507A366}">
    <text>SPV</text>
  </threadedComment>
  <threadedComment ref="H7" dT="2025-08-30T09:23:26.00" personId="{D71C9C20-B444-4914-A5CE-3FCD9ECA83E9}" id="{5CBB0D17-4FF8-4998-9D18-F861C3FC6349}" done="1">
    <text>Assister au point météo de 6h</text>
  </threadedComment>
  <threadedComment ref="B9" dT="2025-08-29T21:48:28.00" personId="{D71C9C20-B444-4914-A5CE-3FCD9ECA83E9}" id="{FC0B899B-3813-45F8-929D-BA8A3F04DABD}">
    <text>TRP nn dispo</text>
  </threadedComment>
  <threadedComment ref="B18" dT="2025-08-29T21:48:17.00" personId="{D71C9C20-B444-4914-A5CE-3FCD9ECA83E9}" id="{B37DC63C-058D-4022-BBBF-BD93DAFB6E9F}">
    <text>TRP nn dispo</text>
  </threadedComment>
  <threadedComment ref="B19" dT="2025-08-29T21:48:42.00" personId="{D71C9C20-B444-4914-A5CE-3FCD9ECA83E9}" id="{60D92311-BF02-4A18-8D0D-9235977184BE}" done="1">
    <text>montée en compétence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3" Type="http://schemas.openxmlformats.org/officeDocument/2006/relationships/table" Target="../tables/table1.xml"/><Relationship Id="rId21" Type="http://schemas.openxmlformats.org/officeDocument/2006/relationships/table" Target="../tables/table19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5" Type="http://schemas.microsoft.com/office/2017/10/relationships/threadedComment" Target="../threadedComments/threadedComment1.xml"/><Relationship Id="rId2" Type="http://schemas.openxmlformats.org/officeDocument/2006/relationships/vmlDrawing" Target="../drawings/vmlDrawing1.vml"/><Relationship Id="rId16" Type="http://schemas.openxmlformats.org/officeDocument/2006/relationships/table" Target="../tables/table14.xml"/><Relationship Id="rId20" Type="http://schemas.openxmlformats.org/officeDocument/2006/relationships/table" Target="../tables/table18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24" Type="http://schemas.openxmlformats.org/officeDocument/2006/relationships/comments" Target="../comments1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23" Type="http://schemas.openxmlformats.org/officeDocument/2006/relationships/table" Target="../tables/table21.xml"/><Relationship Id="rId10" Type="http://schemas.openxmlformats.org/officeDocument/2006/relationships/table" Target="../tables/table8.xml"/><Relationship Id="rId19" Type="http://schemas.openxmlformats.org/officeDocument/2006/relationships/table" Target="../tables/table17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Relationship Id="rId22" Type="http://schemas.openxmlformats.org/officeDocument/2006/relationships/table" Target="../tables/table20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hyperlink" Target="mailto:hicham_yousse@ext.carrefour.com" TargetMode="External"/><Relationship Id="rId7" Type="http://schemas.openxmlformats.org/officeDocument/2006/relationships/table" Target="../tables/table23.xml"/><Relationship Id="rId2" Type="http://schemas.openxmlformats.org/officeDocument/2006/relationships/hyperlink" Target="mailto:amine_baba@ext.carrefour.com" TargetMode="External"/><Relationship Id="rId1" Type="http://schemas.openxmlformats.org/officeDocument/2006/relationships/hyperlink" Target="mailto:yassine_rabbai@ext.carrefour.com" TargetMode="External"/><Relationship Id="rId6" Type="http://schemas.openxmlformats.org/officeDocument/2006/relationships/table" Target="../tables/table22.xml"/><Relationship Id="rId5" Type="http://schemas.openxmlformats.org/officeDocument/2006/relationships/vmlDrawing" Target="../drawings/vmlDrawing2.vml"/><Relationship Id="rId4" Type="http://schemas.openxmlformats.org/officeDocument/2006/relationships/hyperlink" Target="mailto:mouad_bounouar@ext.carrefour.com" TargetMode="External"/><Relationship Id="rId9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41.xml"/><Relationship Id="rId21" Type="http://schemas.openxmlformats.org/officeDocument/2006/relationships/table" Target="../tables/table36.xml"/><Relationship Id="rId42" Type="http://schemas.openxmlformats.org/officeDocument/2006/relationships/table" Target="../tables/table57.xml"/><Relationship Id="rId47" Type="http://schemas.openxmlformats.org/officeDocument/2006/relationships/table" Target="../tables/table62.xml"/><Relationship Id="rId63" Type="http://schemas.openxmlformats.org/officeDocument/2006/relationships/table" Target="../tables/table78.xml"/><Relationship Id="rId68" Type="http://schemas.openxmlformats.org/officeDocument/2006/relationships/table" Target="../tables/table83.xm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mailto:salma_moutia@ext.carrefour.com" TargetMode="External"/><Relationship Id="rId16" Type="http://schemas.openxmlformats.org/officeDocument/2006/relationships/table" Target="../tables/table31.xml"/><Relationship Id="rId29" Type="http://schemas.openxmlformats.org/officeDocument/2006/relationships/table" Target="../tables/table44.xml"/><Relationship Id="rId11" Type="http://schemas.openxmlformats.org/officeDocument/2006/relationships/table" Target="../tables/table26.xml"/><Relationship Id="rId24" Type="http://schemas.openxmlformats.org/officeDocument/2006/relationships/table" Target="../tables/table39.xml"/><Relationship Id="rId32" Type="http://schemas.openxmlformats.org/officeDocument/2006/relationships/table" Target="../tables/table47.xml"/><Relationship Id="rId37" Type="http://schemas.openxmlformats.org/officeDocument/2006/relationships/table" Target="../tables/table52.xml"/><Relationship Id="rId40" Type="http://schemas.openxmlformats.org/officeDocument/2006/relationships/table" Target="../tables/table55.xml"/><Relationship Id="rId45" Type="http://schemas.openxmlformats.org/officeDocument/2006/relationships/table" Target="../tables/table60.xml"/><Relationship Id="rId53" Type="http://schemas.openxmlformats.org/officeDocument/2006/relationships/table" Target="../tables/table68.xml"/><Relationship Id="rId58" Type="http://schemas.openxmlformats.org/officeDocument/2006/relationships/table" Target="../tables/table73.xml"/><Relationship Id="rId66" Type="http://schemas.openxmlformats.org/officeDocument/2006/relationships/table" Target="../tables/table81.xml"/><Relationship Id="rId5" Type="http://schemas.openxmlformats.org/officeDocument/2006/relationships/hyperlink" Target="mailto:nabil_atif@ext.carrefour.com" TargetMode="External"/><Relationship Id="rId61" Type="http://schemas.openxmlformats.org/officeDocument/2006/relationships/table" Target="../tables/table76.xml"/><Relationship Id="rId19" Type="http://schemas.openxmlformats.org/officeDocument/2006/relationships/table" Target="../tables/table34.xml"/><Relationship Id="rId14" Type="http://schemas.openxmlformats.org/officeDocument/2006/relationships/table" Target="../tables/table29.xml"/><Relationship Id="rId22" Type="http://schemas.openxmlformats.org/officeDocument/2006/relationships/table" Target="../tables/table37.xml"/><Relationship Id="rId27" Type="http://schemas.openxmlformats.org/officeDocument/2006/relationships/table" Target="../tables/table42.xml"/><Relationship Id="rId30" Type="http://schemas.openxmlformats.org/officeDocument/2006/relationships/table" Target="../tables/table45.xml"/><Relationship Id="rId35" Type="http://schemas.openxmlformats.org/officeDocument/2006/relationships/table" Target="../tables/table50.xml"/><Relationship Id="rId43" Type="http://schemas.openxmlformats.org/officeDocument/2006/relationships/table" Target="../tables/table58.xml"/><Relationship Id="rId48" Type="http://schemas.openxmlformats.org/officeDocument/2006/relationships/table" Target="../tables/table63.xml"/><Relationship Id="rId56" Type="http://schemas.openxmlformats.org/officeDocument/2006/relationships/table" Target="../tables/table71.xml"/><Relationship Id="rId64" Type="http://schemas.openxmlformats.org/officeDocument/2006/relationships/table" Target="../tables/table79.xml"/><Relationship Id="rId69" Type="http://schemas.openxmlformats.org/officeDocument/2006/relationships/comments" Target="../comments3.xml"/><Relationship Id="rId8" Type="http://schemas.openxmlformats.org/officeDocument/2006/relationships/vmlDrawing" Target="../drawings/vmlDrawing3.vml"/><Relationship Id="rId51" Type="http://schemas.openxmlformats.org/officeDocument/2006/relationships/table" Target="../tables/table66.xml"/><Relationship Id="rId3" Type="http://schemas.openxmlformats.org/officeDocument/2006/relationships/hyperlink" Target="mailto:mohamed_sedik_mastari@carrefour.com" TargetMode="External"/><Relationship Id="rId12" Type="http://schemas.openxmlformats.org/officeDocument/2006/relationships/table" Target="../tables/table27.xml"/><Relationship Id="rId17" Type="http://schemas.openxmlformats.org/officeDocument/2006/relationships/table" Target="../tables/table32.xml"/><Relationship Id="rId25" Type="http://schemas.openxmlformats.org/officeDocument/2006/relationships/table" Target="../tables/table40.xml"/><Relationship Id="rId33" Type="http://schemas.openxmlformats.org/officeDocument/2006/relationships/table" Target="../tables/table48.xml"/><Relationship Id="rId38" Type="http://schemas.openxmlformats.org/officeDocument/2006/relationships/table" Target="../tables/table53.xml"/><Relationship Id="rId46" Type="http://schemas.openxmlformats.org/officeDocument/2006/relationships/table" Target="../tables/table61.xml"/><Relationship Id="rId59" Type="http://schemas.openxmlformats.org/officeDocument/2006/relationships/table" Target="../tables/table74.xml"/><Relationship Id="rId67" Type="http://schemas.openxmlformats.org/officeDocument/2006/relationships/table" Target="../tables/table82.xml"/><Relationship Id="rId20" Type="http://schemas.openxmlformats.org/officeDocument/2006/relationships/table" Target="../tables/table35.xml"/><Relationship Id="rId41" Type="http://schemas.openxmlformats.org/officeDocument/2006/relationships/table" Target="../tables/table56.xml"/><Relationship Id="rId54" Type="http://schemas.openxmlformats.org/officeDocument/2006/relationships/table" Target="../tables/table69.xml"/><Relationship Id="rId62" Type="http://schemas.openxmlformats.org/officeDocument/2006/relationships/table" Target="../tables/table77.xml"/><Relationship Id="rId70" Type="http://schemas.microsoft.com/office/2017/10/relationships/threadedComment" Target="../threadedComments/threadedComment3.xml"/><Relationship Id="rId1" Type="http://schemas.openxmlformats.org/officeDocument/2006/relationships/hyperlink" Target="mailto:hiba_barich@ext.carrefour.com" TargetMode="External"/><Relationship Id="rId6" Type="http://schemas.openxmlformats.org/officeDocument/2006/relationships/hyperlink" Target="mailto:elmehdi_elmansouri@ext.carrefour.com" TargetMode="External"/><Relationship Id="rId15" Type="http://schemas.openxmlformats.org/officeDocument/2006/relationships/table" Target="../tables/table30.xml"/><Relationship Id="rId23" Type="http://schemas.openxmlformats.org/officeDocument/2006/relationships/table" Target="../tables/table38.xml"/><Relationship Id="rId28" Type="http://schemas.openxmlformats.org/officeDocument/2006/relationships/table" Target="../tables/table43.xml"/><Relationship Id="rId36" Type="http://schemas.openxmlformats.org/officeDocument/2006/relationships/table" Target="../tables/table51.xml"/><Relationship Id="rId49" Type="http://schemas.openxmlformats.org/officeDocument/2006/relationships/table" Target="../tables/table64.xml"/><Relationship Id="rId57" Type="http://schemas.openxmlformats.org/officeDocument/2006/relationships/table" Target="../tables/table72.xml"/><Relationship Id="rId10" Type="http://schemas.openxmlformats.org/officeDocument/2006/relationships/table" Target="../tables/table25.xml"/><Relationship Id="rId31" Type="http://schemas.openxmlformats.org/officeDocument/2006/relationships/table" Target="../tables/table46.xml"/><Relationship Id="rId44" Type="http://schemas.openxmlformats.org/officeDocument/2006/relationships/table" Target="../tables/table59.xml"/><Relationship Id="rId52" Type="http://schemas.openxmlformats.org/officeDocument/2006/relationships/table" Target="../tables/table67.xml"/><Relationship Id="rId60" Type="http://schemas.openxmlformats.org/officeDocument/2006/relationships/table" Target="../tables/table75.xml"/><Relationship Id="rId65" Type="http://schemas.openxmlformats.org/officeDocument/2006/relationships/table" Target="../tables/table80.xml"/><Relationship Id="rId4" Type="http://schemas.openxmlformats.org/officeDocument/2006/relationships/hyperlink" Target="mailto:hamza_messaoudi@ext.carrefour.com" TargetMode="External"/><Relationship Id="rId9" Type="http://schemas.openxmlformats.org/officeDocument/2006/relationships/table" Target="../tables/table24.xml"/><Relationship Id="rId13" Type="http://schemas.openxmlformats.org/officeDocument/2006/relationships/table" Target="../tables/table28.xml"/><Relationship Id="rId18" Type="http://schemas.openxmlformats.org/officeDocument/2006/relationships/table" Target="../tables/table33.xml"/><Relationship Id="rId39" Type="http://schemas.openxmlformats.org/officeDocument/2006/relationships/table" Target="../tables/table54.xml"/><Relationship Id="rId34" Type="http://schemas.openxmlformats.org/officeDocument/2006/relationships/table" Target="../tables/table49.xml"/><Relationship Id="rId50" Type="http://schemas.openxmlformats.org/officeDocument/2006/relationships/table" Target="../tables/table65.xml"/><Relationship Id="rId55" Type="http://schemas.openxmlformats.org/officeDocument/2006/relationships/table" Target="../tables/table7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nabil_jebilou@ext.carrefour.com" TargetMode="External"/><Relationship Id="rId18" Type="http://schemas.openxmlformats.org/officeDocument/2006/relationships/hyperlink" Target="mailto:salma_moutia@ext.carrefour.com" TargetMode="External"/><Relationship Id="rId26" Type="http://schemas.openxmlformats.org/officeDocument/2006/relationships/table" Target="../tables/table86.xml"/><Relationship Id="rId39" Type="http://schemas.openxmlformats.org/officeDocument/2006/relationships/comments" Target="../comments5.xml"/><Relationship Id="rId21" Type="http://schemas.openxmlformats.org/officeDocument/2006/relationships/hyperlink" Target="mailto:nabil_atif@ext.carrefour.com" TargetMode="External"/><Relationship Id="rId34" Type="http://schemas.openxmlformats.org/officeDocument/2006/relationships/table" Target="../tables/table94.xml"/><Relationship Id="rId7" Type="http://schemas.openxmlformats.org/officeDocument/2006/relationships/hyperlink" Target="mailto:tarik_nafkha@ext.carrefour.com" TargetMode="External"/><Relationship Id="rId12" Type="http://schemas.openxmlformats.org/officeDocument/2006/relationships/hyperlink" Target="mailto:moad_tinouissi@ext.carrefour.com" TargetMode="External"/><Relationship Id="rId17" Type="http://schemas.openxmlformats.org/officeDocument/2006/relationships/hyperlink" Target="mailto:hiba_barich@ext.carrefour.com" TargetMode="External"/><Relationship Id="rId25" Type="http://schemas.openxmlformats.org/officeDocument/2006/relationships/table" Target="../tables/table85.xml"/><Relationship Id="rId33" Type="http://schemas.openxmlformats.org/officeDocument/2006/relationships/table" Target="../tables/table93.xml"/><Relationship Id="rId38" Type="http://schemas.openxmlformats.org/officeDocument/2006/relationships/table" Target="../tables/table98.xml"/><Relationship Id="rId2" Type="http://schemas.openxmlformats.org/officeDocument/2006/relationships/hyperlink" Target="mailto:hamza_makroum@ext.carrefour.com" TargetMode="External"/><Relationship Id="rId16" Type="http://schemas.openxmlformats.org/officeDocument/2006/relationships/hyperlink" Target="mailto:youssef_habtany@ext.carrefour.com" TargetMode="External"/><Relationship Id="rId20" Type="http://schemas.openxmlformats.org/officeDocument/2006/relationships/hyperlink" Target="mailto:hamza_messaoudi@ext.carrefour.com" TargetMode="External"/><Relationship Id="rId29" Type="http://schemas.openxmlformats.org/officeDocument/2006/relationships/table" Target="../tables/table89.xml"/><Relationship Id="rId1" Type="http://schemas.openxmlformats.org/officeDocument/2006/relationships/hyperlink" Target="mailto:mounir_berhili@ext.carrefour.com" TargetMode="External"/><Relationship Id="rId6" Type="http://schemas.openxmlformats.org/officeDocument/2006/relationships/hyperlink" Target="mailto:chaimaa_jirani@ext.carrefour.com" TargetMode="External"/><Relationship Id="rId11" Type="http://schemas.openxmlformats.org/officeDocument/2006/relationships/hyperlink" Target="mailto:niama_chibani@ext.carrefour.com" TargetMode="External"/><Relationship Id="rId24" Type="http://schemas.openxmlformats.org/officeDocument/2006/relationships/table" Target="../tables/table84.xml"/><Relationship Id="rId32" Type="http://schemas.openxmlformats.org/officeDocument/2006/relationships/table" Target="../tables/table92.xml"/><Relationship Id="rId37" Type="http://schemas.openxmlformats.org/officeDocument/2006/relationships/table" Target="../tables/table97.xml"/><Relationship Id="rId40" Type="http://schemas.microsoft.com/office/2017/10/relationships/threadedComment" Target="../threadedComments/threadedComment5.xml"/><Relationship Id="rId5" Type="http://schemas.openxmlformats.org/officeDocument/2006/relationships/hyperlink" Target="mailto:rania_anzid@ext.carrefour.com" TargetMode="External"/><Relationship Id="rId15" Type="http://schemas.openxmlformats.org/officeDocument/2006/relationships/hyperlink" Target="mailto:amine_baba@ext.carrefour.com" TargetMode="External"/><Relationship Id="rId23" Type="http://schemas.openxmlformats.org/officeDocument/2006/relationships/vmlDrawing" Target="../drawings/vmlDrawing5.vml"/><Relationship Id="rId28" Type="http://schemas.openxmlformats.org/officeDocument/2006/relationships/table" Target="../tables/table88.xml"/><Relationship Id="rId36" Type="http://schemas.openxmlformats.org/officeDocument/2006/relationships/table" Target="../tables/table96.xml"/><Relationship Id="rId10" Type="http://schemas.openxmlformats.org/officeDocument/2006/relationships/hyperlink" Target="mailto:ayoub_abdellah@ext.carrefour.com" TargetMode="External"/><Relationship Id="rId19" Type="http://schemas.openxmlformats.org/officeDocument/2006/relationships/hyperlink" Target="mailto:mohamed_sedik_mastari@carrefour.com" TargetMode="External"/><Relationship Id="rId31" Type="http://schemas.openxmlformats.org/officeDocument/2006/relationships/table" Target="../tables/table91.xml"/><Relationship Id="rId4" Type="http://schemas.openxmlformats.org/officeDocument/2006/relationships/hyperlink" Target="mailto:amina_aatati@ext.carrefour.com" TargetMode="External"/><Relationship Id="rId9" Type="http://schemas.openxmlformats.org/officeDocument/2006/relationships/hyperlink" Target="mailto:mohammed_amine_chetoui@ext.carrefour.com" TargetMode="External"/><Relationship Id="rId14" Type="http://schemas.openxmlformats.org/officeDocument/2006/relationships/hyperlink" Target="mailto:achraf_bouabdelli@ext.carrefour.com" TargetMode="External"/><Relationship Id="rId22" Type="http://schemas.openxmlformats.org/officeDocument/2006/relationships/hyperlink" Target="mailto:elmehdi_elmansouri@ext.carrefour.com" TargetMode="External"/><Relationship Id="rId27" Type="http://schemas.openxmlformats.org/officeDocument/2006/relationships/table" Target="../tables/table87.xml"/><Relationship Id="rId30" Type="http://schemas.openxmlformats.org/officeDocument/2006/relationships/table" Target="../tables/table90.xml"/><Relationship Id="rId35" Type="http://schemas.openxmlformats.org/officeDocument/2006/relationships/table" Target="../tables/table95.xml"/><Relationship Id="rId8" Type="http://schemas.openxmlformats.org/officeDocument/2006/relationships/hyperlink" Target="mailto:marwane_benhaymad@ext.carrefour.com" TargetMode="External"/><Relationship Id="rId3" Type="http://schemas.openxmlformats.org/officeDocument/2006/relationships/hyperlink" Target="mailto:taha_chamihy@ext.carrefour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hassnae_hassib@ext.carrefour.com" TargetMode="External"/><Relationship Id="rId13" Type="http://schemas.openxmlformats.org/officeDocument/2006/relationships/hyperlink" Target="mailto:abdelilah_saoudi@ext.carrefour.com" TargetMode="External"/><Relationship Id="rId18" Type="http://schemas.openxmlformats.org/officeDocument/2006/relationships/table" Target="../tables/table101.xml"/><Relationship Id="rId3" Type="http://schemas.openxmlformats.org/officeDocument/2006/relationships/hyperlink" Target="mailto:fatima_ezzahra_amanne@ext.carrefour.com" TargetMode="External"/><Relationship Id="rId21" Type="http://schemas.openxmlformats.org/officeDocument/2006/relationships/table" Target="../tables/table104.xml"/><Relationship Id="rId7" Type="http://schemas.openxmlformats.org/officeDocument/2006/relationships/hyperlink" Target="mailto:karam_znidiga_1@ext.carrefour.com" TargetMode="External"/><Relationship Id="rId12" Type="http://schemas.openxmlformats.org/officeDocument/2006/relationships/hyperlink" Target="mailto:mohamed_lamine_ouattara@ext.carrefour.com" TargetMode="External"/><Relationship Id="rId17" Type="http://schemas.openxmlformats.org/officeDocument/2006/relationships/table" Target="../tables/table100.xml"/><Relationship Id="rId25" Type="http://schemas.microsoft.com/office/2017/10/relationships/threadedComment" Target="../threadedComments/threadedComment6.xml"/><Relationship Id="rId2" Type="http://schemas.openxmlformats.org/officeDocument/2006/relationships/hyperlink" Target="mailto:ranya_kissami@ext.carrefour.com" TargetMode="External"/><Relationship Id="rId16" Type="http://schemas.openxmlformats.org/officeDocument/2006/relationships/table" Target="../tables/table99.xml"/><Relationship Id="rId20" Type="http://schemas.openxmlformats.org/officeDocument/2006/relationships/table" Target="../tables/table103.xml"/><Relationship Id="rId1" Type="http://schemas.openxmlformats.org/officeDocument/2006/relationships/hyperlink" Target="mailto:yassine_rabbai@ext.carrefour.com" TargetMode="External"/><Relationship Id="rId6" Type="http://schemas.openxmlformats.org/officeDocument/2006/relationships/hyperlink" Target="mailto:othmane_janah@ext.carrefour.com" TargetMode="External"/><Relationship Id="rId11" Type="http://schemas.openxmlformats.org/officeDocument/2006/relationships/hyperlink" Target="mailto:majdouline_hrar@ext.carrefour.com" TargetMode="External"/><Relationship Id="rId24" Type="http://schemas.openxmlformats.org/officeDocument/2006/relationships/comments" Target="../comments6.xml"/><Relationship Id="rId5" Type="http://schemas.openxmlformats.org/officeDocument/2006/relationships/hyperlink" Target="mailto:nouhaila_ghoulam@ext.carrefour.com" TargetMode="External"/><Relationship Id="rId15" Type="http://schemas.openxmlformats.org/officeDocument/2006/relationships/vmlDrawing" Target="../drawings/vmlDrawing6.vml"/><Relationship Id="rId23" Type="http://schemas.openxmlformats.org/officeDocument/2006/relationships/table" Target="../tables/table106.xml"/><Relationship Id="rId10" Type="http://schemas.openxmlformats.org/officeDocument/2006/relationships/hyperlink" Target="mailto:faid_anas@ext.carrefour.com" TargetMode="External"/><Relationship Id="rId19" Type="http://schemas.openxmlformats.org/officeDocument/2006/relationships/table" Target="../tables/table102.xml"/><Relationship Id="rId4" Type="http://schemas.openxmlformats.org/officeDocument/2006/relationships/hyperlink" Target="mailto:azzeddine_bouhlal@ext.carrefour.com" TargetMode="External"/><Relationship Id="rId9" Type="http://schemas.openxmlformats.org/officeDocument/2006/relationships/hyperlink" Target="mailto:chaimae_el_kadiri@ext.carrefour.com" TargetMode="External"/><Relationship Id="rId14" Type="http://schemas.openxmlformats.org/officeDocument/2006/relationships/drawing" Target="../drawings/drawing1.xml"/><Relationship Id="rId22" Type="http://schemas.openxmlformats.org/officeDocument/2006/relationships/table" Target="../tables/table10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D7E6B"/>
    <outlinePr summaryBelow="0" summaryRight="0"/>
  </sheetPr>
  <dimension ref="A1:NH98"/>
  <sheetViews>
    <sheetView showGridLines="0" tabSelected="1" zoomScaleNormal="100" workbookViewId="0">
      <pane xSplit="15" ySplit="2" topLeftCell="MD6" activePane="bottomRight" state="frozen"/>
      <selection pane="topRight" activeCell="C1" sqref="C1"/>
      <selection pane="bottomLeft" activeCell="A3" sqref="A3"/>
      <selection pane="bottomRight" activeCell="MF89" sqref="MF89"/>
    </sheetView>
  </sheetViews>
  <sheetFormatPr baseColWidth="10" defaultColWidth="12.6328125" defaultRowHeight="15.75" customHeight="1" outlineLevelCol="1"/>
  <cols>
    <col min="1" max="4" width="4.08984375" bestFit="1" customWidth="1"/>
    <col min="5" max="5" width="4" bestFit="1" customWidth="1"/>
    <col min="6" max="14" width="4" customWidth="1"/>
    <col min="15" max="15" width="25.453125" bestFit="1" customWidth="1"/>
    <col min="16" max="17" width="13.26953125" hidden="1" customWidth="1" outlineLevel="1"/>
    <col min="18" max="18" width="14.08984375" hidden="1" customWidth="1" outlineLevel="1"/>
    <col min="19" max="19" width="13.26953125" hidden="1" customWidth="1" outlineLevel="1"/>
    <col min="20" max="20" width="14" hidden="1" customWidth="1" outlineLevel="1"/>
    <col min="21" max="21" width="13.26953125" hidden="1" customWidth="1" outlineLevel="1"/>
    <col min="22" max="22" width="15" hidden="1" customWidth="1" outlineLevel="1"/>
    <col min="23" max="23" width="14.90625" hidden="1" customWidth="1" outlineLevel="1"/>
    <col min="24" max="24" width="15.453125" hidden="1" customWidth="1" outlineLevel="1"/>
    <col min="25" max="25" width="17.90625" hidden="1" customWidth="1" outlineLevel="1"/>
    <col min="26" max="26" width="14.90625" hidden="1" customWidth="1" outlineLevel="1"/>
    <col min="27" max="27" width="17.7265625" hidden="1" customWidth="1" outlineLevel="1"/>
    <col min="28" max="28" width="16.7265625" hidden="1" customWidth="1" outlineLevel="1"/>
    <col min="29" max="29" width="18.7265625" hidden="1" customWidth="1" outlineLevel="1"/>
    <col min="30" max="30" width="14.90625" hidden="1" customWidth="1" outlineLevel="1"/>
    <col min="31" max="31" width="15.453125" hidden="1" customWidth="1" outlineLevel="1"/>
    <col min="32" max="32" width="18.90625" hidden="1" customWidth="1" outlineLevel="1"/>
    <col min="33" max="33" width="15.90625" hidden="1" customWidth="1" outlineLevel="1"/>
    <col min="34" max="34" width="18.6328125" hidden="1" customWidth="1" outlineLevel="1"/>
    <col min="35" max="35" width="17.6328125" hidden="1" customWidth="1" outlineLevel="1"/>
    <col min="36" max="36" width="19.6328125" hidden="1" customWidth="1" outlineLevel="1"/>
    <col min="37" max="37" width="15.90625" hidden="1" customWidth="1" outlineLevel="1"/>
    <col min="38" max="38" width="16.453125" hidden="1" customWidth="1" outlineLevel="1"/>
    <col min="39" max="39" width="18.90625" hidden="1" customWidth="1" outlineLevel="1"/>
    <col min="40" max="40" width="15.90625" hidden="1" customWidth="1" outlineLevel="1"/>
    <col min="41" max="41" width="18.6328125" hidden="1" customWidth="1" outlineLevel="1"/>
    <col min="42" max="42" width="17.6328125" hidden="1" customWidth="1" outlineLevel="1"/>
    <col min="43" max="43" width="19.6328125" hidden="1" customWidth="1" outlineLevel="1"/>
    <col min="44" max="44" width="15.90625" hidden="1" customWidth="1" outlineLevel="1"/>
    <col min="45" max="45" width="16.453125" hidden="1" customWidth="1" outlineLevel="1"/>
    <col min="46" max="46" width="18.90625" hidden="1" customWidth="1" outlineLevel="1"/>
    <col min="47" max="47" width="15.90625" hidden="1" customWidth="1" outlineLevel="1"/>
    <col min="48" max="48" width="18.6328125" hidden="1" customWidth="1" outlineLevel="1"/>
    <col min="49" max="49" width="17.6328125" hidden="1" customWidth="1" outlineLevel="1"/>
    <col min="50" max="50" width="19.6328125" hidden="1" customWidth="1" outlineLevel="1"/>
    <col min="51" max="51" width="15.90625" hidden="1" customWidth="1" outlineLevel="1"/>
    <col min="52" max="52" width="16.453125" hidden="1" customWidth="1" outlineLevel="1"/>
    <col min="53" max="53" width="15.6328125" hidden="1" customWidth="1" outlineLevel="1"/>
    <col min="54" max="54" width="13.26953125" hidden="1" customWidth="1" outlineLevel="1"/>
    <col min="55" max="55" width="15.36328125" hidden="1" customWidth="1" outlineLevel="1"/>
    <col min="56" max="56" width="14.36328125" hidden="1" customWidth="1" outlineLevel="1"/>
    <col min="57" max="57" width="16.36328125" hidden="1" customWidth="1" outlineLevel="1"/>
    <col min="58" max="63" width="19.7265625" hidden="1" customWidth="1" outlineLevel="1"/>
    <col min="64" max="64" width="19.6328125" hidden="1" customWidth="1" outlineLevel="1"/>
    <col min="65" max="66" width="19.7265625" hidden="1" customWidth="1" outlineLevel="1"/>
    <col min="67" max="67" width="19.26953125" hidden="1" customWidth="1" outlineLevel="1"/>
    <col min="68" max="70" width="19.7265625" hidden="1" customWidth="1" outlineLevel="1"/>
    <col min="71" max="71" width="17.36328125" hidden="1" customWidth="1" outlineLevel="1"/>
    <col min="72" max="77" width="19.7265625" hidden="1" customWidth="1" outlineLevel="1"/>
    <col min="78" max="78" width="17.36328125" hidden="1" customWidth="1" outlineLevel="1"/>
    <col min="79" max="84" width="19.7265625" hidden="1" customWidth="1" outlineLevel="1"/>
    <col min="85" max="85" width="19.6328125" hidden="1" customWidth="1" outlineLevel="1"/>
    <col min="86" max="86" width="17.08984375" hidden="1" customWidth="1" outlineLevel="1"/>
    <col min="87" max="87" width="17" hidden="1" customWidth="1" outlineLevel="1"/>
    <col min="88" max="88" width="17.36328125" hidden="1" customWidth="1" outlineLevel="1"/>
    <col min="89" max="89" width="17" hidden="1" customWidth="1" outlineLevel="1"/>
    <col min="90" max="91" width="17.26953125" hidden="1" customWidth="1" outlineLevel="1"/>
    <col min="92" max="92" width="18.08984375" hidden="1" customWidth="1" outlineLevel="1"/>
    <col min="93" max="93" width="17.08984375" hidden="1" customWidth="1" outlineLevel="1"/>
    <col min="94" max="94" width="17" hidden="1" customWidth="1" outlineLevel="1"/>
    <col min="95" max="95" width="18.26953125" hidden="1" customWidth="1" outlineLevel="1"/>
    <col min="96" max="96" width="17" hidden="1" customWidth="1" outlineLevel="1"/>
    <col min="97" max="97" width="18.08984375" hidden="1" customWidth="1" outlineLevel="1"/>
    <col min="98" max="98" width="17.08984375" hidden="1" customWidth="1" outlineLevel="1"/>
    <col min="99" max="99" width="19.08984375" hidden="1" customWidth="1" outlineLevel="1"/>
    <col min="100" max="101" width="17.26953125" hidden="1" customWidth="1" outlineLevel="1"/>
    <col min="102" max="102" width="18.26953125" hidden="1" customWidth="1" outlineLevel="1"/>
    <col min="103" max="103" width="17.26953125" hidden="1" customWidth="1" outlineLevel="1"/>
    <col min="104" max="104" width="18.08984375" hidden="1" customWidth="1" outlineLevel="1"/>
    <col min="105" max="105" width="17.26953125" hidden="1" customWidth="1" outlineLevel="1"/>
    <col min="106" max="106" width="19.08984375" hidden="1" customWidth="1" outlineLevel="1"/>
    <col min="107" max="108" width="17.26953125" hidden="1" customWidth="1" outlineLevel="1"/>
    <col min="109" max="109" width="18.26953125" hidden="1" customWidth="1" outlineLevel="1"/>
    <col min="110" max="110" width="17.26953125" hidden="1" customWidth="1" outlineLevel="1"/>
    <col min="111" max="111" width="18.08984375" hidden="1" customWidth="1" outlineLevel="1"/>
    <col min="112" max="112" width="17.26953125" hidden="1" customWidth="1" outlineLevel="1"/>
    <col min="113" max="113" width="19.08984375" hidden="1" customWidth="1" outlineLevel="1"/>
    <col min="114" max="115" width="17.26953125" hidden="1" customWidth="1" outlineLevel="1"/>
    <col min="116" max="116" width="17.36328125" hidden="1" customWidth="1" outlineLevel="1"/>
    <col min="117" max="119" width="17.26953125" hidden="1" customWidth="1" outlineLevel="1"/>
    <col min="120" max="120" width="18.08984375" hidden="1" customWidth="1" outlineLevel="1"/>
    <col min="121" max="121" width="17.08984375" hidden="1" customWidth="1" outlineLevel="1"/>
    <col min="122" max="122" width="17" hidden="1" customWidth="1" outlineLevel="1"/>
    <col min="123" max="123" width="18.36328125" hidden="1" customWidth="1" outlineLevel="1"/>
    <col min="124" max="124" width="17" hidden="1" customWidth="1" outlineLevel="1"/>
    <col min="125" max="125" width="18.08984375" hidden="1" customWidth="1" outlineLevel="1"/>
    <col min="126" max="126" width="17.08984375" hidden="1" customWidth="1" outlineLevel="1"/>
    <col min="127" max="127" width="19.08984375" hidden="1" customWidth="1" outlineLevel="1"/>
    <col min="128" max="129" width="17.26953125" hidden="1" customWidth="1" outlineLevel="1"/>
    <col min="130" max="130" width="18.36328125" hidden="1" customWidth="1" outlineLevel="1"/>
    <col min="131" max="131" width="17.26953125" hidden="1" customWidth="1" outlineLevel="1"/>
    <col min="132" max="132" width="18.08984375" hidden="1" customWidth="1" outlineLevel="1"/>
    <col min="133" max="133" width="17.26953125" hidden="1" customWidth="1" outlineLevel="1"/>
    <col min="134" max="134" width="19.08984375" hidden="1" customWidth="1" outlineLevel="1"/>
    <col min="135" max="135" width="15.36328125" hidden="1" customWidth="1" outlineLevel="1"/>
    <col min="136" max="136" width="16" hidden="1" customWidth="1" outlineLevel="1"/>
    <col min="137" max="137" width="18.36328125" hidden="1" customWidth="1" outlineLevel="1"/>
    <col min="138" max="138" width="15.26953125" hidden="1" customWidth="1" outlineLevel="1"/>
    <col min="139" max="139" width="18.08984375" hidden="1" customWidth="1" outlineLevel="1"/>
    <col min="140" max="140" width="17.08984375" hidden="1" customWidth="1" outlineLevel="1"/>
    <col min="141" max="141" width="19.08984375" hidden="1" customWidth="1" outlineLevel="1"/>
    <col min="142" max="142" width="15.36328125" hidden="1" customWidth="1" outlineLevel="1"/>
    <col min="143" max="143" width="16" hidden="1" customWidth="1" outlineLevel="1"/>
    <col min="144" max="144" width="18.36328125" hidden="1" customWidth="1" outlineLevel="1"/>
    <col min="145" max="145" width="14.26953125" hidden="1" customWidth="1" outlineLevel="1"/>
    <col min="146" max="146" width="14.7265625" hidden="1" customWidth="1" outlineLevel="1"/>
    <col min="147" max="147" width="13.7265625" hidden="1" customWidth="1" outlineLevel="1"/>
    <col min="148" max="148" width="15.7265625" hidden="1" customWidth="1" outlineLevel="1"/>
    <col min="149" max="149" width="13" hidden="1" customWidth="1" outlineLevel="1"/>
    <col min="150" max="150" width="12.90625" hidden="1" customWidth="1" outlineLevel="1"/>
    <col min="151" max="151" width="14.90625" hidden="1" customWidth="1" outlineLevel="1"/>
    <col min="152" max="152" width="12.90625" hidden="1" customWidth="1" outlineLevel="1"/>
    <col min="153" max="153" width="14.7265625" hidden="1" customWidth="1" outlineLevel="1"/>
    <col min="154" max="154" width="14.6328125" hidden="1" customWidth="1" outlineLevel="1"/>
    <col min="155" max="155" width="16.6328125" hidden="1" customWidth="1" outlineLevel="1"/>
    <col min="156" max="156" width="13" hidden="1" customWidth="1" outlineLevel="1"/>
    <col min="157" max="157" width="13.453125" hidden="1" customWidth="1" outlineLevel="1"/>
    <col min="158" max="158" width="15.90625" hidden="1" customWidth="1" outlineLevel="1"/>
    <col min="159" max="159" width="12.90625" hidden="1" customWidth="1" outlineLevel="1"/>
    <col min="160" max="160" width="15.6328125" hidden="1" customWidth="1" outlineLevel="1"/>
    <col min="161" max="161" width="14.6328125" hidden="1" customWidth="1" outlineLevel="1"/>
    <col min="162" max="162" width="16.6328125" hidden="1" customWidth="1" outlineLevel="1"/>
    <col min="163" max="163" width="12.90625" hidden="1" customWidth="1" outlineLevel="1"/>
    <col min="164" max="164" width="13.453125" hidden="1" customWidth="1" outlineLevel="1"/>
    <col min="165" max="165" width="15.90625" hidden="1" customWidth="1" outlineLevel="1"/>
    <col min="166" max="166" width="12.90625" hidden="1" customWidth="1" outlineLevel="1"/>
    <col min="167" max="167" width="15.6328125" hidden="1" customWidth="1" outlineLevel="1"/>
    <col min="168" max="168" width="14.6328125" hidden="1" customWidth="1" outlineLevel="1"/>
    <col min="169" max="169" width="16.6328125" hidden="1" customWidth="1" outlineLevel="1"/>
    <col min="170" max="170" width="13" hidden="1" customWidth="1" outlineLevel="1"/>
    <col min="171" max="171" width="13.453125" hidden="1" customWidth="1" outlineLevel="1"/>
    <col min="172" max="172" width="15.90625" hidden="1" customWidth="1" outlineLevel="1"/>
    <col min="173" max="173" width="12.90625" hidden="1" customWidth="1" outlineLevel="1"/>
    <col min="174" max="174" width="15.6328125" hidden="1" customWidth="1" outlineLevel="1"/>
    <col min="175" max="175" width="14.6328125" hidden="1" customWidth="1" outlineLevel="1"/>
    <col min="176" max="176" width="15.453125" hidden="1" customWidth="1" outlineLevel="1"/>
    <col min="177" max="177" width="14.90625" hidden="1" customWidth="1" outlineLevel="1"/>
    <col min="178" max="178" width="12.36328125" hidden="1" customWidth="1" outlineLevel="1"/>
    <col min="179" max="179" width="14.7265625" hidden="1" customWidth="1" outlineLevel="1"/>
    <col min="180" max="180" width="12.90625" hidden="1" customWidth="1" outlineLevel="1"/>
    <col min="181" max="181" width="14.453125" hidden="1" customWidth="1" outlineLevel="1"/>
    <col min="182" max="182" width="13.453125" hidden="1" customWidth="1" outlineLevel="1"/>
    <col min="183" max="183" width="15.453125" hidden="1" customWidth="1" outlineLevel="1"/>
    <col min="184" max="184" width="14.08984375" hidden="1" customWidth="1" outlineLevel="1"/>
    <col min="185" max="185" width="14" hidden="1" customWidth="1" outlineLevel="1"/>
    <col min="186" max="186" width="15.7265625" hidden="1" customWidth="1" outlineLevel="1"/>
    <col min="187" max="187" width="12.6328125" hidden="1" customWidth="1" outlineLevel="1"/>
    <col min="188" max="188" width="15.453125" hidden="1" customWidth="1" outlineLevel="1"/>
    <col min="189" max="189" width="14.453125" hidden="1" customWidth="1" outlineLevel="1"/>
    <col min="190" max="190" width="16.453125" hidden="1" customWidth="1" outlineLevel="1"/>
    <col min="191" max="192" width="13.36328125" hidden="1" customWidth="1" outlineLevel="1"/>
    <col min="193" max="193" width="15.7265625" hidden="1" customWidth="1" outlineLevel="1"/>
    <col min="194" max="196" width="15.6328125" hidden="1" customWidth="1" outlineLevel="1"/>
    <col min="197" max="197" width="19.7265625" hidden="1" customWidth="1" outlineLevel="1"/>
    <col min="198" max="198" width="19.6328125" hidden="1" customWidth="1" outlineLevel="1"/>
    <col min="199" max="203" width="15.7265625" hidden="1" customWidth="1" outlineLevel="1"/>
    <col min="204" max="204" width="19.7265625" hidden="1" customWidth="1" outlineLevel="1"/>
    <col min="205" max="205" width="15.6328125" hidden="1" customWidth="1" outlineLevel="1"/>
    <col min="206" max="210" width="15.7265625" hidden="1" customWidth="1" outlineLevel="1"/>
    <col min="211" max="211" width="19.7265625" hidden="1" customWidth="1" outlineLevel="1"/>
    <col min="212" max="212" width="15.6328125" hidden="1" customWidth="1" outlineLevel="1"/>
    <col min="213" max="214" width="16.36328125" hidden="1" customWidth="1" outlineLevel="1"/>
    <col min="215" max="215" width="15.6328125" hidden="1" customWidth="1" outlineLevel="1"/>
    <col min="216" max="216" width="16.36328125" hidden="1" customWidth="1" outlineLevel="1"/>
    <col min="217" max="217" width="15.6328125" hidden="1" customWidth="1" outlineLevel="1"/>
    <col min="218" max="218" width="15.36328125" hidden="1" customWidth="1" outlineLevel="1"/>
    <col min="219" max="219" width="15.7265625" hidden="1" customWidth="1" outlineLevel="1"/>
    <col min="220" max="220" width="17.36328125" hidden="1" customWidth="1" outlineLevel="1"/>
    <col min="221" max="224" width="15.7265625" hidden="1" customWidth="1" outlineLevel="1"/>
    <col min="225" max="225" width="15.26953125" hidden="1" customWidth="1" outlineLevel="1"/>
    <col min="226" max="230" width="17.36328125" hidden="1" customWidth="1" outlineLevel="1"/>
    <col min="231" max="231" width="13.453125" hidden="1" customWidth="1" outlineLevel="1"/>
    <col min="232" max="232" width="15.26953125" hidden="1" customWidth="1" outlineLevel="1"/>
    <col min="233" max="236" width="13.453125" hidden="1" customWidth="1" outlineLevel="1"/>
    <col min="237" max="237" width="15.7265625" hidden="1" customWidth="1" outlineLevel="1"/>
    <col min="238" max="238" width="13.453125" hidden="1" customWidth="1" outlineLevel="1"/>
    <col min="239" max="239" width="13.7265625" hidden="1" customWidth="1" outlineLevel="1"/>
    <col min="240" max="240" width="17" bestFit="1" customWidth="1" outlineLevel="1"/>
    <col min="241" max="241" width="14.1796875" bestFit="1" customWidth="1" outlineLevel="1"/>
    <col min="242" max="242" width="18.36328125" bestFit="1" customWidth="1" outlineLevel="1"/>
    <col min="243" max="245" width="16.81640625" bestFit="1" customWidth="1" outlineLevel="1"/>
    <col min="246" max="246" width="15.54296875" bestFit="1" customWidth="1" outlineLevel="1"/>
    <col min="247" max="248" width="14.1796875" bestFit="1" customWidth="1" outlineLevel="1"/>
    <col min="249" max="249" width="14.81640625" bestFit="1" customWidth="1" outlineLevel="1"/>
    <col min="250" max="250" width="14.1796875" bestFit="1" customWidth="1" outlineLevel="1"/>
    <col min="251" max="251" width="14.6328125" bestFit="1" customWidth="1" outlineLevel="1"/>
    <col min="252" max="252" width="14.1796875" bestFit="1" customWidth="1" outlineLevel="1"/>
    <col min="253" max="253" width="15.54296875" bestFit="1" customWidth="1" outlineLevel="1"/>
    <col min="254" max="258" width="14.7265625" customWidth="1" outlineLevel="1"/>
    <col min="259" max="259" width="14.1796875" bestFit="1" customWidth="1" outlineLevel="1"/>
    <col min="260" max="260" width="15.54296875" bestFit="1" customWidth="1" outlineLevel="1"/>
    <col min="261" max="262" width="14.1796875" bestFit="1" customWidth="1" outlineLevel="1"/>
    <col min="263" max="267" width="16.81640625" bestFit="1" customWidth="1" outlineLevel="1"/>
    <col min="268" max="271" width="14.1796875" bestFit="1" customWidth="1" outlineLevel="1"/>
    <col min="272" max="273" width="16.81640625" bestFit="1" customWidth="1" outlineLevel="1"/>
    <col min="274" max="274" width="16.81640625" customWidth="1" outlineLevel="1"/>
    <col min="275" max="275" width="18.36328125" bestFit="1" customWidth="1"/>
    <col min="276" max="277" width="16.81640625" bestFit="1" customWidth="1"/>
    <col min="278" max="280" width="14.1796875" bestFit="1" customWidth="1"/>
    <col min="281" max="281" width="15.08984375" customWidth="1"/>
    <col min="282" max="283" width="14.1796875" bestFit="1" customWidth="1"/>
    <col min="284" max="284" width="14.36328125" bestFit="1" customWidth="1"/>
    <col min="285" max="287" width="14.1796875" bestFit="1" customWidth="1"/>
    <col min="288" max="288" width="15.08984375" customWidth="1"/>
    <col min="289" max="290" width="14.1796875" bestFit="1" customWidth="1"/>
    <col min="291" max="291" width="14.36328125" bestFit="1" customWidth="1"/>
    <col min="292" max="294" width="14.1796875" bestFit="1" customWidth="1"/>
    <col min="295" max="295" width="15.08984375" bestFit="1" customWidth="1"/>
    <col min="296" max="301" width="14.1796875" bestFit="1" customWidth="1"/>
    <col min="302" max="302" width="14.36328125" bestFit="1" customWidth="1"/>
    <col min="303" max="304" width="14.1796875" bestFit="1" customWidth="1"/>
    <col min="305" max="305" width="14.26953125" bestFit="1" customWidth="1"/>
    <col min="306" max="308" width="14.1796875" bestFit="1" customWidth="1"/>
    <col min="309" max="309" width="15" bestFit="1" customWidth="1"/>
    <col min="310" max="311" width="14.1796875" bestFit="1" customWidth="1"/>
    <col min="312" max="312" width="14.26953125" bestFit="1" customWidth="1"/>
    <col min="313" max="315" width="14.1796875" bestFit="1" customWidth="1"/>
    <col min="316" max="316" width="15" bestFit="1" customWidth="1"/>
    <col min="317" max="318" width="14.1796875" bestFit="1" customWidth="1"/>
    <col min="319" max="319" width="14.26953125" bestFit="1" customWidth="1"/>
    <col min="320" max="322" width="14.1796875" bestFit="1" customWidth="1"/>
    <col min="323" max="323" width="15" bestFit="1" customWidth="1"/>
    <col min="324" max="325" width="14.1796875" bestFit="1" customWidth="1"/>
    <col min="326" max="326" width="14.81640625" bestFit="1" customWidth="1"/>
    <col min="327" max="327" width="14.1796875" bestFit="1" customWidth="1"/>
    <col min="328" max="328" width="14.6328125" bestFit="1" customWidth="1"/>
    <col min="329" max="329" width="14.1796875" bestFit="1" customWidth="1"/>
    <col min="330" max="330" width="15.54296875" bestFit="1" customWidth="1"/>
    <col min="331" max="332" width="14.1796875" bestFit="1" customWidth="1"/>
    <col min="333" max="333" width="14.81640625" bestFit="1" customWidth="1"/>
    <col min="334" max="334" width="14.1796875" bestFit="1" customWidth="1"/>
    <col min="335" max="335" width="15.6328125" bestFit="1" customWidth="1"/>
    <col min="336" max="336" width="14.54296875" bestFit="1" customWidth="1"/>
    <col min="337" max="337" width="16.6328125" bestFit="1" customWidth="1"/>
    <col min="338" max="339" width="14.1796875" bestFit="1" customWidth="1"/>
    <col min="340" max="340" width="15.90625" bestFit="1" customWidth="1"/>
    <col min="341" max="341" width="14.1796875" bestFit="1" customWidth="1"/>
    <col min="342" max="342" width="15.6328125" bestFit="1" customWidth="1"/>
    <col min="343" max="343" width="14.54296875" bestFit="1" customWidth="1"/>
    <col min="344" max="344" width="16.6328125" bestFit="1" customWidth="1"/>
    <col min="345" max="346" width="14.1796875" bestFit="1" customWidth="1"/>
    <col min="347" max="347" width="15.90625" bestFit="1" customWidth="1"/>
    <col min="348" max="348" width="14.1796875" bestFit="1" customWidth="1"/>
    <col min="349" max="349" width="15.6328125" bestFit="1" customWidth="1"/>
    <col min="350" max="350" width="14.54296875" bestFit="1" customWidth="1"/>
    <col min="351" max="351" width="16.6328125" bestFit="1" customWidth="1"/>
    <col min="352" max="352" width="12.54296875" bestFit="1" customWidth="1"/>
    <col min="353" max="353" width="13.26953125" bestFit="1" customWidth="1"/>
    <col min="354" max="354" width="15.90625" bestFit="1" customWidth="1"/>
    <col min="355" max="355" width="12.54296875" bestFit="1" customWidth="1"/>
    <col min="356" max="356" width="15.6328125" bestFit="1" customWidth="1"/>
    <col min="357" max="357" width="12.7265625" bestFit="1" customWidth="1"/>
    <col min="358" max="358" width="14.7265625" bestFit="1" customWidth="1"/>
  </cols>
  <sheetData>
    <row r="1" spans="1:372" ht="13">
      <c r="O1" s="547"/>
      <c r="P1" s="560" t="s">
        <v>68</v>
      </c>
      <c r="Q1" s="554"/>
      <c r="R1" s="554"/>
      <c r="S1" s="554"/>
      <c r="T1" s="554"/>
      <c r="U1" s="554"/>
      <c r="V1" s="555"/>
      <c r="W1" s="561" t="s">
        <v>69</v>
      </c>
      <c r="X1" s="554"/>
      <c r="Y1" s="554"/>
      <c r="Z1" s="554"/>
      <c r="AA1" s="554"/>
      <c r="AB1" s="554"/>
      <c r="AC1" s="555"/>
      <c r="AD1" s="560" t="s">
        <v>70</v>
      </c>
      <c r="AE1" s="554"/>
      <c r="AF1" s="554"/>
      <c r="AG1" s="554"/>
      <c r="AH1" s="554"/>
      <c r="AI1" s="554"/>
      <c r="AJ1" s="555"/>
      <c r="AK1" s="561" t="s">
        <v>71</v>
      </c>
      <c r="AL1" s="554"/>
      <c r="AM1" s="554"/>
      <c r="AN1" s="554"/>
      <c r="AO1" s="554"/>
      <c r="AP1" s="554"/>
      <c r="AQ1" s="555"/>
      <c r="AR1" s="560" t="s">
        <v>72</v>
      </c>
      <c r="AS1" s="554"/>
      <c r="AT1" s="554"/>
      <c r="AU1" s="554"/>
      <c r="AV1" s="554"/>
      <c r="AW1" s="554"/>
      <c r="AX1" s="555"/>
      <c r="AY1" s="561" t="s">
        <v>73</v>
      </c>
      <c r="AZ1" s="554"/>
      <c r="BA1" s="554"/>
      <c r="BB1" s="554"/>
      <c r="BC1" s="554"/>
      <c r="BD1" s="554"/>
      <c r="BE1" s="555"/>
      <c r="BF1" s="560" t="s">
        <v>74</v>
      </c>
      <c r="BG1" s="554"/>
      <c r="BH1" s="554"/>
      <c r="BI1" s="554"/>
      <c r="BJ1" s="554"/>
      <c r="BK1" s="554"/>
      <c r="BL1" s="555"/>
      <c r="BM1" s="561" t="s">
        <v>75</v>
      </c>
      <c r="BN1" s="554"/>
      <c r="BO1" s="554"/>
      <c r="BP1" s="554"/>
      <c r="BQ1" s="554"/>
      <c r="BR1" s="554"/>
      <c r="BS1" s="555"/>
      <c r="BT1" s="560" t="s">
        <v>76</v>
      </c>
      <c r="BU1" s="554"/>
      <c r="BV1" s="554"/>
      <c r="BW1" s="554"/>
      <c r="BX1" s="554"/>
      <c r="BY1" s="554"/>
      <c r="BZ1" s="555"/>
      <c r="CA1" s="561" t="s">
        <v>77</v>
      </c>
      <c r="CB1" s="554"/>
      <c r="CC1" s="554"/>
      <c r="CD1" s="554"/>
      <c r="CE1" s="554"/>
      <c r="CF1" s="554"/>
      <c r="CG1" s="555"/>
      <c r="CH1" s="560" t="s">
        <v>78</v>
      </c>
      <c r="CI1" s="554"/>
      <c r="CJ1" s="554"/>
      <c r="CK1" s="554"/>
      <c r="CL1" s="554"/>
      <c r="CM1" s="554"/>
      <c r="CN1" s="555"/>
      <c r="CO1" s="561" t="s">
        <v>79</v>
      </c>
      <c r="CP1" s="554"/>
      <c r="CQ1" s="554"/>
      <c r="CR1" s="554"/>
      <c r="CS1" s="554"/>
      <c r="CT1" s="554"/>
      <c r="CU1" s="555"/>
      <c r="CV1" s="560" t="s">
        <v>80</v>
      </c>
      <c r="CW1" s="554"/>
      <c r="CX1" s="554"/>
      <c r="CY1" s="554"/>
      <c r="CZ1" s="554"/>
      <c r="DA1" s="554"/>
      <c r="DB1" s="555"/>
      <c r="DC1" s="561" t="s">
        <v>81</v>
      </c>
      <c r="DD1" s="554"/>
      <c r="DE1" s="554"/>
      <c r="DF1" s="554"/>
      <c r="DG1" s="554"/>
      <c r="DH1" s="554"/>
      <c r="DI1" s="555"/>
      <c r="DJ1" s="560" t="s">
        <v>82</v>
      </c>
      <c r="DK1" s="554"/>
      <c r="DL1" s="554"/>
      <c r="DM1" s="554"/>
      <c r="DN1" s="554"/>
      <c r="DO1" s="554"/>
      <c r="DP1" s="555"/>
      <c r="DQ1" s="561" t="s">
        <v>83</v>
      </c>
      <c r="DR1" s="554"/>
      <c r="DS1" s="554"/>
      <c r="DT1" s="554"/>
      <c r="DU1" s="554"/>
      <c r="DV1" s="554"/>
      <c r="DW1" s="555"/>
      <c r="DX1" s="560" t="s">
        <v>84</v>
      </c>
      <c r="DY1" s="554"/>
      <c r="DZ1" s="554"/>
      <c r="EA1" s="554"/>
      <c r="EB1" s="554"/>
      <c r="EC1" s="554"/>
      <c r="ED1" s="555"/>
      <c r="EE1" s="561" t="s">
        <v>85</v>
      </c>
      <c r="EF1" s="554"/>
      <c r="EG1" s="554"/>
      <c r="EH1" s="554"/>
      <c r="EI1" s="554"/>
      <c r="EJ1" s="554"/>
      <c r="EK1" s="555"/>
      <c r="EL1" s="560" t="s">
        <v>86</v>
      </c>
      <c r="EM1" s="554"/>
      <c r="EN1" s="554"/>
      <c r="EO1" s="554"/>
      <c r="EP1" s="554"/>
      <c r="EQ1" s="554"/>
      <c r="ER1" s="555"/>
      <c r="ES1" s="561" t="s">
        <v>87</v>
      </c>
      <c r="ET1" s="554"/>
      <c r="EU1" s="554"/>
      <c r="EV1" s="554"/>
      <c r="EW1" s="554"/>
      <c r="EX1" s="554"/>
      <c r="EY1" s="555"/>
      <c r="EZ1" s="560" t="s">
        <v>88</v>
      </c>
      <c r="FA1" s="554"/>
      <c r="FB1" s="554"/>
      <c r="FC1" s="554"/>
      <c r="FD1" s="554"/>
      <c r="FE1" s="554"/>
      <c r="FF1" s="555"/>
      <c r="FG1" s="561" t="s">
        <v>89</v>
      </c>
      <c r="FH1" s="554"/>
      <c r="FI1" s="554"/>
      <c r="FJ1" s="554"/>
      <c r="FK1" s="554"/>
      <c r="FL1" s="554"/>
      <c r="FM1" s="555"/>
      <c r="FN1" s="560" t="s">
        <v>90</v>
      </c>
      <c r="FO1" s="554"/>
      <c r="FP1" s="554"/>
      <c r="FQ1" s="554"/>
      <c r="FR1" s="554"/>
      <c r="FS1" s="554"/>
      <c r="FT1" s="555"/>
      <c r="FU1" s="561" t="s">
        <v>91</v>
      </c>
      <c r="FV1" s="554"/>
      <c r="FW1" s="554"/>
      <c r="FX1" s="554"/>
      <c r="FY1" s="554"/>
      <c r="FZ1" s="554"/>
      <c r="GA1" s="555"/>
      <c r="GB1" s="560" t="s">
        <v>92</v>
      </c>
      <c r="GC1" s="554"/>
      <c r="GD1" s="554"/>
      <c r="GE1" s="554"/>
      <c r="GF1" s="554"/>
      <c r="GG1" s="554"/>
      <c r="GH1" s="555"/>
      <c r="GI1" s="561" t="s">
        <v>93</v>
      </c>
      <c r="GJ1" s="554"/>
      <c r="GK1" s="554"/>
      <c r="GL1" s="554"/>
      <c r="GM1" s="554"/>
      <c r="GN1" s="554"/>
      <c r="GO1" s="555"/>
      <c r="GP1" s="560" t="s">
        <v>94</v>
      </c>
      <c r="GQ1" s="554"/>
      <c r="GR1" s="554"/>
      <c r="GS1" s="554"/>
      <c r="GT1" s="554"/>
      <c r="GU1" s="554"/>
      <c r="GV1" s="555"/>
      <c r="GW1" s="561" t="s">
        <v>20</v>
      </c>
      <c r="GX1" s="554"/>
      <c r="GY1" s="554"/>
      <c r="GZ1" s="554"/>
      <c r="HA1" s="554"/>
      <c r="HB1" s="554"/>
      <c r="HC1" s="555"/>
      <c r="HD1" s="560" t="s">
        <v>21</v>
      </c>
      <c r="HE1" s="554"/>
      <c r="HF1" s="554"/>
      <c r="HG1" s="554"/>
      <c r="HH1" s="554"/>
      <c r="HI1" s="554"/>
      <c r="HJ1" s="555"/>
      <c r="HK1" s="561" t="s">
        <v>22</v>
      </c>
      <c r="HL1" s="554"/>
      <c r="HM1" s="554"/>
      <c r="HN1" s="554"/>
      <c r="HO1" s="554"/>
      <c r="HP1" s="554"/>
      <c r="HQ1" s="555"/>
      <c r="HR1" s="567" t="s">
        <v>23</v>
      </c>
      <c r="HS1" s="554"/>
      <c r="HT1" s="554"/>
      <c r="HU1" s="554"/>
      <c r="HV1" s="554"/>
      <c r="HW1" s="554"/>
      <c r="HX1" s="555"/>
      <c r="HY1" s="557" t="s">
        <v>24</v>
      </c>
      <c r="HZ1" s="554"/>
      <c r="IA1" s="554"/>
      <c r="IB1" s="554"/>
      <c r="IC1" s="554"/>
      <c r="ID1" s="554"/>
      <c r="IE1" s="555"/>
      <c r="IF1" s="567" t="s">
        <v>95</v>
      </c>
      <c r="IG1" s="554"/>
      <c r="IH1" s="554"/>
      <c r="II1" s="554"/>
      <c r="IJ1" s="554"/>
      <c r="IK1" s="554"/>
      <c r="IL1" s="555"/>
      <c r="IM1" s="557" t="s">
        <v>96</v>
      </c>
      <c r="IN1" s="554"/>
      <c r="IO1" s="554"/>
      <c r="IP1" s="554"/>
      <c r="IQ1" s="554"/>
      <c r="IR1" s="554"/>
      <c r="IS1" s="555"/>
      <c r="IT1" s="567" t="s">
        <v>97</v>
      </c>
      <c r="IU1" s="554"/>
      <c r="IV1" s="554"/>
      <c r="IW1" s="554"/>
      <c r="IX1" s="554"/>
      <c r="IY1" s="554"/>
      <c r="IZ1" s="555"/>
      <c r="JA1" s="557" t="s">
        <v>98</v>
      </c>
      <c r="JB1" s="554"/>
      <c r="JC1" s="554"/>
      <c r="JD1" s="554"/>
      <c r="JE1" s="554"/>
      <c r="JF1" s="554"/>
      <c r="JG1" s="555"/>
      <c r="JH1" s="567" t="s">
        <v>99</v>
      </c>
      <c r="JI1" s="554"/>
      <c r="JJ1" s="554"/>
      <c r="JK1" s="554"/>
      <c r="JL1" s="554"/>
      <c r="JM1" s="554"/>
      <c r="JN1" s="555"/>
      <c r="JO1" s="557" t="s">
        <v>100</v>
      </c>
      <c r="JP1" s="554"/>
      <c r="JQ1" s="554"/>
      <c r="JR1" s="554"/>
      <c r="JS1" s="554"/>
      <c r="JT1" s="554"/>
      <c r="JU1" s="555"/>
      <c r="JV1" s="566" t="s">
        <v>494</v>
      </c>
      <c r="JW1" s="554"/>
      <c r="JX1" s="554"/>
      <c r="JY1" s="554"/>
      <c r="JZ1" s="554"/>
      <c r="KA1" s="554"/>
      <c r="KB1" s="555"/>
      <c r="KC1" s="565" t="s">
        <v>495</v>
      </c>
      <c r="KD1" s="554"/>
      <c r="KE1" s="554"/>
      <c r="KF1" s="554"/>
      <c r="KG1" s="554"/>
      <c r="KH1" s="554"/>
      <c r="KI1" s="555"/>
      <c r="KJ1" s="566" t="s">
        <v>496</v>
      </c>
      <c r="KK1" s="554"/>
      <c r="KL1" s="554"/>
      <c r="KM1" s="554"/>
      <c r="KN1" s="554"/>
      <c r="KO1" s="554"/>
      <c r="KP1" s="555"/>
      <c r="KQ1" s="565" t="s">
        <v>497</v>
      </c>
      <c r="KR1" s="554"/>
      <c r="KS1" s="554"/>
      <c r="KT1" s="554"/>
      <c r="KU1" s="554"/>
      <c r="KV1" s="554"/>
      <c r="KW1" s="555"/>
      <c r="KX1" s="566" t="s">
        <v>498</v>
      </c>
      <c r="KY1" s="554"/>
      <c r="KZ1" s="554"/>
      <c r="LA1" s="554"/>
      <c r="LB1" s="554"/>
      <c r="LC1" s="554"/>
      <c r="LD1" s="555"/>
      <c r="LE1" s="565" t="s">
        <v>499</v>
      </c>
      <c r="LF1" s="554"/>
      <c r="LG1" s="554"/>
      <c r="LH1" s="554"/>
      <c r="LI1" s="554"/>
      <c r="LJ1" s="554"/>
      <c r="LK1" s="555"/>
      <c r="LL1" s="566" t="s">
        <v>500</v>
      </c>
      <c r="LM1" s="554"/>
      <c r="LN1" s="554"/>
      <c r="LO1" s="554"/>
      <c r="LP1" s="554"/>
      <c r="LQ1" s="554"/>
      <c r="LR1" s="555"/>
      <c r="LS1" s="566" t="s">
        <v>506</v>
      </c>
      <c r="LT1" s="554"/>
      <c r="LU1" s="554"/>
      <c r="LV1" s="554"/>
      <c r="LW1" s="554"/>
      <c r="LX1" s="554"/>
      <c r="LY1" s="555"/>
      <c r="LZ1" s="566" t="s">
        <v>512</v>
      </c>
      <c r="MA1" s="554"/>
      <c r="MB1" s="554"/>
      <c r="MC1" s="554"/>
      <c r="MD1" s="554"/>
      <c r="ME1" s="554"/>
      <c r="MF1" s="555"/>
      <c r="MG1" s="566" t="s">
        <v>513</v>
      </c>
      <c r="MH1" s="554"/>
      <c r="MI1" s="554"/>
      <c r="MJ1" s="554"/>
      <c r="MK1" s="554"/>
      <c r="ML1" s="554"/>
      <c r="MM1" s="555"/>
      <c r="MN1" s="566" t="s">
        <v>514</v>
      </c>
      <c r="MO1" s="554"/>
      <c r="MP1" s="554"/>
      <c r="MQ1" s="554"/>
      <c r="MR1" s="554"/>
      <c r="MS1" s="554"/>
      <c r="MT1" s="555"/>
      <c r="MU1" s="566" t="s">
        <v>515</v>
      </c>
      <c r="MV1" s="554"/>
      <c r="MW1" s="554"/>
      <c r="MX1" s="554"/>
      <c r="MY1" s="554"/>
      <c r="MZ1" s="554"/>
      <c r="NA1" s="555"/>
      <c r="NB1" s="566" t="s">
        <v>516</v>
      </c>
      <c r="NC1" s="554"/>
      <c r="ND1" s="554"/>
      <c r="NE1" s="554"/>
      <c r="NF1" s="554"/>
      <c r="NG1" s="554"/>
      <c r="NH1" s="555"/>
    </row>
    <row r="2" spans="1:372" ht="13">
      <c r="O2" s="552"/>
      <c r="P2" s="5">
        <v>45894</v>
      </c>
      <c r="Q2" s="6">
        <v>45895</v>
      </c>
      <c r="R2" s="7">
        <v>45896</v>
      </c>
      <c r="S2" s="8">
        <v>45897</v>
      </c>
      <c r="T2" s="9">
        <v>45898</v>
      </c>
      <c r="U2" s="10">
        <v>45899</v>
      </c>
      <c r="V2" s="11">
        <v>45900</v>
      </c>
      <c r="W2" s="5">
        <v>45901</v>
      </c>
      <c r="X2" s="6">
        <v>45902</v>
      </c>
      <c r="Y2" s="7">
        <v>45903</v>
      </c>
      <c r="Z2" s="8">
        <v>45904</v>
      </c>
      <c r="AA2" s="9">
        <v>45905</v>
      </c>
      <c r="AB2" s="10">
        <v>45906</v>
      </c>
      <c r="AC2" s="11">
        <v>45907</v>
      </c>
      <c r="AD2" s="5">
        <v>45908</v>
      </c>
      <c r="AE2" s="6">
        <v>45909</v>
      </c>
      <c r="AF2" s="7">
        <v>45910</v>
      </c>
      <c r="AG2" s="8">
        <v>45911</v>
      </c>
      <c r="AH2" s="9">
        <v>45912</v>
      </c>
      <c r="AI2" s="10">
        <v>45913</v>
      </c>
      <c r="AJ2" s="11">
        <v>45914</v>
      </c>
      <c r="AK2" s="5">
        <v>45915</v>
      </c>
      <c r="AL2" s="6">
        <v>45916</v>
      </c>
      <c r="AM2" s="7">
        <v>45917</v>
      </c>
      <c r="AN2" s="8">
        <v>45918</v>
      </c>
      <c r="AO2" s="9">
        <v>45919</v>
      </c>
      <c r="AP2" s="10">
        <v>45920</v>
      </c>
      <c r="AQ2" s="11">
        <v>45921</v>
      </c>
      <c r="AR2" s="5">
        <v>45922</v>
      </c>
      <c r="AS2" s="6">
        <v>45923</v>
      </c>
      <c r="AT2" s="7">
        <v>45924</v>
      </c>
      <c r="AU2" s="8">
        <v>45925</v>
      </c>
      <c r="AV2" s="9">
        <v>45926</v>
      </c>
      <c r="AW2" s="10">
        <v>45927</v>
      </c>
      <c r="AX2" s="11">
        <v>45928</v>
      </c>
      <c r="AY2" s="5">
        <v>45929</v>
      </c>
      <c r="AZ2" s="6">
        <v>45930</v>
      </c>
      <c r="BA2" s="7">
        <v>45931</v>
      </c>
      <c r="BB2" s="8">
        <v>45932</v>
      </c>
      <c r="BC2" s="9">
        <v>45933</v>
      </c>
      <c r="BD2" s="10">
        <v>45934</v>
      </c>
      <c r="BE2" s="11">
        <v>45935</v>
      </c>
      <c r="BF2" s="5">
        <v>45936</v>
      </c>
      <c r="BG2" s="6">
        <v>45937</v>
      </c>
      <c r="BH2" s="7">
        <v>45938</v>
      </c>
      <c r="BI2" s="8">
        <v>45939</v>
      </c>
      <c r="BJ2" s="9">
        <v>45940</v>
      </c>
      <c r="BK2" s="10">
        <v>45941</v>
      </c>
      <c r="BL2" s="11">
        <v>45942</v>
      </c>
      <c r="BM2" s="5">
        <v>45943</v>
      </c>
      <c r="BN2" s="6">
        <v>45944</v>
      </c>
      <c r="BO2" s="7">
        <v>45945</v>
      </c>
      <c r="BP2" s="8">
        <v>45946</v>
      </c>
      <c r="BQ2" s="9">
        <v>45947</v>
      </c>
      <c r="BR2" s="10">
        <v>45948</v>
      </c>
      <c r="BS2" s="11">
        <v>45949</v>
      </c>
      <c r="BT2" s="5">
        <v>45950</v>
      </c>
      <c r="BU2" s="6">
        <v>45951</v>
      </c>
      <c r="BV2" s="7">
        <v>45952</v>
      </c>
      <c r="BW2" s="8">
        <v>45953</v>
      </c>
      <c r="BX2" s="9">
        <v>45954</v>
      </c>
      <c r="BY2" s="10">
        <v>45955</v>
      </c>
      <c r="BZ2" s="11">
        <v>45956</v>
      </c>
      <c r="CA2" s="5">
        <v>45957</v>
      </c>
      <c r="CB2" s="6">
        <v>45958</v>
      </c>
      <c r="CC2" s="7">
        <v>45959</v>
      </c>
      <c r="CD2" s="8">
        <v>45960</v>
      </c>
      <c r="CE2" s="9">
        <v>45961</v>
      </c>
      <c r="CF2" s="10">
        <v>45962</v>
      </c>
      <c r="CG2" s="11">
        <v>45963</v>
      </c>
      <c r="CH2" s="5">
        <v>45964</v>
      </c>
      <c r="CI2" s="6">
        <v>45965</v>
      </c>
      <c r="CJ2" s="7">
        <v>45966</v>
      </c>
      <c r="CK2" s="8">
        <v>45967</v>
      </c>
      <c r="CL2" s="9">
        <v>45968</v>
      </c>
      <c r="CM2" s="10">
        <v>45969</v>
      </c>
      <c r="CN2" s="11">
        <v>45970</v>
      </c>
      <c r="CO2" s="5">
        <v>45971</v>
      </c>
      <c r="CP2" s="6">
        <v>45972</v>
      </c>
      <c r="CQ2" s="7">
        <v>45973</v>
      </c>
      <c r="CR2" s="8">
        <v>45974</v>
      </c>
      <c r="CS2" s="9">
        <v>45975</v>
      </c>
      <c r="CT2" s="10">
        <v>45976</v>
      </c>
      <c r="CU2" s="11">
        <v>45977</v>
      </c>
      <c r="CV2" s="5">
        <v>45978</v>
      </c>
      <c r="CW2" s="6">
        <v>45979</v>
      </c>
      <c r="CX2" s="7">
        <v>45980</v>
      </c>
      <c r="CY2" s="8">
        <v>45981</v>
      </c>
      <c r="CZ2" s="9">
        <v>45982</v>
      </c>
      <c r="DA2" s="10">
        <v>45983</v>
      </c>
      <c r="DB2" s="11">
        <v>45984</v>
      </c>
      <c r="DC2" s="5">
        <v>45985</v>
      </c>
      <c r="DD2" s="6">
        <v>45986</v>
      </c>
      <c r="DE2" s="7">
        <v>45987</v>
      </c>
      <c r="DF2" s="8">
        <v>45988</v>
      </c>
      <c r="DG2" s="9">
        <v>45989</v>
      </c>
      <c r="DH2" s="10">
        <v>45990</v>
      </c>
      <c r="DI2" s="11">
        <v>45991</v>
      </c>
      <c r="DJ2" s="5">
        <v>45992</v>
      </c>
      <c r="DK2" s="6">
        <v>45993</v>
      </c>
      <c r="DL2" s="7">
        <v>45994</v>
      </c>
      <c r="DM2" s="8">
        <v>45995</v>
      </c>
      <c r="DN2" s="9">
        <v>45996</v>
      </c>
      <c r="DO2" s="10">
        <v>45997</v>
      </c>
      <c r="DP2" s="11">
        <v>45998</v>
      </c>
      <c r="DQ2" s="5">
        <v>45999</v>
      </c>
      <c r="DR2" s="6">
        <v>46000</v>
      </c>
      <c r="DS2" s="7">
        <v>46001</v>
      </c>
      <c r="DT2" s="8">
        <v>46002</v>
      </c>
      <c r="DU2" s="9">
        <v>46003</v>
      </c>
      <c r="DV2" s="10">
        <v>46004</v>
      </c>
      <c r="DW2" s="11">
        <v>46005</v>
      </c>
      <c r="DX2" s="5">
        <v>46006</v>
      </c>
      <c r="DY2" s="6">
        <v>46007</v>
      </c>
      <c r="DZ2" s="7">
        <v>46008</v>
      </c>
      <c r="EA2" s="8">
        <v>46009</v>
      </c>
      <c r="EB2" s="9">
        <v>46010</v>
      </c>
      <c r="EC2" s="10">
        <v>46011</v>
      </c>
      <c r="ED2" s="11">
        <v>46012</v>
      </c>
      <c r="EE2" s="5">
        <v>46013</v>
      </c>
      <c r="EF2" s="6">
        <v>46014</v>
      </c>
      <c r="EG2" s="7">
        <v>46015</v>
      </c>
      <c r="EH2" s="8">
        <v>46016</v>
      </c>
      <c r="EI2" s="9">
        <v>46017</v>
      </c>
      <c r="EJ2" s="10">
        <v>46018</v>
      </c>
      <c r="EK2" s="11">
        <v>46019</v>
      </c>
      <c r="EL2" s="5">
        <v>46020</v>
      </c>
      <c r="EM2" s="6">
        <v>46021</v>
      </c>
      <c r="EN2" s="7">
        <v>46022</v>
      </c>
      <c r="EO2" s="8">
        <v>46023</v>
      </c>
      <c r="EP2" s="9">
        <v>46024</v>
      </c>
      <c r="EQ2" s="10">
        <v>46025</v>
      </c>
      <c r="ER2" s="11">
        <v>46026</v>
      </c>
      <c r="ES2" s="5">
        <v>46027</v>
      </c>
      <c r="ET2" s="6">
        <v>46028</v>
      </c>
      <c r="EU2" s="7">
        <v>46029</v>
      </c>
      <c r="EV2" s="8">
        <v>46030</v>
      </c>
      <c r="EW2" s="9">
        <v>46031</v>
      </c>
      <c r="EX2" s="10">
        <v>46032</v>
      </c>
      <c r="EY2" s="11">
        <v>46033</v>
      </c>
      <c r="EZ2" s="5">
        <v>46034</v>
      </c>
      <c r="FA2" s="6">
        <v>46035</v>
      </c>
      <c r="FB2" s="7">
        <v>46036</v>
      </c>
      <c r="FC2" s="8">
        <v>46037</v>
      </c>
      <c r="FD2" s="9">
        <v>46038</v>
      </c>
      <c r="FE2" s="10">
        <v>46039</v>
      </c>
      <c r="FF2" s="11">
        <v>46040</v>
      </c>
      <c r="FG2" s="5">
        <v>46041</v>
      </c>
      <c r="FH2" s="6">
        <v>46042</v>
      </c>
      <c r="FI2" s="7">
        <v>46043</v>
      </c>
      <c r="FJ2" s="8">
        <v>46044</v>
      </c>
      <c r="FK2" s="9">
        <v>46045</v>
      </c>
      <c r="FL2" s="10">
        <v>46046</v>
      </c>
      <c r="FM2" s="11">
        <v>46047</v>
      </c>
      <c r="FN2" s="5">
        <v>46048</v>
      </c>
      <c r="FO2" s="6">
        <v>46049</v>
      </c>
      <c r="FP2" s="7">
        <v>46050</v>
      </c>
      <c r="FQ2" s="8">
        <v>46051</v>
      </c>
      <c r="FR2" s="9">
        <v>46052</v>
      </c>
      <c r="FS2" s="10">
        <v>46053</v>
      </c>
      <c r="FT2" s="11">
        <v>46054</v>
      </c>
      <c r="FU2" s="5">
        <v>46055</v>
      </c>
      <c r="FV2" s="6">
        <v>46056</v>
      </c>
      <c r="FW2" s="7">
        <v>46057</v>
      </c>
      <c r="FX2" s="8">
        <v>46058</v>
      </c>
      <c r="FY2" s="9">
        <v>46059</v>
      </c>
      <c r="FZ2" s="10">
        <v>46060</v>
      </c>
      <c r="GA2" s="11">
        <v>46061</v>
      </c>
      <c r="GB2" s="5">
        <v>46062</v>
      </c>
      <c r="GC2" s="6">
        <v>46063</v>
      </c>
      <c r="GD2" s="7">
        <v>46064</v>
      </c>
      <c r="GE2" s="8">
        <v>46065</v>
      </c>
      <c r="GF2" s="9">
        <v>46066</v>
      </c>
      <c r="GG2" s="10">
        <v>46067</v>
      </c>
      <c r="GH2" s="11">
        <v>46068</v>
      </c>
      <c r="GI2" s="5">
        <v>46069</v>
      </c>
      <c r="GJ2" s="6">
        <v>46070</v>
      </c>
      <c r="GK2" s="7">
        <v>46071</v>
      </c>
      <c r="GL2" s="8">
        <v>46072</v>
      </c>
      <c r="GM2" s="9">
        <v>46073</v>
      </c>
      <c r="GN2" s="10">
        <v>46074</v>
      </c>
      <c r="GO2" s="11">
        <v>46075</v>
      </c>
      <c r="GP2" s="5">
        <v>46076</v>
      </c>
      <c r="GQ2" s="6">
        <v>46077</v>
      </c>
      <c r="GR2" s="7">
        <v>46078</v>
      </c>
      <c r="GS2" s="8">
        <v>46079</v>
      </c>
      <c r="GT2" s="9">
        <v>46080</v>
      </c>
      <c r="GU2" s="10">
        <v>46081</v>
      </c>
      <c r="GV2" s="11">
        <v>46082</v>
      </c>
      <c r="GW2" s="5">
        <v>46083</v>
      </c>
      <c r="GX2" s="6">
        <v>46084</v>
      </c>
      <c r="GY2" s="7">
        <v>46085</v>
      </c>
      <c r="GZ2" s="8">
        <v>46086</v>
      </c>
      <c r="HA2" s="9">
        <v>46087</v>
      </c>
      <c r="HB2" s="10">
        <v>46088</v>
      </c>
      <c r="HC2" s="11">
        <v>46089</v>
      </c>
      <c r="HD2" s="5">
        <v>46090</v>
      </c>
      <c r="HE2" s="6">
        <v>46091</v>
      </c>
      <c r="HF2" s="7">
        <v>46092</v>
      </c>
      <c r="HG2" s="8">
        <v>46093</v>
      </c>
      <c r="HH2" s="9">
        <v>46094</v>
      </c>
      <c r="HI2" s="10">
        <v>46095</v>
      </c>
      <c r="HJ2" s="11">
        <v>46096</v>
      </c>
      <c r="HK2" s="5">
        <v>46097</v>
      </c>
      <c r="HL2" s="6">
        <v>46098</v>
      </c>
      <c r="HM2" s="7">
        <v>46099</v>
      </c>
      <c r="HN2" s="8">
        <v>46100</v>
      </c>
      <c r="HO2" s="9">
        <v>46101</v>
      </c>
      <c r="HP2" s="10">
        <v>46102</v>
      </c>
      <c r="HQ2" s="11">
        <v>46103</v>
      </c>
      <c r="HR2" s="12">
        <v>46104</v>
      </c>
      <c r="HS2" s="13">
        <v>46105</v>
      </c>
      <c r="HT2" s="14">
        <v>46106</v>
      </c>
      <c r="HU2" s="15">
        <v>46107</v>
      </c>
      <c r="HV2" s="16">
        <v>46108</v>
      </c>
      <c r="HW2" s="17">
        <v>46109</v>
      </c>
      <c r="HX2" s="18">
        <v>46110</v>
      </c>
      <c r="HY2" s="12">
        <v>46111</v>
      </c>
      <c r="HZ2" s="13">
        <v>46112</v>
      </c>
      <c r="IA2" s="14">
        <v>46113</v>
      </c>
      <c r="IB2" s="15">
        <v>46114</v>
      </c>
      <c r="IC2" s="16">
        <v>46115</v>
      </c>
      <c r="ID2" s="17">
        <v>46116</v>
      </c>
      <c r="IE2" s="18">
        <v>46117</v>
      </c>
      <c r="IF2" s="12">
        <v>46118</v>
      </c>
      <c r="IG2" s="13">
        <v>46119</v>
      </c>
      <c r="IH2" s="14">
        <v>46120</v>
      </c>
      <c r="II2" s="15">
        <v>46121</v>
      </c>
      <c r="IJ2" s="16">
        <v>46122</v>
      </c>
      <c r="IK2" s="17">
        <v>46123</v>
      </c>
      <c r="IL2" s="18">
        <v>46124</v>
      </c>
      <c r="IM2" s="12">
        <v>46125</v>
      </c>
      <c r="IN2" s="13">
        <v>46126</v>
      </c>
      <c r="IO2" s="14">
        <v>46127</v>
      </c>
      <c r="IP2" s="15">
        <v>46128</v>
      </c>
      <c r="IQ2" s="16">
        <v>46129</v>
      </c>
      <c r="IR2" s="17">
        <v>46130</v>
      </c>
      <c r="IS2" s="18">
        <v>46131</v>
      </c>
      <c r="IT2" s="19">
        <v>46132</v>
      </c>
      <c r="IU2" s="20">
        <v>46133</v>
      </c>
      <c r="IV2" s="21">
        <v>46134</v>
      </c>
      <c r="IW2" s="22">
        <v>46135</v>
      </c>
      <c r="IX2" s="23">
        <v>46136</v>
      </c>
      <c r="IY2" s="24">
        <v>46137</v>
      </c>
      <c r="IZ2" s="25">
        <v>46138</v>
      </c>
      <c r="JA2" s="19">
        <v>46139</v>
      </c>
      <c r="JB2" s="20">
        <v>46140</v>
      </c>
      <c r="JC2" s="21">
        <v>46141</v>
      </c>
      <c r="JD2" s="22">
        <v>46142</v>
      </c>
      <c r="JE2" s="23">
        <v>46143</v>
      </c>
      <c r="JF2" s="24">
        <v>46144</v>
      </c>
      <c r="JG2" s="25">
        <v>46145</v>
      </c>
      <c r="JH2" s="19">
        <v>46146</v>
      </c>
      <c r="JI2" s="20">
        <v>46147</v>
      </c>
      <c r="JJ2" s="21">
        <v>46148</v>
      </c>
      <c r="JK2" s="22">
        <v>46149</v>
      </c>
      <c r="JL2" s="23">
        <v>46150</v>
      </c>
      <c r="JM2" s="24">
        <v>46151</v>
      </c>
      <c r="JN2" s="25">
        <v>46152</v>
      </c>
      <c r="JO2" s="19">
        <v>46153</v>
      </c>
      <c r="JP2" s="20">
        <v>46154</v>
      </c>
      <c r="JQ2" s="21">
        <v>46155</v>
      </c>
      <c r="JR2" s="22">
        <v>46156</v>
      </c>
      <c r="JS2" s="23">
        <v>46157</v>
      </c>
      <c r="JT2" s="24">
        <v>46158</v>
      </c>
      <c r="JU2" s="25">
        <v>46159</v>
      </c>
      <c r="JV2" s="19">
        <v>46160</v>
      </c>
      <c r="JW2" s="20">
        <v>46161</v>
      </c>
      <c r="JX2" s="21">
        <v>46162</v>
      </c>
      <c r="JY2" s="22">
        <v>46163</v>
      </c>
      <c r="JZ2" s="23">
        <v>46164</v>
      </c>
      <c r="KA2" s="24">
        <v>46165</v>
      </c>
      <c r="KB2" s="25">
        <v>46166</v>
      </c>
      <c r="KC2" s="19">
        <v>46167</v>
      </c>
      <c r="KD2" s="20">
        <v>46168</v>
      </c>
      <c r="KE2" s="21">
        <v>46169</v>
      </c>
      <c r="KF2" s="22">
        <v>46170</v>
      </c>
      <c r="KG2" s="23">
        <v>46171</v>
      </c>
      <c r="KH2" s="24">
        <v>46172</v>
      </c>
      <c r="KI2" s="25">
        <v>46173</v>
      </c>
      <c r="KJ2" s="19">
        <v>46174</v>
      </c>
      <c r="KK2" s="20">
        <v>46175</v>
      </c>
      <c r="KL2" s="21">
        <v>46176</v>
      </c>
      <c r="KM2" s="22">
        <v>46177</v>
      </c>
      <c r="KN2" s="23">
        <v>46178</v>
      </c>
      <c r="KO2" s="24">
        <v>46179</v>
      </c>
      <c r="KP2" s="25">
        <v>46180</v>
      </c>
      <c r="KQ2" s="19">
        <v>46181</v>
      </c>
      <c r="KR2" s="20">
        <v>46182</v>
      </c>
      <c r="KS2" s="21">
        <v>46183</v>
      </c>
      <c r="KT2" s="22">
        <v>46184</v>
      </c>
      <c r="KU2" s="23">
        <v>46185</v>
      </c>
      <c r="KV2" s="24">
        <v>46186</v>
      </c>
      <c r="KW2" s="25">
        <v>46187</v>
      </c>
      <c r="KX2" s="19">
        <v>46188</v>
      </c>
      <c r="KY2" s="20">
        <v>46189</v>
      </c>
      <c r="KZ2" s="21">
        <v>46190</v>
      </c>
      <c r="LA2" s="22">
        <v>46191</v>
      </c>
      <c r="LB2" s="23">
        <v>46192</v>
      </c>
      <c r="LC2" s="24">
        <v>46193</v>
      </c>
      <c r="LD2" s="25">
        <v>46194</v>
      </c>
      <c r="LE2" s="19">
        <v>46195</v>
      </c>
      <c r="LF2" s="20">
        <v>46196</v>
      </c>
      <c r="LG2" s="21">
        <v>46197</v>
      </c>
      <c r="LH2" s="22">
        <v>46198</v>
      </c>
      <c r="LI2" s="23">
        <v>46199</v>
      </c>
      <c r="LJ2" s="24">
        <v>46200</v>
      </c>
      <c r="LK2" s="25">
        <v>46201</v>
      </c>
      <c r="LL2" s="19">
        <v>46202</v>
      </c>
      <c r="LM2" s="20">
        <v>46203</v>
      </c>
      <c r="LN2" s="21">
        <v>46204</v>
      </c>
      <c r="LO2" s="22">
        <v>46205</v>
      </c>
      <c r="LP2" s="23">
        <v>46206</v>
      </c>
      <c r="LQ2" s="24">
        <v>46207</v>
      </c>
      <c r="LR2" s="25">
        <v>46208</v>
      </c>
      <c r="LS2" s="19">
        <v>46209</v>
      </c>
      <c r="LT2" s="20">
        <v>46210</v>
      </c>
      <c r="LU2" s="21">
        <v>46211</v>
      </c>
      <c r="LV2" s="22">
        <v>46212</v>
      </c>
      <c r="LW2" s="23">
        <v>46213</v>
      </c>
      <c r="LX2" s="24">
        <v>46214</v>
      </c>
      <c r="LY2" s="25">
        <v>46215</v>
      </c>
      <c r="LZ2" s="19">
        <v>46216</v>
      </c>
      <c r="MA2" s="20">
        <v>46217</v>
      </c>
      <c r="MB2" s="21">
        <v>46218</v>
      </c>
      <c r="MC2" s="22">
        <v>46219</v>
      </c>
      <c r="MD2" s="23">
        <v>46220</v>
      </c>
      <c r="ME2" s="24">
        <v>46221</v>
      </c>
      <c r="MF2" s="25">
        <v>46222</v>
      </c>
      <c r="MG2" s="19">
        <v>46223</v>
      </c>
      <c r="MH2" s="20">
        <v>46224</v>
      </c>
      <c r="MI2" s="21">
        <v>46225</v>
      </c>
      <c r="MJ2" s="22">
        <v>46226</v>
      </c>
      <c r="MK2" s="23">
        <v>46227</v>
      </c>
      <c r="ML2" s="24">
        <v>46228</v>
      </c>
      <c r="MM2" s="25">
        <v>46229</v>
      </c>
      <c r="MN2" s="19">
        <v>46230</v>
      </c>
      <c r="MO2" s="20">
        <v>46231</v>
      </c>
      <c r="MP2" s="21">
        <v>46232</v>
      </c>
      <c r="MQ2" s="22">
        <v>46233</v>
      </c>
      <c r="MR2" s="23">
        <v>46234</v>
      </c>
      <c r="MS2" s="24">
        <v>46235</v>
      </c>
      <c r="MT2" s="25">
        <v>46236</v>
      </c>
    </row>
    <row r="3" spans="1:372" ht="13" hidden="1">
      <c r="O3" s="26" t="s">
        <v>27</v>
      </c>
      <c r="P3" s="27">
        <f t="shared" ref="P3:HJ3" si="0">COUNTIF(P7:P16,"congé")</f>
        <v>0</v>
      </c>
      <c r="Q3" s="27">
        <f t="shared" si="0"/>
        <v>0</v>
      </c>
      <c r="R3" s="27">
        <f t="shared" si="0"/>
        <v>0</v>
      </c>
      <c r="S3" s="27">
        <f t="shared" si="0"/>
        <v>0</v>
      </c>
      <c r="T3" s="27">
        <f t="shared" si="0"/>
        <v>0</v>
      </c>
      <c r="U3" s="27">
        <f t="shared" si="0"/>
        <v>0</v>
      </c>
      <c r="V3" s="27">
        <f t="shared" si="0"/>
        <v>0</v>
      </c>
      <c r="W3" s="27">
        <f t="shared" si="0"/>
        <v>0</v>
      </c>
      <c r="X3" s="27">
        <f t="shared" si="0"/>
        <v>0</v>
      </c>
      <c r="Y3" s="27">
        <f t="shared" si="0"/>
        <v>0</v>
      </c>
      <c r="Z3" s="27">
        <f t="shared" si="0"/>
        <v>0</v>
      </c>
      <c r="AA3" s="27">
        <f t="shared" si="0"/>
        <v>0</v>
      </c>
      <c r="AB3" s="27">
        <f t="shared" si="0"/>
        <v>0</v>
      </c>
      <c r="AC3" s="27">
        <f t="shared" si="0"/>
        <v>0</v>
      </c>
      <c r="AD3" s="27">
        <f t="shared" si="0"/>
        <v>0</v>
      </c>
      <c r="AE3" s="27">
        <f t="shared" si="0"/>
        <v>0</v>
      </c>
      <c r="AF3" s="27">
        <f t="shared" si="0"/>
        <v>0</v>
      </c>
      <c r="AG3" s="27">
        <f t="shared" si="0"/>
        <v>0</v>
      </c>
      <c r="AH3" s="27">
        <f t="shared" si="0"/>
        <v>0</v>
      </c>
      <c r="AI3" s="27">
        <f t="shared" si="0"/>
        <v>0</v>
      </c>
      <c r="AJ3" s="27">
        <f t="shared" si="0"/>
        <v>0</v>
      </c>
      <c r="AK3" s="27">
        <f t="shared" si="0"/>
        <v>0</v>
      </c>
      <c r="AL3" s="27">
        <f t="shared" si="0"/>
        <v>0</v>
      </c>
      <c r="AM3" s="27">
        <f t="shared" si="0"/>
        <v>0</v>
      </c>
      <c r="AN3" s="27">
        <f t="shared" si="0"/>
        <v>0</v>
      </c>
      <c r="AO3" s="27">
        <f t="shared" si="0"/>
        <v>0</v>
      </c>
      <c r="AP3" s="27">
        <f t="shared" si="0"/>
        <v>0</v>
      </c>
      <c r="AQ3" s="27">
        <f t="shared" si="0"/>
        <v>0</v>
      </c>
      <c r="AR3" s="27">
        <f t="shared" si="0"/>
        <v>0</v>
      </c>
      <c r="AS3" s="27">
        <f t="shared" si="0"/>
        <v>0</v>
      </c>
      <c r="AT3" s="27">
        <f t="shared" si="0"/>
        <v>0</v>
      </c>
      <c r="AU3" s="27">
        <f t="shared" si="0"/>
        <v>0</v>
      </c>
      <c r="AV3" s="27">
        <f t="shared" si="0"/>
        <v>0</v>
      </c>
      <c r="AW3" s="27">
        <f t="shared" si="0"/>
        <v>0</v>
      </c>
      <c r="AX3" s="27">
        <f t="shared" si="0"/>
        <v>0</v>
      </c>
      <c r="AY3" s="27">
        <f t="shared" si="0"/>
        <v>0</v>
      </c>
      <c r="AZ3" s="27">
        <f t="shared" si="0"/>
        <v>0</v>
      </c>
      <c r="BA3" s="27">
        <f t="shared" si="0"/>
        <v>0</v>
      </c>
      <c r="BB3" s="27">
        <f t="shared" si="0"/>
        <v>0</v>
      </c>
      <c r="BC3" s="27">
        <f t="shared" si="0"/>
        <v>0</v>
      </c>
      <c r="BD3" s="27">
        <f t="shared" si="0"/>
        <v>0</v>
      </c>
      <c r="BE3" s="27">
        <f t="shared" si="0"/>
        <v>0</v>
      </c>
      <c r="BF3" s="27">
        <f t="shared" si="0"/>
        <v>0</v>
      </c>
      <c r="BG3" s="27">
        <f t="shared" si="0"/>
        <v>0</v>
      </c>
      <c r="BH3" s="27">
        <f t="shared" si="0"/>
        <v>0</v>
      </c>
      <c r="BI3" s="27">
        <f t="shared" si="0"/>
        <v>0</v>
      </c>
      <c r="BJ3" s="27">
        <f t="shared" si="0"/>
        <v>0</v>
      </c>
      <c r="BK3" s="27">
        <f t="shared" si="0"/>
        <v>0</v>
      </c>
      <c r="BL3" s="27">
        <f t="shared" si="0"/>
        <v>0</v>
      </c>
      <c r="BM3" s="27">
        <f t="shared" si="0"/>
        <v>0</v>
      </c>
      <c r="BN3" s="27">
        <f t="shared" si="0"/>
        <v>0</v>
      </c>
      <c r="BO3" s="27">
        <f t="shared" si="0"/>
        <v>0</v>
      </c>
      <c r="BP3" s="27">
        <f t="shared" si="0"/>
        <v>0</v>
      </c>
      <c r="BQ3" s="27">
        <f t="shared" si="0"/>
        <v>0</v>
      </c>
      <c r="BR3" s="27">
        <f t="shared" si="0"/>
        <v>0</v>
      </c>
      <c r="BS3" s="27">
        <f t="shared" si="0"/>
        <v>0</v>
      </c>
      <c r="BT3" s="27">
        <f t="shared" si="0"/>
        <v>0</v>
      </c>
      <c r="BU3" s="27">
        <f t="shared" si="0"/>
        <v>0</v>
      </c>
      <c r="BV3" s="27">
        <f t="shared" si="0"/>
        <v>0</v>
      </c>
      <c r="BW3" s="27">
        <f t="shared" si="0"/>
        <v>0</v>
      </c>
      <c r="BX3" s="27">
        <f t="shared" si="0"/>
        <v>0</v>
      </c>
      <c r="BY3" s="27">
        <f t="shared" si="0"/>
        <v>0</v>
      </c>
      <c r="BZ3" s="27">
        <f t="shared" si="0"/>
        <v>0</v>
      </c>
      <c r="CA3" s="27">
        <f t="shared" si="0"/>
        <v>0</v>
      </c>
      <c r="CB3" s="27">
        <f t="shared" si="0"/>
        <v>0</v>
      </c>
      <c r="CC3" s="27">
        <f t="shared" si="0"/>
        <v>0</v>
      </c>
      <c r="CD3" s="27">
        <f t="shared" si="0"/>
        <v>0</v>
      </c>
      <c r="CE3" s="27">
        <f t="shared" si="0"/>
        <v>0</v>
      </c>
      <c r="CF3" s="27">
        <f t="shared" si="0"/>
        <v>0</v>
      </c>
      <c r="CG3" s="27">
        <f t="shared" si="0"/>
        <v>0</v>
      </c>
      <c r="CH3" s="27">
        <f t="shared" si="0"/>
        <v>0</v>
      </c>
      <c r="CI3" s="27">
        <f t="shared" si="0"/>
        <v>0</v>
      </c>
      <c r="CJ3" s="27">
        <f t="shared" si="0"/>
        <v>0</v>
      </c>
      <c r="CK3" s="27">
        <f t="shared" si="0"/>
        <v>0</v>
      </c>
      <c r="CL3" s="27">
        <f t="shared" si="0"/>
        <v>0</v>
      </c>
      <c r="CM3" s="27">
        <f t="shared" si="0"/>
        <v>0</v>
      </c>
      <c r="CN3" s="27">
        <f t="shared" si="0"/>
        <v>0</v>
      </c>
      <c r="CO3" s="27">
        <f t="shared" si="0"/>
        <v>0</v>
      </c>
      <c r="CP3" s="27">
        <f t="shared" si="0"/>
        <v>0</v>
      </c>
      <c r="CQ3" s="27">
        <f t="shared" si="0"/>
        <v>1</v>
      </c>
      <c r="CR3" s="27">
        <f t="shared" si="0"/>
        <v>1</v>
      </c>
      <c r="CS3" s="27">
        <f t="shared" si="0"/>
        <v>1</v>
      </c>
      <c r="CT3" s="27">
        <f t="shared" si="0"/>
        <v>0</v>
      </c>
      <c r="CU3" s="27">
        <f t="shared" si="0"/>
        <v>0</v>
      </c>
      <c r="CV3" s="27">
        <f t="shared" si="0"/>
        <v>1</v>
      </c>
      <c r="CW3" s="27">
        <f t="shared" si="0"/>
        <v>0</v>
      </c>
      <c r="CX3" s="27">
        <f t="shared" si="0"/>
        <v>0</v>
      </c>
      <c r="CY3" s="27">
        <f t="shared" si="0"/>
        <v>0</v>
      </c>
      <c r="CZ3" s="27">
        <f t="shared" si="0"/>
        <v>0</v>
      </c>
      <c r="DA3" s="27">
        <f t="shared" si="0"/>
        <v>0</v>
      </c>
      <c r="DB3" s="27">
        <f t="shared" si="0"/>
        <v>0</v>
      </c>
      <c r="DC3" s="27">
        <f t="shared" si="0"/>
        <v>0</v>
      </c>
      <c r="DD3" s="27">
        <f t="shared" si="0"/>
        <v>0</v>
      </c>
      <c r="DE3" s="27">
        <f t="shared" si="0"/>
        <v>0</v>
      </c>
      <c r="DF3" s="27">
        <f t="shared" si="0"/>
        <v>0</v>
      </c>
      <c r="DG3" s="27">
        <f t="shared" si="0"/>
        <v>0</v>
      </c>
      <c r="DH3" s="27">
        <f t="shared" si="0"/>
        <v>0</v>
      </c>
      <c r="DI3" s="27">
        <f t="shared" si="0"/>
        <v>0</v>
      </c>
      <c r="DJ3" s="27">
        <f t="shared" si="0"/>
        <v>0</v>
      </c>
      <c r="DK3" s="27">
        <f t="shared" si="0"/>
        <v>0</v>
      </c>
      <c r="DL3" s="27">
        <f t="shared" si="0"/>
        <v>0</v>
      </c>
      <c r="DM3" s="27">
        <f t="shared" si="0"/>
        <v>0</v>
      </c>
      <c r="DN3" s="27">
        <f t="shared" si="0"/>
        <v>0</v>
      </c>
      <c r="DO3" s="27">
        <f t="shared" si="0"/>
        <v>0</v>
      </c>
      <c r="DP3" s="27">
        <f t="shared" si="0"/>
        <v>0</v>
      </c>
      <c r="DQ3" s="27">
        <f t="shared" si="0"/>
        <v>0</v>
      </c>
      <c r="DR3" s="27">
        <f t="shared" si="0"/>
        <v>0</v>
      </c>
      <c r="DS3" s="27">
        <f t="shared" si="0"/>
        <v>0</v>
      </c>
      <c r="DT3" s="27">
        <f t="shared" si="0"/>
        <v>0</v>
      </c>
      <c r="DU3" s="27">
        <f t="shared" si="0"/>
        <v>1</v>
      </c>
      <c r="DV3" s="27">
        <f t="shared" si="0"/>
        <v>0</v>
      </c>
      <c r="DW3" s="27">
        <f t="shared" si="0"/>
        <v>0</v>
      </c>
      <c r="DX3" s="27">
        <f t="shared" si="0"/>
        <v>1</v>
      </c>
      <c r="DY3" s="27">
        <f t="shared" si="0"/>
        <v>0</v>
      </c>
      <c r="DZ3" s="27">
        <f t="shared" si="0"/>
        <v>0</v>
      </c>
      <c r="EA3" s="27">
        <f t="shared" si="0"/>
        <v>0</v>
      </c>
      <c r="EB3" s="27">
        <f t="shared" si="0"/>
        <v>0</v>
      </c>
      <c r="EC3" s="27">
        <f t="shared" si="0"/>
        <v>0</v>
      </c>
      <c r="ED3" s="27">
        <f t="shared" si="0"/>
        <v>0</v>
      </c>
      <c r="EE3" s="27">
        <f t="shared" si="0"/>
        <v>0</v>
      </c>
      <c r="EF3" s="27">
        <f t="shared" si="0"/>
        <v>0</v>
      </c>
      <c r="EG3" s="27">
        <f t="shared" si="0"/>
        <v>0</v>
      </c>
      <c r="EH3" s="27">
        <f t="shared" si="0"/>
        <v>0</v>
      </c>
      <c r="EI3" s="27">
        <f t="shared" si="0"/>
        <v>0</v>
      </c>
      <c r="EJ3" s="27">
        <f t="shared" si="0"/>
        <v>0</v>
      </c>
      <c r="EK3" s="27">
        <f t="shared" si="0"/>
        <v>0</v>
      </c>
      <c r="EL3" s="27">
        <f t="shared" si="0"/>
        <v>0</v>
      </c>
      <c r="EM3" s="27">
        <f t="shared" si="0"/>
        <v>0</v>
      </c>
      <c r="EN3" s="27">
        <f t="shared" si="0"/>
        <v>0</v>
      </c>
      <c r="EO3" s="27">
        <f t="shared" si="0"/>
        <v>1</v>
      </c>
      <c r="EP3" s="27">
        <f t="shared" si="0"/>
        <v>1</v>
      </c>
      <c r="EQ3" s="27">
        <f t="shared" si="0"/>
        <v>0</v>
      </c>
      <c r="ER3" s="27">
        <f t="shared" si="0"/>
        <v>0</v>
      </c>
      <c r="ES3" s="27">
        <f t="shared" si="0"/>
        <v>1</v>
      </c>
      <c r="ET3" s="27">
        <f t="shared" si="0"/>
        <v>1</v>
      </c>
      <c r="EU3" s="27">
        <f t="shared" si="0"/>
        <v>1</v>
      </c>
      <c r="EV3" s="27">
        <f t="shared" si="0"/>
        <v>1</v>
      </c>
      <c r="EW3" s="27">
        <f t="shared" si="0"/>
        <v>1</v>
      </c>
      <c r="EX3" s="27">
        <f t="shared" si="0"/>
        <v>0</v>
      </c>
      <c r="EY3" s="27">
        <f t="shared" si="0"/>
        <v>0</v>
      </c>
      <c r="EZ3" s="27">
        <f t="shared" si="0"/>
        <v>0</v>
      </c>
      <c r="FA3" s="27">
        <f t="shared" si="0"/>
        <v>0</v>
      </c>
      <c r="FB3" s="27">
        <f t="shared" si="0"/>
        <v>0</v>
      </c>
      <c r="FC3" s="27">
        <f t="shared" si="0"/>
        <v>0</v>
      </c>
      <c r="FD3" s="27">
        <f t="shared" si="0"/>
        <v>0</v>
      </c>
      <c r="FE3" s="27">
        <f t="shared" si="0"/>
        <v>0</v>
      </c>
      <c r="FF3" s="27">
        <f t="shared" si="0"/>
        <v>0</v>
      </c>
      <c r="FG3" s="27">
        <f t="shared" si="0"/>
        <v>0</v>
      </c>
      <c r="FH3" s="27">
        <f t="shared" si="0"/>
        <v>0</v>
      </c>
      <c r="FI3" s="27">
        <f t="shared" si="0"/>
        <v>0</v>
      </c>
      <c r="FJ3" s="27">
        <f t="shared" si="0"/>
        <v>0</v>
      </c>
      <c r="FK3" s="27">
        <f t="shared" si="0"/>
        <v>0</v>
      </c>
      <c r="FL3" s="27">
        <f t="shared" si="0"/>
        <v>0</v>
      </c>
      <c r="FM3" s="27">
        <f t="shared" si="0"/>
        <v>0</v>
      </c>
      <c r="FN3" s="27">
        <f t="shared" si="0"/>
        <v>0</v>
      </c>
      <c r="FO3" s="27">
        <f t="shared" si="0"/>
        <v>0</v>
      </c>
      <c r="FP3" s="27">
        <f t="shared" si="0"/>
        <v>0</v>
      </c>
      <c r="FQ3" s="27">
        <f t="shared" si="0"/>
        <v>0</v>
      </c>
      <c r="FR3" s="27">
        <f t="shared" si="0"/>
        <v>0</v>
      </c>
      <c r="FS3" s="27">
        <f t="shared" si="0"/>
        <v>0</v>
      </c>
      <c r="FT3" s="27">
        <f t="shared" si="0"/>
        <v>0</v>
      </c>
      <c r="FU3" s="27">
        <f t="shared" si="0"/>
        <v>0</v>
      </c>
      <c r="FV3" s="27">
        <f t="shared" si="0"/>
        <v>0</v>
      </c>
      <c r="FW3" s="27">
        <f t="shared" si="0"/>
        <v>0</v>
      </c>
      <c r="FX3" s="27">
        <f t="shared" si="0"/>
        <v>0</v>
      </c>
      <c r="FY3" s="27">
        <f t="shared" si="0"/>
        <v>0</v>
      </c>
      <c r="FZ3" s="27">
        <f t="shared" si="0"/>
        <v>0</v>
      </c>
      <c r="GA3" s="27">
        <f t="shared" si="0"/>
        <v>0</v>
      </c>
      <c r="GB3" s="27">
        <f t="shared" si="0"/>
        <v>0</v>
      </c>
      <c r="GC3" s="27">
        <f t="shared" si="0"/>
        <v>0</v>
      </c>
      <c r="GD3" s="27">
        <f t="shared" si="0"/>
        <v>0</v>
      </c>
      <c r="GE3" s="27">
        <f t="shared" si="0"/>
        <v>0</v>
      </c>
      <c r="GF3" s="27">
        <f t="shared" si="0"/>
        <v>0</v>
      </c>
      <c r="GG3" s="27">
        <f t="shared" si="0"/>
        <v>0</v>
      </c>
      <c r="GH3" s="27">
        <f t="shared" si="0"/>
        <v>0</v>
      </c>
      <c r="GI3" s="27">
        <f t="shared" si="0"/>
        <v>0</v>
      </c>
      <c r="GJ3" s="27">
        <f t="shared" si="0"/>
        <v>0</v>
      </c>
      <c r="GK3" s="27">
        <f t="shared" si="0"/>
        <v>0</v>
      </c>
      <c r="GL3" s="27">
        <f t="shared" si="0"/>
        <v>0</v>
      </c>
      <c r="GM3" s="27">
        <f t="shared" si="0"/>
        <v>0</v>
      </c>
      <c r="GN3" s="27">
        <f t="shared" si="0"/>
        <v>0</v>
      </c>
      <c r="GO3" s="27">
        <f t="shared" si="0"/>
        <v>0</v>
      </c>
      <c r="GP3" s="27">
        <f t="shared" si="0"/>
        <v>0</v>
      </c>
      <c r="GQ3" s="27">
        <f t="shared" si="0"/>
        <v>0</v>
      </c>
      <c r="GR3" s="27">
        <f t="shared" si="0"/>
        <v>0</v>
      </c>
      <c r="GS3" s="27">
        <f t="shared" si="0"/>
        <v>0</v>
      </c>
      <c r="GT3" s="27">
        <f t="shared" si="0"/>
        <v>0</v>
      </c>
      <c r="GU3" s="27">
        <f t="shared" si="0"/>
        <v>0</v>
      </c>
      <c r="GV3" s="27">
        <f t="shared" si="0"/>
        <v>0</v>
      </c>
      <c r="GW3" s="27">
        <f t="shared" si="0"/>
        <v>0</v>
      </c>
      <c r="GX3" s="27">
        <f t="shared" si="0"/>
        <v>0</v>
      </c>
      <c r="GY3" s="27">
        <f t="shared" si="0"/>
        <v>0</v>
      </c>
      <c r="GZ3" s="27">
        <f t="shared" si="0"/>
        <v>0</v>
      </c>
      <c r="HA3" s="27">
        <f t="shared" si="0"/>
        <v>0</v>
      </c>
      <c r="HB3" s="27">
        <f t="shared" si="0"/>
        <v>0</v>
      </c>
      <c r="HC3" s="27">
        <f t="shared" si="0"/>
        <v>0</v>
      </c>
      <c r="HD3" s="27">
        <f t="shared" si="0"/>
        <v>1</v>
      </c>
      <c r="HE3" s="27">
        <f t="shared" si="0"/>
        <v>1</v>
      </c>
      <c r="HF3" s="27">
        <f t="shared" si="0"/>
        <v>1</v>
      </c>
      <c r="HG3" s="27">
        <f t="shared" si="0"/>
        <v>1</v>
      </c>
      <c r="HH3" s="27">
        <f t="shared" si="0"/>
        <v>1</v>
      </c>
      <c r="HI3" s="27">
        <f t="shared" si="0"/>
        <v>0</v>
      </c>
      <c r="HJ3" s="27">
        <f t="shared" si="0"/>
        <v>0</v>
      </c>
      <c r="HK3" s="27"/>
      <c r="HL3" s="27"/>
      <c r="HM3" s="27"/>
      <c r="HN3" s="27"/>
      <c r="HO3" s="27"/>
      <c r="HP3" s="27"/>
      <c r="HQ3" s="27"/>
      <c r="HR3" s="28"/>
      <c r="HS3" s="28"/>
      <c r="HT3" s="28"/>
      <c r="HU3" s="28"/>
      <c r="HV3" s="28"/>
      <c r="HW3" s="28"/>
      <c r="HX3" s="28"/>
      <c r="HY3" s="28"/>
      <c r="HZ3" s="28"/>
      <c r="IA3" s="28"/>
      <c r="IB3" s="28"/>
      <c r="IC3" s="28"/>
      <c r="ID3" s="28"/>
      <c r="IE3" s="28"/>
      <c r="IF3" s="28"/>
      <c r="IG3" s="28"/>
      <c r="IH3" s="28"/>
      <c r="II3" s="28"/>
      <c r="IJ3" s="28"/>
      <c r="IK3" s="28"/>
      <c r="IL3" s="28"/>
      <c r="IM3" s="28"/>
      <c r="IN3" s="28"/>
      <c r="IO3" s="28"/>
      <c r="IP3" s="28"/>
      <c r="IQ3" s="28"/>
      <c r="IR3" s="28"/>
      <c r="IS3" s="28"/>
      <c r="IT3" s="28"/>
      <c r="IU3" s="28"/>
      <c r="IV3" s="28"/>
      <c r="IW3" s="28"/>
      <c r="IX3" s="28"/>
      <c r="IY3" s="28"/>
      <c r="IZ3" s="28"/>
      <c r="JA3" s="28"/>
      <c r="JB3" s="28"/>
      <c r="JC3" s="28"/>
      <c r="JD3" s="28"/>
      <c r="JE3" s="28"/>
      <c r="JF3" s="28"/>
      <c r="JG3" s="28"/>
      <c r="JH3" s="28"/>
      <c r="JI3" s="28"/>
      <c r="JJ3" s="28"/>
      <c r="JK3" s="28"/>
      <c r="JL3" s="28"/>
      <c r="JM3" s="28"/>
      <c r="JN3" s="28"/>
      <c r="JO3" s="28"/>
      <c r="JP3" s="28"/>
      <c r="JQ3" s="28"/>
      <c r="JR3" s="28"/>
      <c r="JS3" s="28"/>
      <c r="JT3" s="28"/>
      <c r="JU3" s="28"/>
    </row>
    <row r="4" spans="1:372" ht="13" hidden="1">
      <c r="O4" s="26" t="s">
        <v>2</v>
      </c>
      <c r="P4" s="27">
        <f t="shared" ref="P4:GH4" si="1">COUNTIF(P7:P17,"OFF")</f>
        <v>2</v>
      </c>
      <c r="Q4" s="27">
        <f t="shared" si="1"/>
        <v>3</v>
      </c>
      <c r="R4" s="27">
        <f t="shared" si="1"/>
        <v>3</v>
      </c>
      <c r="S4" s="27">
        <f t="shared" si="1"/>
        <v>2</v>
      </c>
      <c r="T4" s="27">
        <f t="shared" si="1"/>
        <v>1</v>
      </c>
      <c r="U4" s="27">
        <f t="shared" si="1"/>
        <v>2</v>
      </c>
      <c r="V4" s="27">
        <f t="shared" si="1"/>
        <v>4</v>
      </c>
      <c r="W4" s="27">
        <f t="shared" si="1"/>
        <v>2</v>
      </c>
      <c r="X4" s="27">
        <f t="shared" si="1"/>
        <v>3</v>
      </c>
      <c r="Y4" s="27">
        <f t="shared" si="1"/>
        <v>2</v>
      </c>
      <c r="Z4" s="27">
        <f t="shared" si="1"/>
        <v>1</v>
      </c>
      <c r="AA4" s="27">
        <f t="shared" si="1"/>
        <v>3</v>
      </c>
      <c r="AB4" s="27">
        <f t="shared" si="1"/>
        <v>5</v>
      </c>
      <c r="AC4" s="27">
        <f t="shared" si="1"/>
        <v>2</v>
      </c>
      <c r="AD4" s="27">
        <f t="shared" si="1"/>
        <v>0</v>
      </c>
      <c r="AE4" s="27">
        <f t="shared" si="1"/>
        <v>2</v>
      </c>
      <c r="AF4" s="27">
        <f t="shared" si="1"/>
        <v>3</v>
      </c>
      <c r="AG4" s="27">
        <f t="shared" si="1"/>
        <v>2</v>
      </c>
      <c r="AH4" s="27">
        <f t="shared" si="1"/>
        <v>3</v>
      </c>
      <c r="AI4" s="27">
        <f t="shared" si="1"/>
        <v>4</v>
      </c>
      <c r="AJ4" s="27">
        <f t="shared" si="1"/>
        <v>4</v>
      </c>
      <c r="AK4" s="27">
        <f t="shared" si="1"/>
        <v>2</v>
      </c>
      <c r="AL4" s="27">
        <f t="shared" si="1"/>
        <v>2</v>
      </c>
      <c r="AM4" s="27">
        <f t="shared" si="1"/>
        <v>2</v>
      </c>
      <c r="AN4" s="27">
        <f t="shared" si="1"/>
        <v>2</v>
      </c>
      <c r="AO4" s="27">
        <f t="shared" si="1"/>
        <v>2</v>
      </c>
      <c r="AP4" s="27">
        <f t="shared" si="1"/>
        <v>5</v>
      </c>
      <c r="AQ4" s="27">
        <f t="shared" si="1"/>
        <v>3</v>
      </c>
      <c r="AR4" s="27">
        <f t="shared" si="1"/>
        <v>2</v>
      </c>
      <c r="AS4" s="27">
        <f t="shared" si="1"/>
        <v>2</v>
      </c>
      <c r="AT4" s="27">
        <f t="shared" si="1"/>
        <v>1</v>
      </c>
      <c r="AU4" s="27">
        <f t="shared" si="1"/>
        <v>1</v>
      </c>
      <c r="AV4" s="27">
        <f t="shared" si="1"/>
        <v>2</v>
      </c>
      <c r="AW4" s="27">
        <f t="shared" si="1"/>
        <v>7</v>
      </c>
      <c r="AX4" s="27">
        <f t="shared" si="1"/>
        <v>7</v>
      </c>
      <c r="AY4" s="27">
        <f t="shared" si="1"/>
        <v>2</v>
      </c>
      <c r="AZ4" s="27">
        <f t="shared" si="1"/>
        <v>3</v>
      </c>
      <c r="BA4" s="27">
        <f t="shared" si="1"/>
        <v>3</v>
      </c>
      <c r="BB4" s="27">
        <f t="shared" si="1"/>
        <v>2</v>
      </c>
      <c r="BC4" s="27">
        <f t="shared" si="1"/>
        <v>2</v>
      </c>
      <c r="BD4" s="27">
        <f t="shared" si="1"/>
        <v>5</v>
      </c>
      <c r="BE4" s="27">
        <f t="shared" si="1"/>
        <v>5</v>
      </c>
      <c r="BF4" s="27">
        <f t="shared" si="1"/>
        <v>3</v>
      </c>
      <c r="BG4" s="27">
        <f t="shared" si="1"/>
        <v>3</v>
      </c>
      <c r="BH4" s="27">
        <f t="shared" si="1"/>
        <v>2</v>
      </c>
      <c r="BI4" s="27">
        <f t="shared" si="1"/>
        <v>2</v>
      </c>
      <c r="BJ4" s="27">
        <f t="shared" si="1"/>
        <v>3</v>
      </c>
      <c r="BK4" s="27">
        <f t="shared" si="1"/>
        <v>5</v>
      </c>
      <c r="BL4" s="27">
        <f t="shared" si="1"/>
        <v>4</v>
      </c>
      <c r="BM4" s="27">
        <f t="shared" si="1"/>
        <v>3</v>
      </c>
      <c r="BN4" s="27">
        <f t="shared" si="1"/>
        <v>3</v>
      </c>
      <c r="BO4" s="27">
        <f t="shared" si="1"/>
        <v>3</v>
      </c>
      <c r="BP4" s="27">
        <f t="shared" si="1"/>
        <v>2</v>
      </c>
      <c r="BQ4" s="27">
        <f t="shared" si="1"/>
        <v>3</v>
      </c>
      <c r="BR4" s="27">
        <f t="shared" si="1"/>
        <v>4</v>
      </c>
      <c r="BS4" s="27">
        <f t="shared" si="1"/>
        <v>4</v>
      </c>
      <c r="BT4" s="27">
        <f t="shared" si="1"/>
        <v>3</v>
      </c>
      <c r="BU4" s="27">
        <f t="shared" si="1"/>
        <v>2</v>
      </c>
      <c r="BV4" s="27">
        <f t="shared" si="1"/>
        <v>2</v>
      </c>
      <c r="BW4" s="27">
        <f t="shared" si="1"/>
        <v>3</v>
      </c>
      <c r="BX4" s="27">
        <f t="shared" si="1"/>
        <v>3</v>
      </c>
      <c r="BY4" s="27">
        <f t="shared" si="1"/>
        <v>4</v>
      </c>
      <c r="BZ4" s="27">
        <f t="shared" si="1"/>
        <v>5</v>
      </c>
      <c r="CA4" s="27">
        <f t="shared" si="1"/>
        <v>3</v>
      </c>
      <c r="CB4" s="27">
        <f t="shared" si="1"/>
        <v>3</v>
      </c>
      <c r="CC4" s="27">
        <f t="shared" si="1"/>
        <v>1</v>
      </c>
      <c r="CD4" s="27">
        <f t="shared" si="1"/>
        <v>2</v>
      </c>
      <c r="CE4" s="27">
        <f t="shared" si="1"/>
        <v>3</v>
      </c>
      <c r="CF4" s="27">
        <f t="shared" si="1"/>
        <v>4</v>
      </c>
      <c r="CG4" s="27">
        <f t="shared" si="1"/>
        <v>6</v>
      </c>
      <c r="CH4" s="27">
        <f t="shared" si="1"/>
        <v>2</v>
      </c>
      <c r="CI4" s="27">
        <f t="shared" si="1"/>
        <v>3</v>
      </c>
      <c r="CJ4" s="27">
        <f t="shared" si="1"/>
        <v>2</v>
      </c>
      <c r="CK4" s="27">
        <f t="shared" si="1"/>
        <v>1</v>
      </c>
      <c r="CL4" s="27">
        <f t="shared" si="1"/>
        <v>2</v>
      </c>
      <c r="CM4" s="27">
        <f t="shared" si="1"/>
        <v>5</v>
      </c>
      <c r="CN4" s="27">
        <f t="shared" si="1"/>
        <v>7</v>
      </c>
      <c r="CO4" s="27">
        <f t="shared" si="1"/>
        <v>2</v>
      </c>
      <c r="CP4" s="27">
        <f t="shared" si="1"/>
        <v>3</v>
      </c>
      <c r="CQ4" s="27">
        <f t="shared" si="1"/>
        <v>2</v>
      </c>
      <c r="CR4" s="27">
        <f t="shared" si="1"/>
        <v>2</v>
      </c>
      <c r="CS4" s="27">
        <f t="shared" si="1"/>
        <v>1</v>
      </c>
      <c r="CT4" s="27">
        <f t="shared" si="1"/>
        <v>6</v>
      </c>
      <c r="CU4" s="27">
        <f t="shared" si="1"/>
        <v>6</v>
      </c>
      <c r="CV4" s="27">
        <f t="shared" si="1"/>
        <v>2</v>
      </c>
      <c r="CW4" s="27">
        <f t="shared" si="1"/>
        <v>0</v>
      </c>
      <c r="CX4" s="27">
        <f t="shared" si="1"/>
        <v>3</v>
      </c>
      <c r="CY4" s="27">
        <f t="shared" si="1"/>
        <v>3</v>
      </c>
      <c r="CZ4" s="27">
        <f t="shared" si="1"/>
        <v>2</v>
      </c>
      <c r="DA4" s="27">
        <f t="shared" si="1"/>
        <v>6</v>
      </c>
      <c r="DB4" s="27">
        <f t="shared" si="1"/>
        <v>6</v>
      </c>
      <c r="DC4" s="27">
        <f t="shared" si="1"/>
        <v>2</v>
      </c>
      <c r="DD4" s="27">
        <f t="shared" si="1"/>
        <v>1</v>
      </c>
      <c r="DE4" s="27">
        <f t="shared" si="1"/>
        <v>2</v>
      </c>
      <c r="DF4" s="27">
        <f t="shared" si="1"/>
        <v>1</v>
      </c>
      <c r="DG4" s="27">
        <f t="shared" si="1"/>
        <v>3</v>
      </c>
      <c r="DH4" s="27">
        <f t="shared" si="1"/>
        <v>6</v>
      </c>
      <c r="DI4" s="27">
        <f t="shared" si="1"/>
        <v>7</v>
      </c>
      <c r="DJ4" s="27">
        <f t="shared" si="1"/>
        <v>3</v>
      </c>
      <c r="DK4" s="27">
        <f t="shared" si="1"/>
        <v>1</v>
      </c>
      <c r="DL4" s="27">
        <f t="shared" si="1"/>
        <v>3</v>
      </c>
      <c r="DM4" s="27">
        <f t="shared" si="1"/>
        <v>4</v>
      </c>
      <c r="DN4" s="27">
        <f t="shared" si="1"/>
        <v>2</v>
      </c>
      <c r="DO4" s="27">
        <f t="shared" si="1"/>
        <v>5</v>
      </c>
      <c r="DP4" s="27">
        <f t="shared" si="1"/>
        <v>4</v>
      </c>
      <c r="DQ4" s="27">
        <f t="shared" si="1"/>
        <v>2</v>
      </c>
      <c r="DR4" s="27">
        <f t="shared" si="1"/>
        <v>2</v>
      </c>
      <c r="DS4" s="27">
        <f t="shared" si="1"/>
        <v>3</v>
      </c>
      <c r="DT4" s="27">
        <f t="shared" si="1"/>
        <v>3</v>
      </c>
      <c r="DU4" s="27">
        <f t="shared" si="1"/>
        <v>3</v>
      </c>
      <c r="DV4" s="27">
        <f t="shared" si="1"/>
        <v>4</v>
      </c>
      <c r="DW4" s="27">
        <f t="shared" si="1"/>
        <v>5</v>
      </c>
      <c r="DX4" s="27">
        <f t="shared" si="1"/>
        <v>2</v>
      </c>
      <c r="DY4" s="27">
        <f t="shared" si="1"/>
        <v>2</v>
      </c>
      <c r="DZ4" s="27">
        <f t="shared" si="1"/>
        <v>3</v>
      </c>
      <c r="EA4" s="27">
        <f t="shared" si="1"/>
        <v>2</v>
      </c>
      <c r="EB4" s="27">
        <f t="shared" si="1"/>
        <v>2</v>
      </c>
      <c r="EC4" s="27">
        <f t="shared" si="1"/>
        <v>5</v>
      </c>
      <c r="ED4" s="27">
        <f t="shared" si="1"/>
        <v>6</v>
      </c>
      <c r="EE4" s="27">
        <f t="shared" si="1"/>
        <v>2</v>
      </c>
      <c r="EF4" s="27">
        <f t="shared" si="1"/>
        <v>0</v>
      </c>
      <c r="EG4" s="27">
        <f t="shared" si="1"/>
        <v>2</v>
      </c>
      <c r="EH4" s="27">
        <f t="shared" si="1"/>
        <v>6</v>
      </c>
      <c r="EI4" s="27">
        <f t="shared" si="1"/>
        <v>3</v>
      </c>
      <c r="EJ4" s="27">
        <f t="shared" si="1"/>
        <v>4</v>
      </c>
      <c r="EK4" s="27">
        <f t="shared" si="1"/>
        <v>5</v>
      </c>
      <c r="EL4" s="27">
        <f t="shared" si="1"/>
        <v>4</v>
      </c>
      <c r="EM4" s="27">
        <f t="shared" si="1"/>
        <v>3</v>
      </c>
      <c r="EN4" s="27">
        <f t="shared" si="1"/>
        <v>2</v>
      </c>
      <c r="EO4" s="27">
        <f t="shared" si="1"/>
        <v>7</v>
      </c>
      <c r="EP4" s="27">
        <f t="shared" si="1"/>
        <v>1</v>
      </c>
      <c r="EQ4" s="27">
        <f t="shared" si="1"/>
        <v>2</v>
      </c>
      <c r="ER4" s="27">
        <f t="shared" si="1"/>
        <v>3</v>
      </c>
      <c r="ES4" s="27">
        <f t="shared" si="1"/>
        <v>2</v>
      </c>
      <c r="ET4" s="27">
        <f t="shared" si="1"/>
        <v>3</v>
      </c>
      <c r="EU4" s="27">
        <f t="shared" si="1"/>
        <v>3</v>
      </c>
      <c r="EV4" s="27">
        <f t="shared" si="1"/>
        <v>2</v>
      </c>
      <c r="EW4" s="27">
        <f t="shared" si="1"/>
        <v>3</v>
      </c>
      <c r="EX4" s="27">
        <f t="shared" si="1"/>
        <v>4</v>
      </c>
      <c r="EY4" s="27">
        <f t="shared" si="1"/>
        <v>5</v>
      </c>
      <c r="EZ4" s="27">
        <f t="shared" si="1"/>
        <v>2</v>
      </c>
      <c r="FA4" s="27">
        <f t="shared" si="1"/>
        <v>1</v>
      </c>
      <c r="FB4" s="27">
        <f t="shared" si="1"/>
        <v>2</v>
      </c>
      <c r="FC4" s="27">
        <f t="shared" si="1"/>
        <v>3</v>
      </c>
      <c r="FD4" s="27">
        <f t="shared" si="1"/>
        <v>2</v>
      </c>
      <c r="FE4" s="27">
        <f t="shared" si="1"/>
        <v>5</v>
      </c>
      <c r="FF4" s="27">
        <f t="shared" si="1"/>
        <v>7</v>
      </c>
      <c r="FG4" s="27">
        <f t="shared" si="1"/>
        <v>3</v>
      </c>
      <c r="FH4" s="27">
        <f t="shared" si="1"/>
        <v>1</v>
      </c>
      <c r="FI4" s="27">
        <f t="shared" si="1"/>
        <v>1</v>
      </c>
      <c r="FJ4" s="27">
        <f t="shared" si="1"/>
        <v>3</v>
      </c>
      <c r="FK4" s="27">
        <f t="shared" si="1"/>
        <v>3</v>
      </c>
      <c r="FL4" s="27">
        <f t="shared" si="1"/>
        <v>5</v>
      </c>
      <c r="FM4" s="27">
        <f t="shared" si="1"/>
        <v>6</v>
      </c>
      <c r="FN4" s="27">
        <f t="shared" si="1"/>
        <v>2</v>
      </c>
      <c r="FO4" s="27">
        <f t="shared" si="1"/>
        <v>1</v>
      </c>
      <c r="FP4" s="27">
        <f t="shared" si="1"/>
        <v>1</v>
      </c>
      <c r="FQ4" s="27">
        <f t="shared" si="1"/>
        <v>2</v>
      </c>
      <c r="FR4" s="27">
        <f t="shared" si="1"/>
        <v>3</v>
      </c>
      <c r="FS4" s="27">
        <f t="shared" si="1"/>
        <v>6</v>
      </c>
      <c r="FT4" s="27">
        <f t="shared" si="1"/>
        <v>7</v>
      </c>
      <c r="FU4" s="27">
        <f t="shared" si="1"/>
        <v>2</v>
      </c>
      <c r="FV4" s="27">
        <f t="shared" si="1"/>
        <v>2</v>
      </c>
      <c r="FW4" s="27">
        <f t="shared" si="1"/>
        <v>2</v>
      </c>
      <c r="FX4" s="27">
        <f t="shared" si="1"/>
        <v>3</v>
      </c>
      <c r="FY4" s="27">
        <f t="shared" si="1"/>
        <v>2</v>
      </c>
      <c r="FZ4" s="27">
        <f t="shared" si="1"/>
        <v>6</v>
      </c>
      <c r="GA4" s="27">
        <f t="shared" si="1"/>
        <v>5</v>
      </c>
      <c r="GB4" s="27">
        <f t="shared" si="1"/>
        <v>3</v>
      </c>
      <c r="GC4" s="27">
        <f t="shared" si="1"/>
        <v>2</v>
      </c>
      <c r="GD4" s="27">
        <f t="shared" si="1"/>
        <v>3</v>
      </c>
      <c r="GE4" s="27">
        <f t="shared" si="1"/>
        <v>2</v>
      </c>
      <c r="GF4" s="27">
        <f t="shared" si="1"/>
        <v>3</v>
      </c>
      <c r="GG4" s="27">
        <f t="shared" si="1"/>
        <v>4</v>
      </c>
      <c r="GH4" s="27">
        <f t="shared" si="1"/>
        <v>5</v>
      </c>
      <c r="GI4" s="27">
        <f t="shared" ref="GI4:GO4" si="2">COUNTIF(GI7:GI19,"OFF")</f>
        <v>3</v>
      </c>
      <c r="GJ4" s="27">
        <f t="shared" si="2"/>
        <v>3</v>
      </c>
      <c r="GK4" s="27">
        <f t="shared" si="2"/>
        <v>3</v>
      </c>
      <c r="GL4" s="27">
        <f t="shared" si="2"/>
        <v>2</v>
      </c>
      <c r="GM4" s="27">
        <f t="shared" si="2"/>
        <v>2</v>
      </c>
      <c r="GN4" s="27">
        <f t="shared" si="2"/>
        <v>6</v>
      </c>
      <c r="GO4" s="27">
        <f t="shared" si="2"/>
        <v>7</v>
      </c>
      <c r="GP4" s="27">
        <f t="shared" ref="GP4:HJ4" si="3">COUNTIF(GP7:GP17,"OFF")</f>
        <v>2</v>
      </c>
      <c r="GQ4" s="27">
        <f t="shared" si="3"/>
        <v>3</v>
      </c>
      <c r="GR4" s="27">
        <f t="shared" si="3"/>
        <v>2</v>
      </c>
      <c r="GS4" s="27">
        <f t="shared" si="3"/>
        <v>1</v>
      </c>
      <c r="GT4" s="27">
        <f t="shared" si="3"/>
        <v>2</v>
      </c>
      <c r="GU4" s="27">
        <f t="shared" si="3"/>
        <v>6</v>
      </c>
      <c r="GV4" s="27">
        <f t="shared" si="3"/>
        <v>6</v>
      </c>
      <c r="GW4" s="27">
        <f t="shared" si="3"/>
        <v>3</v>
      </c>
      <c r="GX4" s="27">
        <f t="shared" si="3"/>
        <v>2</v>
      </c>
      <c r="GY4" s="27">
        <f t="shared" si="3"/>
        <v>2</v>
      </c>
      <c r="GZ4" s="27">
        <f t="shared" si="3"/>
        <v>3</v>
      </c>
      <c r="HA4" s="27">
        <f t="shared" si="3"/>
        <v>3</v>
      </c>
      <c r="HB4" s="27">
        <f t="shared" si="3"/>
        <v>4</v>
      </c>
      <c r="HC4" s="27">
        <f t="shared" si="3"/>
        <v>5</v>
      </c>
      <c r="HD4" s="27">
        <f t="shared" si="3"/>
        <v>2</v>
      </c>
      <c r="HE4" s="27">
        <f t="shared" si="3"/>
        <v>3</v>
      </c>
      <c r="HF4" s="27">
        <f t="shared" si="3"/>
        <v>2</v>
      </c>
      <c r="HG4" s="27">
        <f t="shared" si="3"/>
        <v>1</v>
      </c>
      <c r="HH4" s="27">
        <f t="shared" si="3"/>
        <v>2</v>
      </c>
      <c r="HI4" s="27">
        <f t="shared" si="3"/>
        <v>6</v>
      </c>
      <c r="HJ4" s="27">
        <f t="shared" si="3"/>
        <v>6</v>
      </c>
      <c r="HK4" s="27"/>
      <c r="HL4" s="27"/>
      <c r="HM4" s="27"/>
      <c r="HN4" s="27"/>
      <c r="HO4" s="27"/>
      <c r="HP4" s="27"/>
      <c r="HQ4" s="27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</row>
    <row r="5" spans="1:372" ht="13" hidden="1">
      <c r="O5" s="3"/>
      <c r="P5" s="29">
        <f t="shared" ref="P5:HJ5" si="4">COUNTIFS(P7:P16,"&lt;&gt;"&amp;"OFF",P7:P16,"&lt;&gt;"&amp;"ABS",P7:P16,"&lt;&gt;"&amp;"CP",P7:P16,"&lt;&gt;"&amp;"FERIE",P7:P16,"&lt;&gt;*🎧*")</f>
        <v>7</v>
      </c>
      <c r="Q5" s="29">
        <f t="shared" si="4"/>
        <v>6</v>
      </c>
      <c r="R5" s="29">
        <f t="shared" si="4"/>
        <v>6</v>
      </c>
      <c r="S5" s="29">
        <f t="shared" si="4"/>
        <v>5</v>
      </c>
      <c r="T5" s="29">
        <f t="shared" si="4"/>
        <v>7</v>
      </c>
      <c r="U5" s="29">
        <f t="shared" si="4"/>
        <v>6</v>
      </c>
      <c r="V5" s="29">
        <f t="shared" si="4"/>
        <v>3</v>
      </c>
      <c r="W5" s="29">
        <f t="shared" si="4"/>
        <v>5</v>
      </c>
      <c r="X5" s="29">
        <f t="shared" si="4"/>
        <v>5</v>
      </c>
      <c r="Y5" s="29">
        <f t="shared" si="4"/>
        <v>5</v>
      </c>
      <c r="Z5" s="29">
        <f t="shared" si="4"/>
        <v>6</v>
      </c>
      <c r="AA5" s="29">
        <f t="shared" si="4"/>
        <v>5</v>
      </c>
      <c r="AB5" s="29">
        <f t="shared" si="4"/>
        <v>4</v>
      </c>
      <c r="AC5" s="29">
        <f t="shared" si="4"/>
        <v>4</v>
      </c>
      <c r="AD5" s="29">
        <f t="shared" si="4"/>
        <v>7</v>
      </c>
      <c r="AE5" s="29">
        <f t="shared" si="4"/>
        <v>6</v>
      </c>
      <c r="AF5" s="29">
        <f t="shared" si="4"/>
        <v>5</v>
      </c>
      <c r="AG5" s="29">
        <f t="shared" si="4"/>
        <v>6</v>
      </c>
      <c r="AH5" s="29">
        <f t="shared" si="4"/>
        <v>6</v>
      </c>
      <c r="AI5" s="29">
        <f t="shared" si="4"/>
        <v>4</v>
      </c>
      <c r="AJ5" s="29">
        <f t="shared" si="4"/>
        <v>4</v>
      </c>
      <c r="AK5" s="29">
        <f t="shared" si="4"/>
        <v>5</v>
      </c>
      <c r="AL5" s="29">
        <f t="shared" si="4"/>
        <v>6</v>
      </c>
      <c r="AM5" s="29">
        <f t="shared" si="4"/>
        <v>6</v>
      </c>
      <c r="AN5" s="29">
        <f t="shared" si="4"/>
        <v>5</v>
      </c>
      <c r="AO5" s="29">
        <f t="shared" si="4"/>
        <v>5</v>
      </c>
      <c r="AP5" s="29">
        <f t="shared" si="4"/>
        <v>2</v>
      </c>
      <c r="AQ5" s="29">
        <f t="shared" si="4"/>
        <v>5</v>
      </c>
      <c r="AR5" s="29">
        <f t="shared" si="4"/>
        <v>5</v>
      </c>
      <c r="AS5" s="29">
        <f t="shared" si="4"/>
        <v>4</v>
      </c>
      <c r="AT5" s="29">
        <f t="shared" si="4"/>
        <v>5</v>
      </c>
      <c r="AU5" s="29">
        <f t="shared" si="4"/>
        <v>0</v>
      </c>
      <c r="AV5" s="29">
        <f t="shared" si="4"/>
        <v>0</v>
      </c>
      <c r="AW5" s="29">
        <f t="shared" si="4"/>
        <v>0</v>
      </c>
      <c r="AX5" s="29">
        <f t="shared" si="4"/>
        <v>2</v>
      </c>
      <c r="AY5" s="29">
        <f t="shared" si="4"/>
        <v>5</v>
      </c>
      <c r="AZ5" s="29">
        <f t="shared" si="4"/>
        <v>4</v>
      </c>
      <c r="BA5" s="29">
        <f t="shared" si="4"/>
        <v>4</v>
      </c>
      <c r="BB5" s="29">
        <f t="shared" si="4"/>
        <v>5</v>
      </c>
      <c r="BC5" s="29">
        <f t="shared" si="4"/>
        <v>6</v>
      </c>
      <c r="BD5" s="29">
        <f t="shared" si="4"/>
        <v>5</v>
      </c>
      <c r="BE5" s="29">
        <f t="shared" si="4"/>
        <v>2</v>
      </c>
      <c r="BF5" s="29">
        <f t="shared" si="4"/>
        <v>0</v>
      </c>
      <c r="BG5" s="29">
        <f t="shared" si="4"/>
        <v>0</v>
      </c>
      <c r="BH5" s="29">
        <f t="shared" si="4"/>
        <v>0</v>
      </c>
      <c r="BI5" s="29">
        <f t="shared" si="4"/>
        <v>0</v>
      </c>
      <c r="BJ5" s="29">
        <f t="shared" si="4"/>
        <v>0</v>
      </c>
      <c r="BK5" s="29">
        <f t="shared" si="4"/>
        <v>0</v>
      </c>
      <c r="BL5" s="29">
        <f t="shared" si="4"/>
        <v>4</v>
      </c>
      <c r="BM5" s="29">
        <f t="shared" si="4"/>
        <v>0</v>
      </c>
      <c r="BN5" s="29">
        <f t="shared" si="4"/>
        <v>0</v>
      </c>
      <c r="BO5" s="29">
        <f t="shared" si="4"/>
        <v>0</v>
      </c>
      <c r="BP5" s="29">
        <f t="shared" si="4"/>
        <v>0</v>
      </c>
      <c r="BQ5" s="29">
        <f t="shared" si="4"/>
        <v>0</v>
      </c>
      <c r="BR5" s="29">
        <f t="shared" si="4"/>
        <v>0</v>
      </c>
      <c r="BS5" s="29">
        <f t="shared" si="4"/>
        <v>2</v>
      </c>
      <c r="BT5" s="29">
        <f t="shared" si="4"/>
        <v>0</v>
      </c>
      <c r="BU5" s="29">
        <f t="shared" si="4"/>
        <v>0</v>
      </c>
      <c r="BV5" s="29">
        <f t="shared" si="4"/>
        <v>0</v>
      </c>
      <c r="BW5" s="29">
        <f t="shared" si="4"/>
        <v>0</v>
      </c>
      <c r="BX5" s="29">
        <f t="shared" si="4"/>
        <v>0</v>
      </c>
      <c r="BY5" s="29">
        <f t="shared" si="4"/>
        <v>0</v>
      </c>
      <c r="BZ5" s="29">
        <f t="shared" si="4"/>
        <v>2</v>
      </c>
      <c r="CA5" s="29">
        <f t="shared" si="4"/>
        <v>1</v>
      </c>
      <c r="CB5" s="29">
        <f t="shared" si="4"/>
        <v>1</v>
      </c>
      <c r="CC5" s="29">
        <f t="shared" si="4"/>
        <v>1</v>
      </c>
      <c r="CD5" s="29">
        <f t="shared" si="4"/>
        <v>0</v>
      </c>
      <c r="CE5" s="29">
        <f t="shared" si="4"/>
        <v>0</v>
      </c>
      <c r="CF5" s="29">
        <f t="shared" si="4"/>
        <v>1</v>
      </c>
      <c r="CG5" s="29">
        <f t="shared" si="4"/>
        <v>2</v>
      </c>
      <c r="CH5" s="29">
        <f t="shared" si="4"/>
        <v>1</v>
      </c>
      <c r="CI5" s="29">
        <f t="shared" si="4"/>
        <v>1</v>
      </c>
      <c r="CJ5" s="29">
        <f t="shared" si="4"/>
        <v>1</v>
      </c>
      <c r="CK5" s="29">
        <f t="shared" si="4"/>
        <v>1</v>
      </c>
      <c r="CL5" s="29">
        <f t="shared" si="4"/>
        <v>0</v>
      </c>
      <c r="CM5" s="29">
        <f t="shared" si="4"/>
        <v>0</v>
      </c>
      <c r="CN5" s="29">
        <f t="shared" si="4"/>
        <v>2</v>
      </c>
      <c r="CO5" s="29">
        <f t="shared" si="4"/>
        <v>1</v>
      </c>
      <c r="CP5" s="29">
        <f t="shared" si="4"/>
        <v>1</v>
      </c>
      <c r="CQ5" s="29">
        <f t="shared" si="4"/>
        <v>2</v>
      </c>
      <c r="CR5" s="29">
        <f t="shared" si="4"/>
        <v>2</v>
      </c>
      <c r="CS5" s="29">
        <f t="shared" si="4"/>
        <v>1</v>
      </c>
      <c r="CT5" s="29">
        <f t="shared" si="4"/>
        <v>0</v>
      </c>
      <c r="CU5" s="29">
        <f t="shared" si="4"/>
        <v>2</v>
      </c>
      <c r="CV5" s="29">
        <f t="shared" si="4"/>
        <v>1</v>
      </c>
      <c r="CW5" s="29">
        <f t="shared" si="4"/>
        <v>0</v>
      </c>
      <c r="CX5" s="29">
        <f t="shared" si="4"/>
        <v>0</v>
      </c>
      <c r="CY5" s="29">
        <f t="shared" si="4"/>
        <v>0</v>
      </c>
      <c r="CZ5" s="29">
        <f t="shared" si="4"/>
        <v>1</v>
      </c>
      <c r="DA5" s="29">
        <f t="shared" si="4"/>
        <v>0</v>
      </c>
      <c r="DB5" s="29">
        <f t="shared" si="4"/>
        <v>3</v>
      </c>
      <c r="DC5" s="29">
        <f t="shared" si="4"/>
        <v>8</v>
      </c>
      <c r="DD5" s="29">
        <f t="shared" si="4"/>
        <v>9</v>
      </c>
      <c r="DE5" s="29">
        <f t="shared" si="4"/>
        <v>8</v>
      </c>
      <c r="DF5" s="29">
        <f t="shared" si="4"/>
        <v>9</v>
      </c>
      <c r="DG5" s="29">
        <f t="shared" si="4"/>
        <v>7</v>
      </c>
      <c r="DH5" s="29">
        <f t="shared" si="4"/>
        <v>5</v>
      </c>
      <c r="DI5" s="29">
        <f t="shared" si="4"/>
        <v>4</v>
      </c>
      <c r="DJ5" s="29">
        <f t="shared" si="4"/>
        <v>7</v>
      </c>
      <c r="DK5" s="29">
        <f t="shared" si="4"/>
        <v>9</v>
      </c>
      <c r="DL5" s="29">
        <f t="shared" si="4"/>
        <v>7</v>
      </c>
      <c r="DM5" s="29">
        <f t="shared" si="4"/>
        <v>6</v>
      </c>
      <c r="DN5" s="29">
        <f t="shared" si="4"/>
        <v>8</v>
      </c>
      <c r="DO5" s="29">
        <f t="shared" si="4"/>
        <v>6</v>
      </c>
      <c r="DP5" s="29">
        <f t="shared" si="4"/>
        <v>7</v>
      </c>
      <c r="DQ5" s="29">
        <f t="shared" si="4"/>
        <v>8</v>
      </c>
      <c r="DR5" s="29">
        <f t="shared" si="4"/>
        <v>8</v>
      </c>
      <c r="DS5" s="29">
        <f t="shared" si="4"/>
        <v>7</v>
      </c>
      <c r="DT5" s="29">
        <f t="shared" si="4"/>
        <v>7</v>
      </c>
      <c r="DU5" s="29">
        <f t="shared" si="4"/>
        <v>7</v>
      </c>
      <c r="DV5" s="29">
        <f t="shared" si="4"/>
        <v>7</v>
      </c>
      <c r="DW5" s="29">
        <f t="shared" si="4"/>
        <v>6</v>
      </c>
      <c r="DX5" s="29">
        <f t="shared" si="4"/>
        <v>9</v>
      </c>
      <c r="DY5" s="29">
        <f t="shared" si="4"/>
        <v>8</v>
      </c>
      <c r="DZ5" s="29">
        <f t="shared" si="4"/>
        <v>7</v>
      </c>
      <c r="EA5" s="29">
        <f t="shared" si="4"/>
        <v>8</v>
      </c>
      <c r="EB5" s="29">
        <f t="shared" si="4"/>
        <v>8</v>
      </c>
      <c r="EC5" s="29">
        <f t="shared" si="4"/>
        <v>5</v>
      </c>
      <c r="ED5" s="29">
        <f t="shared" si="4"/>
        <v>5</v>
      </c>
      <c r="EE5" s="29">
        <f t="shared" si="4"/>
        <v>8</v>
      </c>
      <c r="EF5" s="29">
        <f t="shared" si="4"/>
        <v>10</v>
      </c>
      <c r="EG5" s="29">
        <f t="shared" si="4"/>
        <v>8</v>
      </c>
      <c r="EH5" s="29">
        <f t="shared" si="4"/>
        <v>4</v>
      </c>
      <c r="EI5" s="29">
        <f t="shared" si="4"/>
        <v>7</v>
      </c>
      <c r="EJ5" s="29">
        <f t="shared" si="4"/>
        <v>7</v>
      </c>
      <c r="EK5" s="29">
        <f t="shared" si="4"/>
        <v>6</v>
      </c>
      <c r="EL5" s="29">
        <f t="shared" si="4"/>
        <v>6</v>
      </c>
      <c r="EM5" s="29">
        <f t="shared" si="4"/>
        <v>7</v>
      </c>
      <c r="EN5" s="29">
        <f t="shared" si="4"/>
        <v>8</v>
      </c>
      <c r="EO5" s="29">
        <f t="shared" si="4"/>
        <v>4</v>
      </c>
      <c r="EP5" s="29">
        <f t="shared" si="4"/>
        <v>9</v>
      </c>
      <c r="EQ5" s="29">
        <f t="shared" si="4"/>
        <v>9</v>
      </c>
      <c r="ER5" s="29">
        <f t="shared" si="4"/>
        <v>7</v>
      </c>
      <c r="ES5" s="29">
        <f t="shared" si="4"/>
        <v>8</v>
      </c>
      <c r="ET5" s="29">
        <f t="shared" si="4"/>
        <v>7</v>
      </c>
      <c r="EU5" s="29">
        <f t="shared" si="4"/>
        <v>7</v>
      </c>
      <c r="EV5" s="29">
        <f t="shared" si="4"/>
        <v>9</v>
      </c>
      <c r="EW5" s="29">
        <f t="shared" si="4"/>
        <v>8</v>
      </c>
      <c r="EX5" s="29">
        <f t="shared" si="4"/>
        <v>6</v>
      </c>
      <c r="EY5" s="29">
        <f t="shared" si="4"/>
        <v>5</v>
      </c>
      <c r="EZ5" s="29">
        <f t="shared" si="4"/>
        <v>8</v>
      </c>
      <c r="FA5" s="29">
        <f t="shared" si="4"/>
        <v>9</v>
      </c>
      <c r="FB5" s="29">
        <f t="shared" si="4"/>
        <v>9</v>
      </c>
      <c r="FC5" s="29">
        <f t="shared" si="4"/>
        <v>8</v>
      </c>
      <c r="FD5" s="29">
        <f t="shared" si="4"/>
        <v>8</v>
      </c>
      <c r="FE5" s="29">
        <f t="shared" si="4"/>
        <v>5</v>
      </c>
      <c r="FF5" s="29">
        <f t="shared" si="4"/>
        <v>3</v>
      </c>
      <c r="FG5" s="29">
        <f t="shared" si="4"/>
        <v>8</v>
      </c>
      <c r="FH5" s="29">
        <f t="shared" si="4"/>
        <v>9</v>
      </c>
      <c r="FI5" s="29">
        <f t="shared" si="4"/>
        <v>9</v>
      </c>
      <c r="FJ5" s="29">
        <f t="shared" si="4"/>
        <v>7</v>
      </c>
      <c r="FK5" s="29">
        <f t="shared" si="4"/>
        <v>7</v>
      </c>
      <c r="FL5" s="29">
        <f t="shared" si="4"/>
        <v>5</v>
      </c>
      <c r="FM5" s="29">
        <f t="shared" si="4"/>
        <v>5</v>
      </c>
      <c r="FN5" s="29">
        <f t="shared" si="4"/>
        <v>8</v>
      </c>
      <c r="FO5" s="29">
        <f t="shared" si="4"/>
        <v>9</v>
      </c>
      <c r="FP5" s="29">
        <f t="shared" si="4"/>
        <v>9</v>
      </c>
      <c r="FQ5" s="29">
        <f t="shared" si="4"/>
        <v>8</v>
      </c>
      <c r="FR5" s="29">
        <f t="shared" si="4"/>
        <v>7</v>
      </c>
      <c r="FS5" s="29">
        <f t="shared" si="4"/>
        <v>5</v>
      </c>
      <c r="FT5" s="29">
        <f t="shared" si="4"/>
        <v>4</v>
      </c>
      <c r="FU5" s="29">
        <f t="shared" si="4"/>
        <v>9</v>
      </c>
      <c r="FV5" s="29">
        <f t="shared" si="4"/>
        <v>8</v>
      </c>
      <c r="FW5" s="29">
        <f t="shared" si="4"/>
        <v>8</v>
      </c>
      <c r="FX5" s="29">
        <f t="shared" si="4"/>
        <v>7</v>
      </c>
      <c r="FY5" s="29">
        <f t="shared" si="4"/>
        <v>8</v>
      </c>
      <c r="FZ5" s="29">
        <f t="shared" si="4"/>
        <v>5</v>
      </c>
      <c r="GA5" s="29">
        <f t="shared" si="4"/>
        <v>5</v>
      </c>
      <c r="GB5" s="29">
        <f t="shared" si="4"/>
        <v>7</v>
      </c>
      <c r="GC5" s="29">
        <f t="shared" si="4"/>
        <v>8</v>
      </c>
      <c r="GD5" s="29">
        <f t="shared" si="4"/>
        <v>7</v>
      </c>
      <c r="GE5" s="29">
        <f t="shared" si="4"/>
        <v>8</v>
      </c>
      <c r="GF5" s="29">
        <f t="shared" si="4"/>
        <v>8</v>
      </c>
      <c r="GG5" s="29">
        <f t="shared" si="4"/>
        <v>7</v>
      </c>
      <c r="GH5" s="29">
        <f t="shared" si="4"/>
        <v>5</v>
      </c>
      <c r="GI5" s="29">
        <f t="shared" si="4"/>
        <v>8</v>
      </c>
      <c r="GJ5" s="29">
        <f t="shared" si="4"/>
        <v>8</v>
      </c>
      <c r="GK5" s="29">
        <f t="shared" si="4"/>
        <v>7</v>
      </c>
      <c r="GL5" s="29">
        <f t="shared" si="4"/>
        <v>8</v>
      </c>
      <c r="GM5" s="29">
        <f t="shared" si="4"/>
        <v>8</v>
      </c>
      <c r="GN5" s="29">
        <f t="shared" si="4"/>
        <v>6</v>
      </c>
      <c r="GO5" s="29">
        <f t="shared" si="4"/>
        <v>5</v>
      </c>
      <c r="GP5" s="29">
        <f t="shared" si="4"/>
        <v>8</v>
      </c>
      <c r="GQ5" s="29">
        <f t="shared" si="4"/>
        <v>8</v>
      </c>
      <c r="GR5" s="29">
        <f t="shared" si="4"/>
        <v>9</v>
      </c>
      <c r="GS5" s="29">
        <f t="shared" si="4"/>
        <v>9</v>
      </c>
      <c r="GT5" s="29">
        <f t="shared" si="4"/>
        <v>8</v>
      </c>
      <c r="GU5" s="29">
        <f t="shared" si="4"/>
        <v>4</v>
      </c>
      <c r="GV5" s="29">
        <f t="shared" si="4"/>
        <v>4</v>
      </c>
      <c r="GW5" s="29">
        <f t="shared" si="4"/>
        <v>7</v>
      </c>
      <c r="GX5" s="29">
        <f t="shared" si="4"/>
        <v>9</v>
      </c>
      <c r="GY5" s="29">
        <f t="shared" si="4"/>
        <v>9</v>
      </c>
      <c r="GZ5" s="29">
        <f t="shared" si="4"/>
        <v>7</v>
      </c>
      <c r="HA5" s="29">
        <f t="shared" si="4"/>
        <v>7</v>
      </c>
      <c r="HB5" s="29">
        <f t="shared" si="4"/>
        <v>6</v>
      </c>
      <c r="HC5" s="29">
        <f t="shared" si="4"/>
        <v>5</v>
      </c>
      <c r="HD5" s="29">
        <f t="shared" si="4"/>
        <v>9</v>
      </c>
      <c r="HE5" s="29">
        <f t="shared" si="4"/>
        <v>7</v>
      </c>
      <c r="HF5" s="29">
        <f t="shared" si="4"/>
        <v>8</v>
      </c>
      <c r="HG5" s="29">
        <f t="shared" si="4"/>
        <v>9</v>
      </c>
      <c r="HH5" s="29">
        <f t="shared" si="4"/>
        <v>9</v>
      </c>
      <c r="HI5" s="29">
        <f t="shared" si="4"/>
        <v>4</v>
      </c>
      <c r="HJ5" s="29">
        <f t="shared" si="4"/>
        <v>4</v>
      </c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</row>
    <row r="6" spans="1:372" ht="15" thickBot="1">
      <c r="A6" s="472" t="s">
        <v>97</v>
      </c>
      <c r="B6" s="472" t="s">
        <v>98</v>
      </c>
      <c r="C6" s="472" t="s">
        <v>99</v>
      </c>
      <c r="D6" s="472" t="s">
        <v>100</v>
      </c>
      <c r="E6" s="472" t="s">
        <v>494</v>
      </c>
      <c r="F6" s="472" t="s">
        <v>495</v>
      </c>
      <c r="G6" s="528" t="s">
        <v>496</v>
      </c>
      <c r="H6" s="472" t="s">
        <v>497</v>
      </c>
      <c r="I6" s="472" t="s">
        <v>498</v>
      </c>
      <c r="J6" s="472" t="s">
        <v>499</v>
      </c>
      <c r="K6" s="472" t="s">
        <v>500</v>
      </c>
      <c r="L6" s="528" t="s">
        <v>506</v>
      </c>
      <c r="M6" s="472" t="s">
        <v>512</v>
      </c>
      <c r="N6" s="494" t="s">
        <v>505</v>
      </c>
      <c r="O6" s="499"/>
      <c r="P6" s="30"/>
      <c r="Q6" s="30"/>
      <c r="R6" s="31"/>
      <c r="S6" s="31"/>
      <c r="T6" s="30"/>
      <c r="U6" s="30"/>
      <c r="V6" s="32"/>
      <c r="W6" s="31"/>
      <c r="X6" s="31"/>
      <c r="Y6" s="31"/>
      <c r="Z6" s="31"/>
      <c r="AA6" s="31"/>
      <c r="AB6" s="31"/>
      <c r="AC6" s="31"/>
      <c r="AD6" s="33"/>
      <c r="AE6" s="33"/>
      <c r="AF6" s="33"/>
      <c r="AG6" s="34"/>
      <c r="AH6" s="33"/>
      <c r="AI6" s="33"/>
      <c r="AJ6" s="34"/>
      <c r="AK6" s="33"/>
      <c r="AL6" s="33"/>
      <c r="AM6" s="33"/>
      <c r="AN6" s="33"/>
      <c r="AO6" s="34"/>
      <c r="AP6" s="34"/>
      <c r="AQ6" s="34"/>
      <c r="AR6" s="34"/>
      <c r="AS6" s="34"/>
      <c r="AT6" s="34"/>
      <c r="AU6" s="34"/>
      <c r="AV6" s="34"/>
      <c r="AW6" s="33"/>
      <c r="AX6" s="33"/>
      <c r="AY6" s="33"/>
      <c r="AZ6" s="33"/>
      <c r="BA6" s="33"/>
      <c r="BB6" s="34"/>
      <c r="BC6" s="34"/>
      <c r="BD6" s="34"/>
      <c r="BE6" s="33"/>
      <c r="BF6" s="34"/>
      <c r="BG6" s="34"/>
      <c r="BH6" s="34"/>
      <c r="BI6" s="34"/>
      <c r="BJ6" s="35"/>
      <c r="BK6" s="35"/>
      <c r="BL6" s="34"/>
      <c r="BM6" s="36"/>
      <c r="BN6" s="36"/>
      <c r="BO6" s="36"/>
      <c r="BP6" s="35"/>
      <c r="BQ6" s="35"/>
      <c r="BR6" s="37"/>
      <c r="BS6" s="35"/>
      <c r="BT6" s="34"/>
      <c r="BU6" s="34"/>
      <c r="BV6" s="34"/>
      <c r="BW6" s="35"/>
      <c r="BX6" s="35"/>
      <c r="BY6" s="34"/>
      <c r="BZ6" s="35"/>
      <c r="CA6" s="30"/>
      <c r="CB6" s="30"/>
      <c r="CC6" s="30"/>
      <c r="CD6" s="30"/>
      <c r="CE6" s="30"/>
      <c r="CF6" s="30"/>
      <c r="CG6" s="30"/>
      <c r="CH6" s="34"/>
      <c r="CI6" s="34"/>
      <c r="CJ6" s="34"/>
      <c r="CK6" s="34"/>
      <c r="CL6" s="34"/>
      <c r="CM6" s="35"/>
      <c r="CN6" s="35"/>
      <c r="CO6" s="35"/>
      <c r="CP6" s="35"/>
      <c r="CQ6" s="34"/>
      <c r="CR6" s="34"/>
      <c r="CS6" s="34"/>
      <c r="CT6" s="35"/>
      <c r="CU6" s="35"/>
      <c r="CV6" s="34"/>
      <c r="CW6" s="34"/>
      <c r="CX6" s="35"/>
      <c r="CY6" s="35"/>
      <c r="CZ6" s="35"/>
      <c r="DA6" s="35"/>
      <c r="DB6" s="35"/>
      <c r="DC6" s="36"/>
      <c r="DD6" s="36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4"/>
      <c r="DR6" s="34"/>
      <c r="DS6" s="34"/>
      <c r="DT6" s="35"/>
      <c r="DU6" s="35"/>
      <c r="DV6" s="34"/>
      <c r="DW6" s="35"/>
      <c r="DX6" s="35"/>
      <c r="DY6" s="35"/>
      <c r="DZ6" s="35"/>
      <c r="EA6" s="36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8"/>
      <c r="ES6" s="35"/>
      <c r="ET6" s="35"/>
      <c r="EU6" s="35"/>
      <c r="EV6" s="34"/>
      <c r="EW6" s="34"/>
      <c r="EX6" s="34"/>
      <c r="EY6" s="35"/>
      <c r="EZ6" s="39"/>
      <c r="FA6" s="39"/>
      <c r="FB6" s="39"/>
      <c r="FC6" s="39"/>
      <c r="FD6" s="39"/>
      <c r="FE6" s="40"/>
      <c r="FF6" s="40"/>
      <c r="FG6" s="41"/>
      <c r="FH6" s="41"/>
      <c r="FI6" s="41"/>
      <c r="FJ6" s="35"/>
      <c r="FK6" s="41"/>
      <c r="FL6" s="34"/>
      <c r="FM6" s="42"/>
      <c r="FN6" s="42"/>
      <c r="FO6" s="42"/>
      <c r="FP6" s="42"/>
      <c r="FQ6" s="42"/>
      <c r="FR6" s="42"/>
      <c r="FS6" s="35"/>
      <c r="FT6" s="42"/>
      <c r="FU6" s="43"/>
      <c r="FV6" s="43"/>
      <c r="FW6" s="35"/>
      <c r="FX6" s="35"/>
      <c r="FY6" s="43"/>
      <c r="FZ6" s="44"/>
      <c r="GA6" s="43"/>
      <c r="GB6" s="42"/>
      <c r="GC6" s="45"/>
      <c r="GD6" s="45"/>
      <c r="GE6" s="45"/>
      <c r="GF6" s="45"/>
      <c r="GG6" s="46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</row>
    <row r="7" spans="1:372" ht="15" thickBot="1">
      <c r="A7" s="473"/>
      <c r="B7" s="473"/>
      <c r="C7" s="508"/>
      <c r="D7" s="473"/>
      <c r="E7" s="473"/>
      <c r="F7" s="495"/>
      <c r="G7" s="518"/>
      <c r="H7" s="517"/>
      <c r="I7" s="473"/>
      <c r="J7" s="508"/>
      <c r="K7" s="516"/>
      <c r="L7" s="518"/>
      <c r="M7" s="519"/>
      <c r="N7" s="495">
        <v>4</v>
      </c>
      <c r="O7" s="504" t="s">
        <v>102</v>
      </c>
      <c r="P7" s="498" t="s">
        <v>8</v>
      </c>
      <c r="Q7" s="49" t="s">
        <v>8</v>
      </c>
      <c r="R7" s="50" t="s">
        <v>2</v>
      </c>
      <c r="S7" s="50" t="s">
        <v>2</v>
      </c>
      <c r="T7" s="51" t="s">
        <v>6</v>
      </c>
      <c r="U7" s="51" t="s">
        <v>6</v>
      </c>
      <c r="V7" s="52" t="s">
        <v>4</v>
      </c>
      <c r="W7" s="50" t="s">
        <v>2</v>
      </c>
      <c r="X7" s="50" t="s">
        <v>2</v>
      </c>
      <c r="Y7" s="53" t="s">
        <v>12</v>
      </c>
      <c r="Z7" s="53" t="s">
        <v>12</v>
      </c>
      <c r="AA7" s="53" t="s">
        <v>12</v>
      </c>
      <c r="AB7" s="53" t="s">
        <v>12</v>
      </c>
      <c r="AC7" s="53" t="s">
        <v>12</v>
      </c>
      <c r="AD7" s="54" t="s">
        <v>9</v>
      </c>
      <c r="AE7" s="54" t="s">
        <v>9</v>
      </c>
      <c r="AF7" s="54" t="s">
        <v>8</v>
      </c>
      <c r="AG7" s="55" t="s">
        <v>16</v>
      </c>
      <c r="AH7" s="56" t="s">
        <v>2</v>
      </c>
      <c r="AI7" s="56" t="s">
        <v>2</v>
      </c>
      <c r="AJ7" s="57" t="s">
        <v>3</v>
      </c>
      <c r="AK7" s="54" t="s">
        <v>8</v>
      </c>
      <c r="AL7" s="54" t="s">
        <v>8</v>
      </c>
      <c r="AM7" s="56" t="s">
        <v>2</v>
      </c>
      <c r="AN7" s="56" t="s">
        <v>2</v>
      </c>
      <c r="AO7" s="55" t="s">
        <v>16</v>
      </c>
      <c r="AP7" s="55" t="s">
        <v>16</v>
      </c>
      <c r="AQ7" s="57" t="s">
        <v>3</v>
      </c>
      <c r="AR7" s="58" t="s">
        <v>11</v>
      </c>
      <c r="AS7" s="58" t="s">
        <v>11</v>
      </c>
      <c r="AT7" s="58" t="s">
        <v>11</v>
      </c>
      <c r="AU7" s="55" t="s">
        <v>103</v>
      </c>
      <c r="AV7" s="55" t="s">
        <v>15</v>
      </c>
      <c r="AW7" s="56" t="s">
        <v>2</v>
      </c>
      <c r="AX7" s="56" t="s">
        <v>2</v>
      </c>
      <c r="AY7" s="56" t="s">
        <v>2</v>
      </c>
      <c r="AZ7" s="59" t="s">
        <v>5</v>
      </c>
      <c r="BA7" s="59" t="s">
        <v>5</v>
      </c>
      <c r="BB7" s="60" t="s">
        <v>11</v>
      </c>
      <c r="BC7" s="58" t="s">
        <v>11</v>
      </c>
      <c r="BD7" s="58" t="s">
        <v>11</v>
      </c>
      <c r="BE7" s="56" t="s">
        <v>2</v>
      </c>
      <c r="BF7" s="58" t="s">
        <v>104</v>
      </c>
      <c r="BG7" s="58" t="s">
        <v>104</v>
      </c>
      <c r="BH7" s="58" t="s">
        <v>104</v>
      </c>
      <c r="BI7" s="58" t="s">
        <v>104</v>
      </c>
      <c r="BJ7" s="61" t="s">
        <v>2</v>
      </c>
      <c r="BK7" s="61" t="s">
        <v>2</v>
      </c>
      <c r="BL7" s="62" t="s">
        <v>3</v>
      </c>
      <c r="BM7" s="63" t="s">
        <v>13</v>
      </c>
      <c r="BN7" s="63" t="s">
        <v>13</v>
      </c>
      <c r="BO7" s="63" t="s">
        <v>13</v>
      </c>
      <c r="BP7" s="61" t="s">
        <v>2</v>
      </c>
      <c r="BQ7" s="61" t="s">
        <v>2</v>
      </c>
      <c r="BR7" s="64" t="s">
        <v>105</v>
      </c>
      <c r="BS7" s="65" t="s">
        <v>106</v>
      </c>
      <c r="BT7" s="55" t="s">
        <v>15</v>
      </c>
      <c r="BU7" s="55" t="s">
        <v>15</v>
      </c>
      <c r="BV7" s="55" t="s">
        <v>15</v>
      </c>
      <c r="BW7" s="61" t="s">
        <v>2</v>
      </c>
      <c r="BX7" s="61" t="s">
        <v>2</v>
      </c>
      <c r="BY7" s="55" t="s">
        <v>15</v>
      </c>
      <c r="BZ7" s="65" t="s">
        <v>107</v>
      </c>
      <c r="CA7" s="66" t="s">
        <v>108</v>
      </c>
      <c r="CB7" s="66" t="s">
        <v>108</v>
      </c>
      <c r="CC7" s="66" t="s">
        <v>108</v>
      </c>
      <c r="CD7" s="66" t="s">
        <v>108</v>
      </c>
      <c r="CE7" s="66" t="s">
        <v>108</v>
      </c>
      <c r="CF7" s="67" t="s">
        <v>2</v>
      </c>
      <c r="CG7" s="67" t="s">
        <v>2</v>
      </c>
      <c r="CH7" s="55" t="s">
        <v>109</v>
      </c>
      <c r="CI7" s="55" t="s">
        <v>109</v>
      </c>
      <c r="CJ7" s="55" t="s">
        <v>109</v>
      </c>
      <c r="CK7" s="55" t="s">
        <v>109</v>
      </c>
      <c r="CL7" s="55" t="s">
        <v>109</v>
      </c>
      <c r="CM7" s="61" t="s">
        <v>2</v>
      </c>
      <c r="CN7" s="61" t="s">
        <v>2</v>
      </c>
      <c r="CO7" s="65" t="s">
        <v>106</v>
      </c>
      <c r="CP7" s="65" t="s">
        <v>106</v>
      </c>
      <c r="CQ7" s="68" t="s">
        <v>27</v>
      </c>
      <c r="CR7" s="68" t="s">
        <v>27</v>
      </c>
      <c r="CS7" s="68" t="s">
        <v>27</v>
      </c>
      <c r="CT7" s="61" t="s">
        <v>2</v>
      </c>
      <c r="CU7" s="61" t="s">
        <v>2</v>
      </c>
      <c r="CV7" s="68" t="s">
        <v>27</v>
      </c>
      <c r="CW7" s="68" t="s">
        <v>110</v>
      </c>
      <c r="CX7" s="61" t="s">
        <v>2</v>
      </c>
      <c r="CY7" s="61" t="s">
        <v>2</v>
      </c>
      <c r="CZ7" s="65" t="s">
        <v>111</v>
      </c>
      <c r="DA7" s="69" t="s">
        <v>108</v>
      </c>
      <c r="DB7" s="69" t="s">
        <v>112</v>
      </c>
      <c r="DC7" s="63" t="s">
        <v>113</v>
      </c>
      <c r="DD7" s="63" t="s">
        <v>113</v>
      </c>
      <c r="DE7" s="69" t="s">
        <v>114</v>
      </c>
      <c r="DF7" s="69" t="s">
        <v>114</v>
      </c>
      <c r="DG7" s="61" t="s">
        <v>2</v>
      </c>
      <c r="DH7" s="69" t="s">
        <v>114</v>
      </c>
      <c r="DI7" s="61" t="s">
        <v>2</v>
      </c>
      <c r="DJ7" s="65" t="s">
        <v>7</v>
      </c>
      <c r="DK7" s="65" t="s">
        <v>7</v>
      </c>
      <c r="DL7" s="65" t="s">
        <v>7</v>
      </c>
      <c r="DM7" s="61" t="s">
        <v>2</v>
      </c>
      <c r="DN7" s="61" t="s">
        <v>2</v>
      </c>
      <c r="DO7" s="65" t="s">
        <v>7</v>
      </c>
      <c r="DP7" s="65" t="s">
        <v>115</v>
      </c>
      <c r="DQ7" s="58" t="s">
        <v>11</v>
      </c>
      <c r="DR7" s="58" t="s">
        <v>11</v>
      </c>
      <c r="DS7" s="58" t="s">
        <v>11</v>
      </c>
      <c r="DT7" s="61" t="s">
        <v>2</v>
      </c>
      <c r="DU7" s="61" t="s">
        <v>2</v>
      </c>
      <c r="DV7" s="58" t="s">
        <v>11</v>
      </c>
      <c r="DW7" s="69" t="s">
        <v>116</v>
      </c>
      <c r="DX7" s="69" t="s">
        <v>114</v>
      </c>
      <c r="DY7" s="69" t="s">
        <v>114</v>
      </c>
      <c r="DZ7" s="69" t="s">
        <v>114</v>
      </c>
      <c r="EA7" s="63" t="s">
        <v>12</v>
      </c>
      <c r="EB7" s="69" t="s">
        <v>114</v>
      </c>
      <c r="EC7" s="61" t="s">
        <v>2</v>
      </c>
      <c r="ED7" s="61" t="s">
        <v>2</v>
      </c>
      <c r="EE7" s="65" t="s">
        <v>7</v>
      </c>
      <c r="EF7" s="65" t="s">
        <v>7</v>
      </c>
      <c r="EG7" s="65" t="s">
        <v>7</v>
      </c>
      <c r="EH7" s="61" t="s">
        <v>2</v>
      </c>
      <c r="EI7" s="65" t="s">
        <v>7</v>
      </c>
      <c r="EJ7" s="65" t="s">
        <v>7</v>
      </c>
      <c r="EK7" s="61" t="s">
        <v>2</v>
      </c>
      <c r="EL7" s="61" t="s">
        <v>2</v>
      </c>
      <c r="EM7" s="65" t="s">
        <v>7</v>
      </c>
      <c r="EN7" s="65" t="s">
        <v>7</v>
      </c>
      <c r="EO7" s="61" t="s">
        <v>2</v>
      </c>
      <c r="EP7" s="65" t="s">
        <v>7</v>
      </c>
      <c r="EQ7" s="65" t="s">
        <v>7</v>
      </c>
      <c r="ER7" s="70" t="s">
        <v>117</v>
      </c>
      <c r="ES7" s="69" t="s">
        <v>114</v>
      </c>
      <c r="ET7" s="69" t="s">
        <v>114</v>
      </c>
      <c r="EU7" s="61" t="s">
        <v>2</v>
      </c>
      <c r="EV7" s="55" t="s">
        <v>118</v>
      </c>
      <c r="EW7" s="55" t="s">
        <v>118</v>
      </c>
      <c r="EX7" s="55" t="s">
        <v>118</v>
      </c>
      <c r="EY7" s="61" t="s">
        <v>2</v>
      </c>
      <c r="EZ7" s="71" t="s">
        <v>11</v>
      </c>
      <c r="FA7" s="71" t="s">
        <v>11</v>
      </c>
      <c r="FB7" s="71" t="s">
        <v>11</v>
      </c>
      <c r="FC7" s="71" t="s">
        <v>11</v>
      </c>
      <c r="FD7" s="71" t="s">
        <v>11</v>
      </c>
      <c r="FE7" s="72" t="s">
        <v>2</v>
      </c>
      <c r="FF7" s="72" t="s">
        <v>2</v>
      </c>
      <c r="FG7" s="73" t="s">
        <v>7</v>
      </c>
      <c r="FH7" s="73" t="s">
        <v>7</v>
      </c>
      <c r="FI7" s="73" t="s">
        <v>7</v>
      </c>
      <c r="FJ7" s="61" t="s">
        <v>2</v>
      </c>
      <c r="FK7" s="73" t="s">
        <v>7</v>
      </c>
      <c r="FL7" s="55" t="s">
        <v>118</v>
      </c>
      <c r="FM7" s="74" t="s">
        <v>2</v>
      </c>
      <c r="FN7" s="75" t="s">
        <v>114</v>
      </c>
      <c r="FO7" s="74" t="s">
        <v>2</v>
      </c>
      <c r="FP7" s="75" t="s">
        <v>114</v>
      </c>
      <c r="FQ7" s="75" t="s">
        <v>114</v>
      </c>
      <c r="FR7" s="75" t="s">
        <v>114</v>
      </c>
      <c r="FS7" s="69" t="s">
        <v>114</v>
      </c>
      <c r="FT7" s="74" t="s">
        <v>2</v>
      </c>
      <c r="FU7" s="76" t="s">
        <v>7</v>
      </c>
      <c r="FV7" s="76" t="s">
        <v>7</v>
      </c>
      <c r="FW7" s="61" t="s">
        <v>2</v>
      </c>
      <c r="FX7" s="61" t="s">
        <v>2</v>
      </c>
      <c r="FY7" s="76" t="s">
        <v>7</v>
      </c>
      <c r="FZ7" s="77" t="s">
        <v>118</v>
      </c>
      <c r="GA7" s="76" t="s">
        <v>115</v>
      </c>
      <c r="GB7" s="74" t="s">
        <v>2</v>
      </c>
      <c r="GC7" s="78" t="s">
        <v>113</v>
      </c>
      <c r="GD7" s="78" t="s">
        <v>113</v>
      </c>
      <c r="GE7" s="78" t="s">
        <v>113</v>
      </c>
      <c r="GF7" s="78" t="s">
        <v>113</v>
      </c>
      <c r="GG7" s="79" t="s">
        <v>12</v>
      </c>
      <c r="GH7" s="74" t="s">
        <v>2</v>
      </c>
      <c r="GI7" s="80" t="s">
        <v>119</v>
      </c>
      <c r="GJ7" s="80" t="s">
        <v>119</v>
      </c>
      <c r="GK7" s="80" t="s">
        <v>119</v>
      </c>
      <c r="GL7" s="80" t="s">
        <v>120</v>
      </c>
      <c r="GM7" s="80" t="s">
        <v>121</v>
      </c>
      <c r="GN7" s="56" t="s">
        <v>2</v>
      </c>
      <c r="GO7" s="56" t="s">
        <v>2</v>
      </c>
      <c r="GP7" s="56" t="s">
        <v>2</v>
      </c>
      <c r="GQ7" s="81" t="s">
        <v>122</v>
      </c>
      <c r="GR7" s="54" t="s">
        <v>123</v>
      </c>
      <c r="GS7" s="54" t="s">
        <v>123</v>
      </c>
      <c r="GT7" s="80" t="s">
        <v>120</v>
      </c>
      <c r="GU7" s="82" t="s">
        <v>61</v>
      </c>
      <c r="GV7" s="56" t="s">
        <v>2</v>
      </c>
      <c r="GW7" s="55" t="s">
        <v>124</v>
      </c>
      <c r="GX7" s="54" t="s">
        <v>123</v>
      </c>
      <c r="GY7" s="54" t="s">
        <v>123</v>
      </c>
      <c r="GZ7" s="54" t="s">
        <v>123</v>
      </c>
      <c r="HA7" s="55" t="s">
        <v>124</v>
      </c>
      <c r="HB7" s="56" t="s">
        <v>2</v>
      </c>
      <c r="HC7" s="56" t="s">
        <v>2</v>
      </c>
      <c r="HD7" s="81" t="s">
        <v>122</v>
      </c>
      <c r="HE7" s="55" t="s">
        <v>124</v>
      </c>
      <c r="HF7" s="55" t="s">
        <v>124</v>
      </c>
      <c r="HG7" s="55" t="s">
        <v>124</v>
      </c>
      <c r="HH7" s="80" t="s">
        <v>121</v>
      </c>
      <c r="HI7" s="56" t="s">
        <v>2</v>
      </c>
      <c r="HJ7" s="56" t="s">
        <v>2</v>
      </c>
      <c r="HK7" s="55" t="s">
        <v>124</v>
      </c>
      <c r="HL7" s="65" t="s">
        <v>123</v>
      </c>
      <c r="HM7" s="65" t="s">
        <v>123</v>
      </c>
      <c r="HN7" s="65" t="s">
        <v>123</v>
      </c>
      <c r="HO7" s="55" t="s">
        <v>125</v>
      </c>
      <c r="HP7" s="61" t="s">
        <v>2</v>
      </c>
      <c r="HQ7" s="61" t="s">
        <v>2</v>
      </c>
      <c r="HR7" s="65" t="s">
        <v>54</v>
      </c>
      <c r="HS7" s="65" t="s">
        <v>54</v>
      </c>
      <c r="HT7" s="61" t="s">
        <v>2</v>
      </c>
      <c r="HU7" s="61" t="s">
        <v>2</v>
      </c>
      <c r="HV7" s="65" t="s">
        <v>54</v>
      </c>
      <c r="HW7" s="65" t="s">
        <v>54</v>
      </c>
      <c r="HX7" s="65" t="s">
        <v>54</v>
      </c>
      <c r="HY7" s="55" t="s">
        <v>126</v>
      </c>
      <c r="HZ7" s="55" t="s">
        <v>126</v>
      </c>
      <c r="IA7" s="55" t="s">
        <v>126</v>
      </c>
      <c r="IB7" s="55" t="s">
        <v>126</v>
      </c>
      <c r="IC7" s="55" t="s">
        <v>126</v>
      </c>
      <c r="ID7" s="61" t="s">
        <v>127</v>
      </c>
      <c r="IE7" s="61" t="s">
        <v>127</v>
      </c>
      <c r="IF7" s="61" t="s">
        <v>2</v>
      </c>
      <c r="IG7" s="61" t="s">
        <v>2</v>
      </c>
      <c r="IH7" s="80" t="s">
        <v>119</v>
      </c>
      <c r="II7" s="80" t="s">
        <v>119</v>
      </c>
      <c r="IJ7" s="80" t="s">
        <v>119</v>
      </c>
      <c r="IK7" s="82" t="s">
        <v>45</v>
      </c>
      <c r="IL7" s="65" t="s">
        <v>128</v>
      </c>
      <c r="IM7" s="65" t="s">
        <v>128</v>
      </c>
      <c r="IN7" s="65" t="s">
        <v>128</v>
      </c>
      <c r="IO7" s="61" t="s">
        <v>2</v>
      </c>
      <c r="IP7" s="61" t="s">
        <v>2</v>
      </c>
      <c r="IQ7" s="65" t="s">
        <v>128</v>
      </c>
      <c r="IR7" s="82" t="s">
        <v>45</v>
      </c>
      <c r="IS7" s="65" t="s">
        <v>128</v>
      </c>
      <c r="IT7" s="81" t="s">
        <v>129</v>
      </c>
      <c r="IU7" s="81" t="s">
        <v>129</v>
      </c>
      <c r="IV7" s="82" t="s">
        <v>45</v>
      </c>
      <c r="IW7" s="56" t="s">
        <v>2</v>
      </c>
      <c r="IX7" s="82" t="s">
        <v>45</v>
      </c>
      <c r="IY7" s="82" t="s">
        <v>45</v>
      </c>
      <c r="IZ7" s="56" t="s">
        <v>2</v>
      </c>
      <c r="JA7" s="54" t="s">
        <v>128</v>
      </c>
      <c r="JB7" s="54" t="s">
        <v>128</v>
      </c>
      <c r="JC7" s="54" t="s">
        <v>128</v>
      </c>
      <c r="JD7" s="54" t="s">
        <v>128</v>
      </c>
      <c r="JE7" s="56" t="s">
        <v>130</v>
      </c>
      <c r="JF7" s="56" t="s">
        <v>2</v>
      </c>
      <c r="JG7" s="56" t="s">
        <v>2</v>
      </c>
      <c r="JH7" s="58" t="s">
        <v>67</v>
      </c>
      <c r="JI7" s="58" t="s">
        <v>67</v>
      </c>
      <c r="JJ7" s="58" t="s">
        <v>67</v>
      </c>
      <c r="JK7" s="58" t="s">
        <v>67</v>
      </c>
      <c r="JL7" s="55" t="s">
        <v>126</v>
      </c>
      <c r="JM7" s="56" t="s">
        <v>2</v>
      </c>
      <c r="JN7" s="56" t="s">
        <v>2</v>
      </c>
      <c r="JO7" s="56" t="s">
        <v>2</v>
      </c>
      <c r="JP7" s="54" t="s">
        <v>51</v>
      </c>
      <c r="JQ7" s="56" t="s">
        <v>2</v>
      </c>
      <c r="JR7" s="80" t="s">
        <v>119</v>
      </c>
      <c r="JS7" s="80" t="s">
        <v>119</v>
      </c>
      <c r="JT7" s="80" t="s">
        <v>119</v>
      </c>
      <c r="JU7" s="54" t="s">
        <v>128</v>
      </c>
      <c r="JV7" s="129" t="s">
        <v>2</v>
      </c>
      <c r="JW7" s="212" t="s">
        <v>45</v>
      </c>
      <c r="JX7" s="212" t="s">
        <v>45</v>
      </c>
      <c r="JY7" s="212" t="s">
        <v>45</v>
      </c>
      <c r="JZ7" s="212" t="s">
        <v>45</v>
      </c>
      <c r="KA7" s="212" t="s">
        <v>45</v>
      </c>
      <c r="KB7" s="129" t="s">
        <v>2</v>
      </c>
      <c r="KC7" s="128" t="s">
        <v>128</v>
      </c>
      <c r="KD7" s="128" t="s">
        <v>128</v>
      </c>
      <c r="KE7" s="129" t="s">
        <v>2</v>
      </c>
      <c r="KF7" s="129" t="s">
        <v>2</v>
      </c>
      <c r="KG7" s="128" t="s">
        <v>128</v>
      </c>
      <c r="KH7" s="98" t="s">
        <v>126</v>
      </c>
      <c r="KI7" s="128" t="s">
        <v>128</v>
      </c>
      <c r="KJ7" s="129" t="s">
        <v>2</v>
      </c>
      <c r="KK7" s="141" t="s">
        <v>152</v>
      </c>
      <c r="KL7" s="141" t="s">
        <v>152</v>
      </c>
      <c r="KM7" s="209" t="s">
        <v>129</v>
      </c>
      <c r="KN7" s="141" t="s">
        <v>152</v>
      </c>
      <c r="KO7" s="141" t="s">
        <v>152</v>
      </c>
      <c r="KP7" s="129" t="s">
        <v>2</v>
      </c>
      <c r="KQ7" s="98" t="s">
        <v>126</v>
      </c>
      <c r="KR7" s="98" t="s">
        <v>126</v>
      </c>
      <c r="KS7" s="98" t="s">
        <v>126</v>
      </c>
      <c r="KT7" s="98" t="s">
        <v>126</v>
      </c>
      <c r="KU7" s="98" t="s">
        <v>126</v>
      </c>
      <c r="KV7" s="129" t="s">
        <v>2</v>
      </c>
      <c r="KW7" s="129" t="s">
        <v>2</v>
      </c>
      <c r="KX7" s="102" t="s">
        <v>27</v>
      </c>
      <c r="KY7" s="102" t="s">
        <v>27</v>
      </c>
      <c r="KZ7" s="102" t="s">
        <v>27</v>
      </c>
      <c r="LA7" s="102" t="s">
        <v>27</v>
      </c>
      <c r="LB7" s="102" t="s">
        <v>27</v>
      </c>
      <c r="LC7" s="129" t="s">
        <v>2</v>
      </c>
      <c r="LD7" s="129" t="s">
        <v>2</v>
      </c>
      <c r="LE7" s="102" t="s">
        <v>27</v>
      </c>
      <c r="LF7" s="102" t="s">
        <v>27</v>
      </c>
      <c r="LG7" s="102" t="s">
        <v>27</v>
      </c>
      <c r="LH7" s="102" t="s">
        <v>27</v>
      </c>
      <c r="LI7" s="102" t="s">
        <v>27</v>
      </c>
      <c r="LJ7" s="129" t="s">
        <v>2</v>
      </c>
      <c r="LK7" s="129" t="s">
        <v>2</v>
      </c>
      <c r="LL7" s="212" t="s">
        <v>45</v>
      </c>
      <c r="LM7" s="212" t="s">
        <v>45</v>
      </c>
      <c r="LN7" s="212" t="s">
        <v>45</v>
      </c>
      <c r="LO7" s="212" t="s">
        <v>45</v>
      </c>
      <c r="LP7" s="212" t="s">
        <v>45</v>
      </c>
      <c r="LQ7" s="129" t="s">
        <v>2</v>
      </c>
      <c r="LR7" s="129" t="s">
        <v>2</v>
      </c>
      <c r="LS7" s="141" t="s">
        <v>119</v>
      </c>
      <c r="LT7" s="141" t="s">
        <v>119</v>
      </c>
      <c r="LU7" s="129" t="s">
        <v>2</v>
      </c>
      <c r="LV7" s="129" t="s">
        <v>2</v>
      </c>
      <c r="LW7" s="141" t="s">
        <v>119</v>
      </c>
      <c r="LX7" s="141" t="s">
        <v>119</v>
      </c>
      <c r="LY7" s="141" t="s">
        <v>164</v>
      </c>
      <c r="LZ7" s="131" t="s">
        <v>67</v>
      </c>
      <c r="MA7" s="131" t="s">
        <v>67</v>
      </c>
      <c r="MB7" s="131" t="s">
        <v>67</v>
      </c>
      <c r="MC7" s="129" t="s">
        <v>2</v>
      </c>
      <c r="MD7" s="129" t="s">
        <v>2</v>
      </c>
      <c r="ME7" s="98" t="s">
        <v>126</v>
      </c>
      <c r="MF7" s="128" t="s">
        <v>128</v>
      </c>
    </row>
    <row r="8" spans="1:372" ht="15" thickBot="1">
      <c r="A8" s="473"/>
      <c r="B8" s="473"/>
      <c r="C8" s="473"/>
      <c r="D8" s="473"/>
      <c r="E8" s="473"/>
      <c r="F8" s="473"/>
      <c r="G8" s="510"/>
      <c r="H8" s="473"/>
      <c r="I8" s="473"/>
      <c r="J8" s="473"/>
      <c r="K8" s="473"/>
      <c r="L8" s="521"/>
      <c r="M8" s="495"/>
      <c r="N8" s="495">
        <v>0</v>
      </c>
      <c r="O8" s="534" t="s">
        <v>131</v>
      </c>
      <c r="P8" s="497" t="s">
        <v>11</v>
      </c>
      <c r="Q8" s="84" t="s">
        <v>11</v>
      </c>
      <c r="R8" s="84" t="s">
        <v>11</v>
      </c>
      <c r="S8" s="51" t="s">
        <v>5</v>
      </c>
      <c r="T8" s="50" t="s">
        <v>2</v>
      </c>
      <c r="U8" s="50" t="s">
        <v>2</v>
      </c>
      <c r="V8" s="52" t="s">
        <v>4</v>
      </c>
      <c r="W8" s="51" t="s">
        <v>5</v>
      </c>
      <c r="X8" s="51" t="s">
        <v>5</v>
      </c>
      <c r="Y8" s="51" t="s">
        <v>6</v>
      </c>
      <c r="Z8" s="51" t="s">
        <v>5</v>
      </c>
      <c r="AA8" s="50" t="s">
        <v>2</v>
      </c>
      <c r="AB8" s="50" t="s">
        <v>2</v>
      </c>
      <c r="AC8" s="52" t="s">
        <v>4</v>
      </c>
      <c r="AD8" s="85" t="s">
        <v>5</v>
      </c>
      <c r="AE8" s="56" t="s">
        <v>2</v>
      </c>
      <c r="AF8" s="56" t="s">
        <v>2</v>
      </c>
      <c r="AG8" s="85" t="s">
        <v>5</v>
      </c>
      <c r="AH8" s="85" t="s">
        <v>5</v>
      </c>
      <c r="AI8" s="85" t="s">
        <v>6</v>
      </c>
      <c r="AJ8" s="57" t="s">
        <v>3</v>
      </c>
      <c r="AK8" s="56" t="s">
        <v>2</v>
      </c>
      <c r="AL8" s="55" t="s">
        <v>16</v>
      </c>
      <c r="AM8" s="55" t="s">
        <v>16</v>
      </c>
      <c r="AN8" s="55" t="s">
        <v>16</v>
      </c>
      <c r="AO8" s="54" t="s">
        <v>8</v>
      </c>
      <c r="AP8" s="56" t="s">
        <v>2</v>
      </c>
      <c r="AQ8" s="57" t="s">
        <v>3</v>
      </c>
      <c r="AR8" s="55" t="s">
        <v>12</v>
      </c>
      <c r="AS8" s="55" t="s">
        <v>12</v>
      </c>
      <c r="AT8" s="56" t="s">
        <v>2</v>
      </c>
      <c r="AU8" s="56" t="s">
        <v>2</v>
      </c>
      <c r="AV8" s="55" t="s">
        <v>132</v>
      </c>
      <c r="AW8" s="55" t="s">
        <v>132</v>
      </c>
      <c r="AX8" s="62" t="s">
        <v>3</v>
      </c>
      <c r="AY8" s="63" t="s">
        <v>12</v>
      </c>
      <c r="AZ8" s="56" t="s">
        <v>2</v>
      </c>
      <c r="BA8" s="56" t="s">
        <v>2</v>
      </c>
      <c r="BB8" s="60" t="s">
        <v>12</v>
      </c>
      <c r="BC8" s="63" t="s">
        <v>12</v>
      </c>
      <c r="BD8" s="63" t="s">
        <v>12</v>
      </c>
      <c r="BE8" s="62" t="s">
        <v>3</v>
      </c>
      <c r="BF8" s="61" t="s">
        <v>2</v>
      </c>
      <c r="BG8" s="61" t="s">
        <v>2</v>
      </c>
      <c r="BH8" s="64" t="s">
        <v>105</v>
      </c>
      <c r="BI8" s="64" t="s">
        <v>105</v>
      </c>
      <c r="BJ8" s="58" t="s">
        <v>104</v>
      </c>
      <c r="BK8" s="58" t="s">
        <v>104</v>
      </c>
      <c r="BL8" s="62" t="s">
        <v>3</v>
      </c>
      <c r="BM8" s="69" t="s">
        <v>6</v>
      </c>
      <c r="BN8" s="61" t="s">
        <v>2</v>
      </c>
      <c r="BO8" s="64" t="s">
        <v>105</v>
      </c>
      <c r="BP8" s="64" t="s">
        <v>105</v>
      </c>
      <c r="BQ8" s="55" t="s">
        <v>15</v>
      </c>
      <c r="BR8" s="61" t="s">
        <v>2</v>
      </c>
      <c r="BS8" s="62" t="s">
        <v>3</v>
      </c>
      <c r="BT8" s="63" t="s">
        <v>13</v>
      </c>
      <c r="BU8" s="63" t="s">
        <v>13</v>
      </c>
      <c r="BV8" s="63" t="s">
        <v>13</v>
      </c>
      <c r="BW8" s="63" t="s">
        <v>13</v>
      </c>
      <c r="BX8" s="61" t="s">
        <v>2</v>
      </c>
      <c r="BY8" s="61" t="s">
        <v>2</v>
      </c>
      <c r="BZ8" s="62" t="s">
        <v>117</v>
      </c>
      <c r="CA8" s="66" t="s">
        <v>133</v>
      </c>
      <c r="CB8" s="66" t="s">
        <v>133</v>
      </c>
      <c r="CC8" s="66" t="s">
        <v>133</v>
      </c>
      <c r="CD8" s="67" t="s">
        <v>2</v>
      </c>
      <c r="CE8" s="67" t="s">
        <v>2</v>
      </c>
      <c r="CF8" s="86" t="s">
        <v>117</v>
      </c>
      <c r="CG8" s="86" t="s">
        <v>117</v>
      </c>
      <c r="CH8" s="65" t="s">
        <v>111</v>
      </c>
      <c r="CI8" s="65" t="s">
        <v>111</v>
      </c>
      <c r="CJ8" s="65" t="s">
        <v>134</v>
      </c>
      <c r="CK8" s="58" t="s">
        <v>135</v>
      </c>
      <c r="CL8" s="61" t="s">
        <v>2</v>
      </c>
      <c r="CM8" s="61" t="s">
        <v>2</v>
      </c>
      <c r="CN8" s="62" t="s">
        <v>117</v>
      </c>
      <c r="CO8" s="69" t="s">
        <v>133</v>
      </c>
      <c r="CP8" s="62" t="s">
        <v>117</v>
      </c>
      <c r="CQ8" s="69" t="s">
        <v>133</v>
      </c>
      <c r="CR8" s="69" t="s">
        <v>133</v>
      </c>
      <c r="CS8" s="61" t="s">
        <v>2</v>
      </c>
      <c r="CT8" s="61" t="s">
        <v>2</v>
      </c>
      <c r="CU8" s="62" t="s">
        <v>117</v>
      </c>
      <c r="CV8" s="63" t="s">
        <v>136</v>
      </c>
      <c r="CW8" s="63" t="s">
        <v>13</v>
      </c>
      <c r="CX8" s="63" t="s">
        <v>13</v>
      </c>
      <c r="CY8" s="63" t="s">
        <v>13</v>
      </c>
      <c r="CZ8" s="61" t="s">
        <v>2</v>
      </c>
      <c r="DA8" s="61" t="s">
        <v>2</v>
      </c>
      <c r="DB8" s="62" t="s">
        <v>117</v>
      </c>
      <c r="DC8" s="69" t="s">
        <v>133</v>
      </c>
      <c r="DD8" s="69" t="s">
        <v>114</v>
      </c>
      <c r="DE8" s="69" t="s">
        <v>133</v>
      </c>
      <c r="DF8" s="63" t="s">
        <v>113</v>
      </c>
      <c r="DG8" s="61" t="s">
        <v>2</v>
      </c>
      <c r="DH8" s="61" t="s">
        <v>2</v>
      </c>
      <c r="DI8" s="70" t="s">
        <v>117</v>
      </c>
      <c r="DJ8" s="63" t="s">
        <v>12</v>
      </c>
      <c r="DK8" s="63" t="s">
        <v>12</v>
      </c>
      <c r="DL8" s="65" t="s">
        <v>111</v>
      </c>
      <c r="DM8" s="65" t="s">
        <v>111</v>
      </c>
      <c r="DN8" s="61" t="s">
        <v>2</v>
      </c>
      <c r="DO8" s="61" t="s">
        <v>2</v>
      </c>
      <c r="DP8" s="70" t="s">
        <v>117</v>
      </c>
      <c r="DQ8" s="63" t="s">
        <v>113</v>
      </c>
      <c r="DR8" s="63" t="s">
        <v>113</v>
      </c>
      <c r="DS8" s="69" t="s">
        <v>133</v>
      </c>
      <c r="DT8" s="69" t="s">
        <v>133</v>
      </c>
      <c r="DU8" s="68" t="s">
        <v>27</v>
      </c>
      <c r="DV8" s="61" t="s">
        <v>2</v>
      </c>
      <c r="DW8" s="61" t="s">
        <v>2</v>
      </c>
      <c r="DX8" s="68" t="s">
        <v>27</v>
      </c>
      <c r="DY8" s="63" t="s">
        <v>137</v>
      </c>
      <c r="DZ8" s="63" t="s">
        <v>12</v>
      </c>
      <c r="EA8" s="69" t="s">
        <v>138</v>
      </c>
      <c r="EB8" s="61" t="s">
        <v>2</v>
      </c>
      <c r="EC8" s="61" t="s">
        <v>2</v>
      </c>
      <c r="ED8" s="70" t="s">
        <v>117</v>
      </c>
      <c r="EE8" s="55" t="s">
        <v>139</v>
      </c>
      <c r="EF8" s="55" t="s">
        <v>139</v>
      </c>
      <c r="EG8" s="55" t="s">
        <v>139</v>
      </c>
      <c r="EH8" s="62" t="s">
        <v>117</v>
      </c>
      <c r="EI8" s="61" t="s">
        <v>2</v>
      </c>
      <c r="EJ8" s="61" t="s">
        <v>2</v>
      </c>
      <c r="EK8" s="62" t="s">
        <v>117</v>
      </c>
      <c r="EL8" s="63" t="s">
        <v>113</v>
      </c>
      <c r="EM8" s="69" t="s">
        <v>114</v>
      </c>
      <c r="EN8" s="63" t="s">
        <v>113</v>
      </c>
      <c r="EO8" s="61" t="s">
        <v>2</v>
      </c>
      <c r="EP8" s="61" t="s">
        <v>2</v>
      </c>
      <c r="EQ8" s="69" t="s">
        <v>114</v>
      </c>
      <c r="ER8" s="62" t="s">
        <v>117</v>
      </c>
      <c r="ES8" s="65" t="s">
        <v>140</v>
      </c>
      <c r="ET8" s="65" t="s">
        <v>140</v>
      </c>
      <c r="EU8" s="65" t="s">
        <v>140</v>
      </c>
      <c r="EV8" s="65" t="s">
        <v>140</v>
      </c>
      <c r="EW8" s="61" t="s">
        <v>2</v>
      </c>
      <c r="EX8" s="61" t="s">
        <v>2</v>
      </c>
      <c r="EY8" s="62" t="s">
        <v>117</v>
      </c>
      <c r="EZ8" s="87" t="s">
        <v>138</v>
      </c>
      <c r="FA8" s="87" t="s">
        <v>138</v>
      </c>
      <c r="FB8" s="87" t="s">
        <v>138</v>
      </c>
      <c r="FC8" s="87" t="s">
        <v>138</v>
      </c>
      <c r="FD8" s="72" t="s">
        <v>2</v>
      </c>
      <c r="FE8" s="72" t="s">
        <v>2</v>
      </c>
      <c r="FF8" s="88" t="s">
        <v>117</v>
      </c>
      <c r="FG8" s="63" t="s">
        <v>113</v>
      </c>
      <c r="FH8" s="63" t="s">
        <v>113</v>
      </c>
      <c r="FI8" s="63" t="s">
        <v>113</v>
      </c>
      <c r="FJ8" s="63" t="s">
        <v>113</v>
      </c>
      <c r="FK8" s="61" t="s">
        <v>2</v>
      </c>
      <c r="FL8" s="61" t="s">
        <v>2</v>
      </c>
      <c r="FM8" s="62" t="s">
        <v>117</v>
      </c>
      <c r="FN8" s="69" t="s">
        <v>138</v>
      </c>
      <c r="FO8" s="69" t="s">
        <v>138</v>
      </c>
      <c r="FP8" s="69" t="s">
        <v>138</v>
      </c>
      <c r="FQ8" s="69" t="s">
        <v>138</v>
      </c>
      <c r="FR8" s="61" t="s">
        <v>2</v>
      </c>
      <c r="FS8" s="61" t="s">
        <v>2</v>
      </c>
      <c r="FT8" s="62" t="s">
        <v>117</v>
      </c>
      <c r="FU8" s="89" t="s">
        <v>113</v>
      </c>
      <c r="FV8" s="89" t="s">
        <v>113</v>
      </c>
      <c r="FW8" s="89" t="s">
        <v>113</v>
      </c>
      <c r="FX8" s="69" t="s">
        <v>138</v>
      </c>
      <c r="FY8" s="61" t="s">
        <v>2</v>
      </c>
      <c r="FZ8" s="61" t="s">
        <v>2</v>
      </c>
      <c r="GA8" s="62" t="s">
        <v>117</v>
      </c>
      <c r="GB8" s="73" t="s">
        <v>140</v>
      </c>
      <c r="GC8" s="73" t="s">
        <v>140</v>
      </c>
      <c r="GD8" s="73" t="s">
        <v>140</v>
      </c>
      <c r="GE8" s="89" t="s">
        <v>12</v>
      </c>
      <c r="GF8" s="61" t="s">
        <v>2</v>
      </c>
      <c r="GG8" s="61" t="s">
        <v>2</v>
      </c>
      <c r="GH8" s="62" t="s">
        <v>3</v>
      </c>
      <c r="GI8" s="82" t="s">
        <v>45</v>
      </c>
      <c r="GJ8" s="54" t="s">
        <v>51</v>
      </c>
      <c r="GK8" s="54" t="s">
        <v>51</v>
      </c>
      <c r="GL8" s="54" t="s">
        <v>141</v>
      </c>
      <c r="GM8" s="56" t="s">
        <v>2</v>
      </c>
      <c r="GN8" s="56" t="s">
        <v>2</v>
      </c>
      <c r="GO8" s="88" t="s">
        <v>142</v>
      </c>
      <c r="GP8" s="58" t="s">
        <v>143</v>
      </c>
      <c r="GQ8" s="58" t="s">
        <v>143</v>
      </c>
      <c r="GR8" s="58" t="s">
        <v>143</v>
      </c>
      <c r="GS8" s="80" t="s">
        <v>120</v>
      </c>
      <c r="GT8" s="56" t="s">
        <v>2</v>
      </c>
      <c r="GU8" s="56" t="s">
        <v>2</v>
      </c>
      <c r="GV8" s="62" t="s">
        <v>144</v>
      </c>
      <c r="GW8" s="58" t="s">
        <v>143</v>
      </c>
      <c r="GX8" s="58" t="s">
        <v>143</v>
      </c>
      <c r="GY8" s="58" t="s">
        <v>143</v>
      </c>
      <c r="GZ8" s="80" t="s">
        <v>120</v>
      </c>
      <c r="HA8" s="56" t="s">
        <v>2</v>
      </c>
      <c r="HB8" s="56" t="s">
        <v>2</v>
      </c>
      <c r="HC8" s="62" t="s">
        <v>144</v>
      </c>
      <c r="HD8" s="58" t="s">
        <v>143</v>
      </c>
      <c r="HE8" s="58" t="s">
        <v>63</v>
      </c>
      <c r="HF8" s="55" t="s">
        <v>124</v>
      </c>
      <c r="HG8" s="80" t="s">
        <v>120</v>
      </c>
      <c r="HH8" s="56" t="s">
        <v>2</v>
      </c>
      <c r="HI8" s="56" t="s">
        <v>2</v>
      </c>
      <c r="HJ8" s="62" t="s">
        <v>144</v>
      </c>
      <c r="HK8" s="55" t="s">
        <v>124</v>
      </c>
      <c r="HL8" s="55" t="s">
        <v>124</v>
      </c>
      <c r="HM8" s="55" t="s">
        <v>124</v>
      </c>
      <c r="HN8" s="80" t="s">
        <v>120</v>
      </c>
      <c r="HO8" s="61" t="s">
        <v>2</v>
      </c>
      <c r="HP8" s="61" t="s">
        <v>2</v>
      </c>
      <c r="HQ8" s="62" t="s">
        <v>145</v>
      </c>
      <c r="HR8" s="82" t="s">
        <v>146</v>
      </c>
      <c r="HS8" s="82" t="s">
        <v>146</v>
      </c>
      <c r="HT8" s="60" t="s">
        <v>147</v>
      </c>
      <c r="HU8" s="90" t="s">
        <v>148</v>
      </c>
      <c r="HV8" s="61" t="s">
        <v>2</v>
      </c>
      <c r="HW8" s="61" t="s">
        <v>2</v>
      </c>
      <c r="HX8" s="62" t="s">
        <v>149</v>
      </c>
      <c r="HY8" s="82" t="s">
        <v>146</v>
      </c>
      <c r="HZ8" s="82" t="s">
        <v>146</v>
      </c>
      <c r="IA8" s="80" t="s">
        <v>119</v>
      </c>
      <c r="IB8" s="80" t="s">
        <v>119</v>
      </c>
      <c r="IC8" s="61" t="s">
        <v>127</v>
      </c>
      <c r="ID8" s="61" t="s">
        <v>127</v>
      </c>
      <c r="IE8" s="62" t="s">
        <v>149</v>
      </c>
      <c r="IF8" s="62" t="s">
        <v>150</v>
      </c>
      <c r="IG8" s="82" t="s">
        <v>45</v>
      </c>
      <c r="IH8" s="80" t="s">
        <v>151</v>
      </c>
      <c r="II8" s="80" t="s">
        <v>151</v>
      </c>
      <c r="IJ8" s="61" t="s">
        <v>2</v>
      </c>
      <c r="IK8" s="61" t="s">
        <v>2</v>
      </c>
      <c r="IL8" s="62" t="s">
        <v>149</v>
      </c>
      <c r="IM8" s="82" t="s">
        <v>45</v>
      </c>
      <c r="IN8" s="82" t="s">
        <v>45</v>
      </c>
      <c r="IO8" s="80" t="s">
        <v>152</v>
      </c>
      <c r="IP8" s="80" t="s">
        <v>152</v>
      </c>
      <c r="IQ8" s="61" t="s">
        <v>2</v>
      </c>
      <c r="IR8" s="61" t="s">
        <v>2</v>
      </c>
      <c r="IS8" s="62" t="s">
        <v>149</v>
      </c>
      <c r="IT8" s="82" t="s">
        <v>45</v>
      </c>
      <c r="IU8" s="82" t="s">
        <v>45</v>
      </c>
      <c r="IV8" s="80" t="s">
        <v>152</v>
      </c>
      <c r="IW8" s="80" t="s">
        <v>152</v>
      </c>
      <c r="IX8" s="56" t="s">
        <v>2</v>
      </c>
      <c r="IY8" s="56" t="s">
        <v>2</v>
      </c>
      <c r="IZ8" s="62" t="s">
        <v>149</v>
      </c>
      <c r="JA8" s="82" t="s">
        <v>45</v>
      </c>
      <c r="JB8" s="82" t="s">
        <v>45</v>
      </c>
      <c r="JC8" s="56" t="s">
        <v>2</v>
      </c>
      <c r="JD8" s="80" t="s">
        <v>152</v>
      </c>
      <c r="JE8" s="56" t="s">
        <v>130</v>
      </c>
      <c r="JF8" s="56" t="s">
        <v>2</v>
      </c>
      <c r="JG8" s="62" t="s">
        <v>149</v>
      </c>
      <c r="JH8" s="82" t="s">
        <v>45</v>
      </c>
      <c r="JI8" s="82" t="s">
        <v>45</v>
      </c>
      <c r="JJ8" s="80" t="s">
        <v>119</v>
      </c>
      <c r="JK8" s="80" t="s">
        <v>119</v>
      </c>
      <c r="JL8" s="56" t="s">
        <v>2</v>
      </c>
      <c r="JM8" s="56" t="s">
        <v>2</v>
      </c>
      <c r="JN8" s="62" t="s">
        <v>149</v>
      </c>
      <c r="JO8" s="82" t="s">
        <v>153</v>
      </c>
      <c r="JP8" s="82" t="s">
        <v>45</v>
      </c>
      <c r="JQ8" s="82" t="s">
        <v>45</v>
      </c>
      <c r="JR8" s="80" t="s">
        <v>152</v>
      </c>
      <c r="JS8" s="56" t="s">
        <v>2</v>
      </c>
      <c r="JT8" s="56" t="s">
        <v>2</v>
      </c>
      <c r="JU8" s="62" t="s">
        <v>149</v>
      </c>
      <c r="JV8" s="98" t="s">
        <v>126</v>
      </c>
      <c r="JW8" s="98" t="s">
        <v>126</v>
      </c>
      <c r="JX8" s="98" t="s">
        <v>126</v>
      </c>
      <c r="JY8" s="98" t="s">
        <v>126</v>
      </c>
      <c r="JZ8" s="129" t="s">
        <v>2</v>
      </c>
      <c r="KA8" s="129" t="s">
        <v>2</v>
      </c>
      <c r="KB8" s="88" t="s">
        <v>149</v>
      </c>
      <c r="KC8" s="212" t="s">
        <v>45</v>
      </c>
      <c r="KD8" s="212" t="s">
        <v>45</v>
      </c>
      <c r="KE8" s="212" t="s">
        <v>45</v>
      </c>
      <c r="KF8" s="141" t="s">
        <v>152</v>
      </c>
      <c r="KG8" s="129" t="s">
        <v>2</v>
      </c>
      <c r="KH8" s="129" t="s">
        <v>2</v>
      </c>
      <c r="KI8" s="88" t="s">
        <v>149</v>
      </c>
      <c r="KJ8" s="212" t="s">
        <v>45</v>
      </c>
      <c r="KK8" s="212" t="s">
        <v>45</v>
      </c>
      <c r="KL8" s="212" t="s">
        <v>45</v>
      </c>
      <c r="KM8" s="141" t="s">
        <v>152</v>
      </c>
      <c r="KN8" s="129" t="s">
        <v>2</v>
      </c>
      <c r="KO8" s="129" t="s">
        <v>2</v>
      </c>
      <c r="KP8" s="88" t="s">
        <v>149</v>
      </c>
      <c r="KQ8" s="212" t="s">
        <v>45</v>
      </c>
      <c r="KR8" s="212" t="s">
        <v>45</v>
      </c>
      <c r="KS8" s="212" t="s">
        <v>45</v>
      </c>
      <c r="KT8" s="141" t="s">
        <v>119</v>
      </c>
      <c r="KU8" s="129" t="s">
        <v>2</v>
      </c>
      <c r="KV8" s="129" t="s">
        <v>2</v>
      </c>
      <c r="KW8" s="88" t="s">
        <v>149</v>
      </c>
      <c r="KX8" s="212" t="s">
        <v>45</v>
      </c>
      <c r="KY8" s="212" t="s">
        <v>45</v>
      </c>
      <c r="KZ8" s="141" t="s">
        <v>152</v>
      </c>
      <c r="LA8" s="141" t="s">
        <v>119</v>
      </c>
      <c r="LB8" s="129" t="s">
        <v>2</v>
      </c>
      <c r="LC8" s="129" t="s">
        <v>2</v>
      </c>
      <c r="LD8" s="88" t="s">
        <v>149</v>
      </c>
      <c r="LE8" s="212" t="s">
        <v>45</v>
      </c>
      <c r="LF8" s="212" t="s">
        <v>45</v>
      </c>
      <c r="LG8" s="141" t="s">
        <v>152</v>
      </c>
      <c r="LH8" s="141" t="s">
        <v>119</v>
      </c>
      <c r="LI8" s="129" t="s">
        <v>2</v>
      </c>
      <c r="LJ8" s="129" t="s">
        <v>2</v>
      </c>
      <c r="LK8" s="88" t="s">
        <v>149</v>
      </c>
      <c r="LL8" s="212" t="s">
        <v>45</v>
      </c>
      <c r="LM8" s="212" t="s">
        <v>45</v>
      </c>
      <c r="LN8" s="141" t="s">
        <v>152</v>
      </c>
      <c r="LO8" s="141" t="s">
        <v>119</v>
      </c>
      <c r="LP8" s="129" t="s">
        <v>2</v>
      </c>
      <c r="LQ8" s="129" t="s">
        <v>2</v>
      </c>
      <c r="LR8" s="88" t="s">
        <v>149</v>
      </c>
      <c r="LS8" s="212" t="s">
        <v>45</v>
      </c>
      <c r="LT8" s="212" t="s">
        <v>45</v>
      </c>
      <c r="LU8" s="141" t="s">
        <v>152</v>
      </c>
      <c r="LV8" s="141" t="s">
        <v>119</v>
      </c>
      <c r="LW8" s="129" t="s">
        <v>2</v>
      </c>
      <c r="LX8" s="129" t="s">
        <v>2</v>
      </c>
      <c r="LY8" s="102" t="s">
        <v>27</v>
      </c>
      <c r="LZ8" s="102" t="s">
        <v>27</v>
      </c>
      <c r="MA8" s="102" t="s">
        <v>27</v>
      </c>
      <c r="MB8" s="102" t="s">
        <v>27</v>
      </c>
      <c r="MC8" s="102" t="s">
        <v>27</v>
      </c>
      <c r="MD8" s="129" t="s">
        <v>2</v>
      </c>
      <c r="ME8" s="129" t="s">
        <v>2</v>
      </c>
      <c r="MF8" s="88" t="s">
        <v>149</v>
      </c>
      <c r="MG8" s="212" t="s">
        <v>45</v>
      </c>
      <c r="MH8" s="212" t="s">
        <v>45</v>
      </c>
      <c r="MI8" s="141" t="s">
        <v>152</v>
      </c>
      <c r="MJ8" s="141" t="s">
        <v>119</v>
      </c>
      <c r="MK8" s="129" t="s">
        <v>2</v>
      </c>
      <c r="ML8" s="129" t="s">
        <v>2</v>
      </c>
      <c r="MM8" s="88" t="s">
        <v>149</v>
      </c>
    </row>
    <row r="9" spans="1:372" ht="15" hidden="1" thickBot="1">
      <c r="A9" s="473"/>
      <c r="B9" s="473"/>
      <c r="C9" s="473"/>
      <c r="D9" s="473"/>
      <c r="E9" s="507"/>
      <c r="F9" s="473"/>
      <c r="G9" s="473"/>
      <c r="H9" s="507"/>
      <c r="I9" s="473"/>
      <c r="J9" s="473"/>
      <c r="K9" s="473"/>
      <c r="L9" s="495"/>
      <c r="M9" s="495"/>
      <c r="N9" s="495"/>
      <c r="O9" s="504" t="s">
        <v>154</v>
      </c>
      <c r="P9" s="501" t="s">
        <v>11</v>
      </c>
      <c r="Q9" s="50" t="s">
        <v>2</v>
      </c>
      <c r="R9" s="50" t="s">
        <v>2</v>
      </c>
      <c r="S9" s="92" t="s">
        <v>19</v>
      </c>
      <c r="T9" s="49" t="s">
        <v>8</v>
      </c>
      <c r="U9" s="49" t="s">
        <v>8</v>
      </c>
      <c r="V9" s="93" t="s">
        <v>7</v>
      </c>
      <c r="W9" s="84" t="s">
        <v>11</v>
      </c>
      <c r="X9" s="50" t="s">
        <v>2</v>
      </c>
      <c r="Y9" s="50" t="s">
        <v>2</v>
      </c>
      <c r="Z9" s="94" t="s">
        <v>16</v>
      </c>
      <c r="AA9" s="94" t="s">
        <v>16</v>
      </c>
      <c r="AB9" s="94" t="s">
        <v>16</v>
      </c>
      <c r="AC9" s="93" t="s">
        <v>14</v>
      </c>
      <c r="AD9" s="95" t="s">
        <v>11</v>
      </c>
      <c r="AE9" s="95" t="s">
        <v>11</v>
      </c>
      <c r="AF9" s="56" t="s">
        <v>2</v>
      </c>
      <c r="AG9" s="55" t="s">
        <v>16</v>
      </c>
      <c r="AH9" s="55" t="s">
        <v>16</v>
      </c>
      <c r="AI9" s="55" t="s">
        <v>16</v>
      </c>
      <c r="AJ9" s="56" t="s">
        <v>2</v>
      </c>
      <c r="AK9" s="85" t="s">
        <v>5</v>
      </c>
      <c r="AL9" s="56" t="s">
        <v>2</v>
      </c>
      <c r="AM9" s="56" t="s">
        <v>2</v>
      </c>
      <c r="AN9" s="85" t="s">
        <v>5</v>
      </c>
      <c r="AO9" s="85" t="s">
        <v>5</v>
      </c>
      <c r="AP9" s="85" t="s">
        <v>6</v>
      </c>
      <c r="AQ9" s="57" t="s">
        <v>3</v>
      </c>
      <c r="AR9" s="59" t="s">
        <v>6</v>
      </c>
      <c r="AS9" s="56" t="s">
        <v>2</v>
      </c>
      <c r="AT9" s="55" t="s">
        <v>16</v>
      </c>
      <c r="AU9" s="96" t="s">
        <v>19</v>
      </c>
      <c r="AV9" s="54" t="s">
        <v>9</v>
      </c>
      <c r="AW9" s="56" t="s">
        <v>2</v>
      </c>
      <c r="AX9" s="59" t="s">
        <v>18</v>
      </c>
      <c r="AY9" s="63" t="s">
        <v>12</v>
      </c>
      <c r="AZ9" s="63" t="s">
        <v>12</v>
      </c>
      <c r="BA9" s="56" t="s">
        <v>2</v>
      </c>
      <c r="BB9" s="56" t="s">
        <v>2</v>
      </c>
      <c r="BC9" s="59" t="s">
        <v>6</v>
      </c>
      <c r="BD9" s="64" t="s">
        <v>8</v>
      </c>
      <c r="BE9" s="54" t="s">
        <v>106</v>
      </c>
      <c r="BF9" s="64" t="s">
        <v>105</v>
      </c>
      <c r="BG9" s="64" t="s">
        <v>105</v>
      </c>
      <c r="BH9" s="61" t="s">
        <v>2</v>
      </c>
      <c r="BI9" s="61" t="s">
        <v>2</v>
      </c>
      <c r="BJ9" s="64" t="s">
        <v>105</v>
      </c>
      <c r="BK9" s="96" t="s">
        <v>19</v>
      </c>
      <c r="BL9" s="65" t="s">
        <v>106</v>
      </c>
      <c r="BM9" s="55" t="s">
        <v>15</v>
      </c>
      <c r="BN9" s="55" t="s">
        <v>15</v>
      </c>
      <c r="BO9" s="61" t="s">
        <v>2</v>
      </c>
      <c r="BP9" s="55" t="s">
        <v>15</v>
      </c>
      <c r="BQ9" s="58" t="s">
        <v>104</v>
      </c>
      <c r="BR9" s="55" t="s">
        <v>15</v>
      </c>
      <c r="BS9" s="61" t="s">
        <v>2</v>
      </c>
      <c r="BT9" s="61" t="s">
        <v>2</v>
      </c>
      <c r="BU9" s="61" t="s">
        <v>2</v>
      </c>
      <c r="BV9" s="69" t="s">
        <v>6</v>
      </c>
      <c r="BW9" s="69" t="s">
        <v>6</v>
      </c>
      <c r="BX9" s="69" t="s">
        <v>6</v>
      </c>
      <c r="BY9" s="58" t="s">
        <v>104</v>
      </c>
      <c r="BZ9" s="62" t="s">
        <v>117</v>
      </c>
      <c r="CA9" s="67" t="s">
        <v>2</v>
      </c>
      <c r="CB9" s="67" t="s">
        <v>2</v>
      </c>
      <c r="CC9" s="97" t="s">
        <v>106</v>
      </c>
      <c r="CD9" s="66" t="s">
        <v>108</v>
      </c>
      <c r="CE9" s="66" t="s">
        <v>108</v>
      </c>
      <c r="CF9" s="66" t="s">
        <v>108</v>
      </c>
      <c r="CG9" s="66" t="s">
        <v>112</v>
      </c>
      <c r="CH9" s="96" t="s">
        <v>19</v>
      </c>
      <c r="CI9" s="61" t="s">
        <v>2</v>
      </c>
      <c r="CJ9" s="61" t="s">
        <v>2</v>
      </c>
      <c r="CK9" s="65" t="s">
        <v>106</v>
      </c>
      <c r="CL9" s="65" t="s">
        <v>106</v>
      </c>
      <c r="CM9" s="65" t="s">
        <v>106</v>
      </c>
      <c r="CN9" s="62" t="s">
        <v>117</v>
      </c>
      <c r="CO9" s="58" t="s">
        <v>104</v>
      </c>
      <c r="CP9" s="61" t="s">
        <v>2</v>
      </c>
      <c r="CQ9" s="61" t="s">
        <v>2</v>
      </c>
      <c r="CR9" s="63" t="s">
        <v>13</v>
      </c>
      <c r="CS9" s="63" t="s">
        <v>13</v>
      </c>
      <c r="CT9" s="69" t="s">
        <v>108</v>
      </c>
      <c r="CU9" s="69" t="s">
        <v>112</v>
      </c>
      <c r="CV9" s="69" t="s">
        <v>108</v>
      </c>
      <c r="CW9" s="68" t="s">
        <v>110</v>
      </c>
      <c r="CX9" s="61" t="s">
        <v>2</v>
      </c>
      <c r="CY9" s="55" t="s">
        <v>109</v>
      </c>
      <c r="CZ9" s="55" t="s">
        <v>109</v>
      </c>
      <c r="DA9" s="55" t="s">
        <v>109</v>
      </c>
      <c r="DB9" s="61" t="s">
        <v>2</v>
      </c>
      <c r="DC9" s="65" t="s">
        <v>7</v>
      </c>
      <c r="DD9" s="65" t="s">
        <v>7</v>
      </c>
      <c r="DE9" s="61" t="s">
        <v>2</v>
      </c>
      <c r="DF9" s="61" t="s">
        <v>2</v>
      </c>
      <c r="DG9" s="55" t="s">
        <v>118</v>
      </c>
      <c r="DH9" s="55" t="s">
        <v>118</v>
      </c>
      <c r="DI9" s="70" t="s">
        <v>117</v>
      </c>
      <c r="DJ9" s="90" t="s">
        <v>155</v>
      </c>
      <c r="DK9" s="58" t="s">
        <v>11</v>
      </c>
      <c r="DL9" s="61" t="s">
        <v>2</v>
      </c>
      <c r="DM9" s="61" t="s">
        <v>2</v>
      </c>
      <c r="DN9" s="63" t="s">
        <v>12</v>
      </c>
      <c r="DO9" s="69" t="s">
        <v>114</v>
      </c>
      <c r="DP9" s="69" t="s">
        <v>116</v>
      </c>
      <c r="DQ9" s="69" t="s">
        <v>114</v>
      </c>
      <c r="DR9" s="61" t="s">
        <v>2</v>
      </c>
      <c r="DS9" s="61" t="s">
        <v>2</v>
      </c>
      <c r="DT9" s="58" t="s">
        <v>11</v>
      </c>
      <c r="DU9" s="69" t="s">
        <v>114</v>
      </c>
      <c r="DV9" s="69" t="s">
        <v>114</v>
      </c>
      <c r="DW9" s="70" t="s">
        <v>117</v>
      </c>
      <c r="DX9" s="69" t="s">
        <v>114</v>
      </c>
      <c r="DY9" s="61" t="s">
        <v>2</v>
      </c>
      <c r="DZ9" s="61" t="s">
        <v>2</v>
      </c>
      <c r="EA9" s="55" t="s">
        <v>139</v>
      </c>
      <c r="EB9" s="55" t="s">
        <v>118</v>
      </c>
      <c r="EC9" s="55" t="s">
        <v>118</v>
      </c>
      <c r="ED9" s="65" t="s">
        <v>115</v>
      </c>
      <c r="EE9" s="69" t="s">
        <v>114</v>
      </c>
      <c r="EF9" s="69" t="s">
        <v>114</v>
      </c>
      <c r="EG9" s="61" t="s">
        <v>2</v>
      </c>
      <c r="EH9" s="61" t="s">
        <v>2</v>
      </c>
      <c r="EI9" s="90" t="s">
        <v>156</v>
      </c>
      <c r="EJ9" s="69" t="s">
        <v>114</v>
      </c>
      <c r="EK9" s="70" t="s">
        <v>117</v>
      </c>
      <c r="EL9" s="69" t="s">
        <v>114</v>
      </c>
      <c r="EM9" s="61" t="s">
        <v>2</v>
      </c>
      <c r="EN9" s="61" t="s">
        <v>2</v>
      </c>
      <c r="EO9" s="65" t="s">
        <v>157</v>
      </c>
      <c r="EP9" s="55" t="s">
        <v>118</v>
      </c>
      <c r="EQ9" s="55" t="s">
        <v>118</v>
      </c>
      <c r="ER9" s="65" t="s">
        <v>115</v>
      </c>
      <c r="ES9" s="68" t="s">
        <v>27</v>
      </c>
      <c r="ET9" s="68" t="s">
        <v>27</v>
      </c>
      <c r="EU9" s="68" t="s">
        <v>27</v>
      </c>
      <c r="EV9" s="68" t="s">
        <v>27</v>
      </c>
      <c r="EW9" s="68" t="s">
        <v>27</v>
      </c>
      <c r="EX9" s="61" t="s">
        <v>2</v>
      </c>
      <c r="EY9" s="61" t="s">
        <v>2</v>
      </c>
      <c r="EZ9" s="98" t="s">
        <v>118</v>
      </c>
      <c r="FA9" s="98" t="s">
        <v>118</v>
      </c>
      <c r="FB9" s="72" t="s">
        <v>2</v>
      </c>
      <c r="FC9" s="72" t="s">
        <v>2</v>
      </c>
      <c r="FD9" s="98" t="s">
        <v>118</v>
      </c>
      <c r="FE9" s="98" t="s">
        <v>118</v>
      </c>
      <c r="FF9" s="99" t="s">
        <v>115</v>
      </c>
      <c r="FG9" s="69" t="s">
        <v>114</v>
      </c>
      <c r="FH9" s="69" t="s">
        <v>114</v>
      </c>
      <c r="FI9" s="61" t="s">
        <v>2</v>
      </c>
      <c r="FJ9" s="61" t="s">
        <v>2</v>
      </c>
      <c r="FK9" s="69" t="s">
        <v>114</v>
      </c>
      <c r="FL9" s="69" t="s">
        <v>114</v>
      </c>
      <c r="FM9" s="62" t="s">
        <v>117</v>
      </c>
      <c r="FN9" s="69" t="s">
        <v>114</v>
      </c>
      <c r="FO9" s="69" t="s">
        <v>114</v>
      </c>
      <c r="FP9" s="61" t="s">
        <v>2</v>
      </c>
      <c r="FQ9" s="61" t="s">
        <v>2</v>
      </c>
      <c r="FR9" s="73" t="s">
        <v>7</v>
      </c>
      <c r="FS9" s="55" t="s">
        <v>118</v>
      </c>
      <c r="FT9" s="73" t="s">
        <v>115</v>
      </c>
      <c r="FU9" s="73" t="s">
        <v>7</v>
      </c>
      <c r="FV9" s="73" t="s">
        <v>7</v>
      </c>
      <c r="FW9" s="61" t="s">
        <v>2</v>
      </c>
      <c r="FX9" s="61" t="s">
        <v>2</v>
      </c>
      <c r="FY9" s="77" t="s">
        <v>118</v>
      </c>
      <c r="FZ9" s="77" t="s">
        <v>118</v>
      </c>
      <c r="GA9" s="75" t="s">
        <v>116</v>
      </c>
      <c r="GB9" s="75" t="s">
        <v>114</v>
      </c>
      <c r="GC9" s="75" t="s">
        <v>114</v>
      </c>
      <c r="GD9" s="74" t="s">
        <v>2</v>
      </c>
      <c r="GE9" s="74" t="s">
        <v>2</v>
      </c>
      <c r="GF9" s="90" t="s">
        <v>156</v>
      </c>
      <c r="GG9" s="75" t="s">
        <v>114</v>
      </c>
      <c r="GH9" s="69" t="s">
        <v>17</v>
      </c>
      <c r="GI9" s="54" t="s">
        <v>128</v>
      </c>
      <c r="GJ9" s="54" t="s">
        <v>128</v>
      </c>
      <c r="GK9" s="56" t="s">
        <v>2</v>
      </c>
      <c r="GL9" s="56" t="s">
        <v>2</v>
      </c>
      <c r="GM9" s="55" t="s">
        <v>124</v>
      </c>
      <c r="GN9" s="55" t="s">
        <v>124</v>
      </c>
      <c r="GO9" s="54" t="s">
        <v>123</v>
      </c>
      <c r="GP9" s="54" t="s">
        <v>123</v>
      </c>
      <c r="GQ9" s="56" t="s">
        <v>2</v>
      </c>
      <c r="GR9" s="80" t="s">
        <v>121</v>
      </c>
      <c r="GS9" s="56" t="s">
        <v>2</v>
      </c>
      <c r="GT9" s="80" t="s">
        <v>120</v>
      </c>
      <c r="GU9" s="55" t="s">
        <v>124</v>
      </c>
      <c r="GV9" s="58" t="s">
        <v>63</v>
      </c>
      <c r="GW9" s="54" t="s">
        <v>123</v>
      </c>
      <c r="GX9" s="80" t="s">
        <v>120</v>
      </c>
      <c r="GY9" s="56" t="s">
        <v>2</v>
      </c>
      <c r="GZ9" s="56" t="s">
        <v>2</v>
      </c>
      <c r="HA9" s="54" t="s">
        <v>123</v>
      </c>
      <c r="HB9" s="55" t="s">
        <v>124</v>
      </c>
      <c r="HC9" s="58" t="s">
        <v>63</v>
      </c>
      <c r="HD9" s="54" t="s">
        <v>123</v>
      </c>
      <c r="HE9" s="56" t="s">
        <v>2</v>
      </c>
      <c r="HF9" s="80" t="s">
        <v>121</v>
      </c>
      <c r="HG9" s="56" t="s">
        <v>2</v>
      </c>
      <c r="HH9" s="55" t="s">
        <v>124</v>
      </c>
      <c r="HI9" s="55" t="s">
        <v>124</v>
      </c>
      <c r="HJ9" s="54" t="s">
        <v>123</v>
      </c>
      <c r="HK9" s="80" t="s">
        <v>120</v>
      </c>
      <c r="HL9" s="90" t="s">
        <v>158</v>
      </c>
      <c r="HM9" s="61" t="s">
        <v>2</v>
      </c>
      <c r="HN9" s="61" t="s">
        <v>2</v>
      </c>
      <c r="HO9" s="55" t="s">
        <v>125</v>
      </c>
      <c r="HP9" s="55" t="s">
        <v>159</v>
      </c>
      <c r="HQ9" s="65" t="s">
        <v>160</v>
      </c>
      <c r="HR9" s="81" t="s">
        <v>129</v>
      </c>
      <c r="HS9" s="81" t="s">
        <v>129</v>
      </c>
      <c r="HT9" s="61" t="s">
        <v>2</v>
      </c>
      <c r="HU9" s="61" t="s">
        <v>2</v>
      </c>
      <c r="HV9" s="90" t="s">
        <v>161</v>
      </c>
      <c r="HW9" s="55" t="s">
        <v>162</v>
      </c>
      <c r="HX9" s="65" t="s">
        <v>54</v>
      </c>
      <c r="HY9" s="80" t="s">
        <v>119</v>
      </c>
      <c r="HZ9" s="80" t="s">
        <v>119</v>
      </c>
      <c r="IA9" s="61" t="s">
        <v>127</v>
      </c>
      <c r="IB9" s="61" t="s">
        <v>127</v>
      </c>
      <c r="IC9" s="80" t="s">
        <v>163</v>
      </c>
      <c r="ID9" s="80" t="s">
        <v>152</v>
      </c>
      <c r="IE9" s="80" t="s">
        <v>164</v>
      </c>
      <c r="IF9" s="65" t="s">
        <v>128</v>
      </c>
      <c r="IG9" s="65" t="s">
        <v>128</v>
      </c>
      <c r="IH9" s="61" t="s">
        <v>2</v>
      </c>
      <c r="II9" s="61" t="s">
        <v>2</v>
      </c>
      <c r="IJ9" s="65" t="s">
        <v>128</v>
      </c>
      <c r="IK9" s="65" t="s">
        <v>128</v>
      </c>
      <c r="IL9" s="65" t="s">
        <v>128</v>
      </c>
      <c r="IM9" s="80" t="s">
        <v>152</v>
      </c>
      <c r="IN9" s="80" t="s">
        <v>152</v>
      </c>
      <c r="IO9" s="61" t="s">
        <v>2</v>
      </c>
      <c r="IP9" s="61" t="s">
        <v>2</v>
      </c>
      <c r="IQ9" s="80" t="s">
        <v>152</v>
      </c>
      <c r="IR9" s="80" t="s">
        <v>152</v>
      </c>
      <c r="IS9" s="80" t="s">
        <v>164</v>
      </c>
      <c r="IT9" s="80" t="s">
        <v>152</v>
      </c>
      <c r="IU9" s="80" t="s">
        <v>152</v>
      </c>
      <c r="IV9" s="56" t="s">
        <v>2</v>
      </c>
      <c r="IW9" s="56" t="s">
        <v>2</v>
      </c>
      <c r="IX9" s="80" t="s">
        <v>152</v>
      </c>
      <c r="IY9" s="80" t="s">
        <v>152</v>
      </c>
      <c r="IZ9" s="80" t="s">
        <v>164</v>
      </c>
      <c r="JA9" s="80" t="s">
        <v>152</v>
      </c>
      <c r="JB9" s="80" t="s">
        <v>152</v>
      </c>
      <c r="JC9" s="56" t="s">
        <v>2</v>
      </c>
      <c r="JD9" s="56" t="s">
        <v>2</v>
      </c>
      <c r="JE9" s="56" t="s">
        <v>130</v>
      </c>
      <c r="JF9" s="80" t="s">
        <v>152</v>
      </c>
      <c r="JG9" s="80" t="s">
        <v>164</v>
      </c>
      <c r="JH9" s="80" t="s">
        <v>152</v>
      </c>
      <c r="JI9" s="80" t="s">
        <v>152</v>
      </c>
      <c r="JJ9" s="56" t="s">
        <v>2</v>
      </c>
      <c r="JK9" s="56" t="s">
        <v>2</v>
      </c>
      <c r="JL9" s="80" t="s">
        <v>152</v>
      </c>
      <c r="JM9" s="80" t="s">
        <v>152</v>
      </c>
      <c r="JN9" s="80" t="s">
        <v>164</v>
      </c>
      <c r="JO9" s="90" t="s">
        <v>165</v>
      </c>
      <c r="JP9" s="82" t="s">
        <v>45</v>
      </c>
      <c r="JQ9" s="56" t="s">
        <v>2</v>
      </c>
      <c r="JR9" s="82" t="s">
        <v>45</v>
      </c>
      <c r="JS9" s="82" t="s">
        <v>45</v>
      </c>
      <c r="JT9" s="82" t="s">
        <v>45</v>
      </c>
      <c r="JU9" s="56" t="s">
        <v>2</v>
      </c>
    </row>
    <row r="10" spans="1:372" ht="15" thickBot="1">
      <c r="A10" s="508"/>
      <c r="B10" s="473"/>
      <c r="C10" s="473"/>
      <c r="D10" s="516"/>
      <c r="E10" s="518"/>
      <c r="F10" s="517"/>
      <c r="G10" s="495"/>
      <c r="H10" s="518"/>
      <c r="I10" s="509"/>
      <c r="J10" s="473"/>
      <c r="K10" s="508"/>
      <c r="L10" s="527"/>
      <c r="M10" s="495"/>
      <c r="N10" s="495">
        <v>4</v>
      </c>
      <c r="O10" s="504" t="s">
        <v>166</v>
      </c>
      <c r="P10" s="500" t="s">
        <v>5</v>
      </c>
      <c r="Q10" s="51" t="s">
        <v>5</v>
      </c>
      <c r="R10" s="51" t="s">
        <v>5</v>
      </c>
      <c r="S10" s="50" t="s">
        <v>2</v>
      </c>
      <c r="T10" s="51" t="s">
        <v>5</v>
      </c>
      <c r="U10" s="51" t="s">
        <v>5</v>
      </c>
      <c r="V10" s="50" t="s">
        <v>2</v>
      </c>
      <c r="W10" s="94" t="s">
        <v>16</v>
      </c>
      <c r="X10" s="94" t="s">
        <v>16</v>
      </c>
      <c r="Y10" s="94" t="s">
        <v>16</v>
      </c>
      <c r="Z10" s="50" t="s">
        <v>2</v>
      </c>
      <c r="AA10" s="50" t="s">
        <v>2</v>
      </c>
      <c r="AB10" s="94" t="s">
        <v>16</v>
      </c>
      <c r="AC10" s="93" t="s">
        <v>14</v>
      </c>
      <c r="AD10" s="85" t="s">
        <v>6</v>
      </c>
      <c r="AE10" s="95" t="s">
        <v>11</v>
      </c>
      <c r="AF10" s="54" t="s">
        <v>9</v>
      </c>
      <c r="AG10" s="54" t="s">
        <v>9</v>
      </c>
      <c r="AH10" s="54" t="s">
        <v>9</v>
      </c>
      <c r="AI10" s="56" t="s">
        <v>2</v>
      </c>
      <c r="AJ10" s="56" t="s">
        <v>2</v>
      </c>
      <c r="AK10" s="95" t="s">
        <v>10</v>
      </c>
      <c r="AL10" s="56" t="s">
        <v>2</v>
      </c>
      <c r="AM10" s="95" t="s">
        <v>10</v>
      </c>
      <c r="AN10" s="54" t="s">
        <v>8</v>
      </c>
      <c r="AO10" s="85" t="s">
        <v>6</v>
      </c>
      <c r="AP10" s="56" t="s">
        <v>2</v>
      </c>
      <c r="AQ10" s="85" t="s">
        <v>167</v>
      </c>
      <c r="AR10" s="55" t="s">
        <v>16</v>
      </c>
      <c r="AS10" s="55" t="s">
        <v>16</v>
      </c>
      <c r="AT10" s="54" t="s">
        <v>8</v>
      </c>
      <c r="AU10" s="55" t="s">
        <v>103</v>
      </c>
      <c r="AV10" s="55" t="s">
        <v>15</v>
      </c>
      <c r="AW10" s="56" t="s">
        <v>2</v>
      </c>
      <c r="AX10" s="56" t="s">
        <v>2</v>
      </c>
      <c r="AY10" s="59" t="s">
        <v>5</v>
      </c>
      <c r="AZ10" s="56" t="s">
        <v>2</v>
      </c>
      <c r="BA10" s="90" t="s">
        <v>16</v>
      </c>
      <c r="BB10" s="59" t="s">
        <v>6</v>
      </c>
      <c r="BC10" s="56" t="s">
        <v>2</v>
      </c>
      <c r="BD10" s="59" t="s">
        <v>5</v>
      </c>
      <c r="BE10" s="62" t="s">
        <v>3</v>
      </c>
      <c r="BF10" s="61" t="s">
        <v>2</v>
      </c>
      <c r="BG10" s="61" t="s">
        <v>2</v>
      </c>
      <c r="BH10" s="69" t="s">
        <v>6</v>
      </c>
      <c r="BI10" s="69" t="s">
        <v>6</v>
      </c>
      <c r="BJ10" s="69" t="s">
        <v>6</v>
      </c>
      <c r="BK10" s="69" t="s">
        <v>6</v>
      </c>
      <c r="BL10" s="69" t="s">
        <v>18</v>
      </c>
      <c r="BM10" s="61" t="s">
        <v>2</v>
      </c>
      <c r="BN10" s="63" t="s">
        <v>13</v>
      </c>
      <c r="BO10" s="64" t="s">
        <v>105</v>
      </c>
      <c r="BP10" s="64" t="s">
        <v>105</v>
      </c>
      <c r="BQ10" s="61" t="s">
        <v>2</v>
      </c>
      <c r="BR10" s="63" t="s">
        <v>13</v>
      </c>
      <c r="BS10" s="62" t="s">
        <v>3</v>
      </c>
      <c r="BT10" s="58" t="s">
        <v>104</v>
      </c>
      <c r="BU10" s="58" t="s">
        <v>104</v>
      </c>
      <c r="BV10" s="58" t="s">
        <v>104</v>
      </c>
      <c r="BW10" s="63" t="s">
        <v>13</v>
      </c>
      <c r="BX10" s="58" t="s">
        <v>104</v>
      </c>
      <c r="BY10" s="61" t="s">
        <v>2</v>
      </c>
      <c r="BZ10" s="61" t="s">
        <v>2</v>
      </c>
      <c r="CA10" s="67" t="s">
        <v>2</v>
      </c>
      <c r="CB10" s="67" t="s">
        <v>2</v>
      </c>
      <c r="CC10" s="93" t="s">
        <v>109</v>
      </c>
      <c r="CD10" s="93" t="s">
        <v>109</v>
      </c>
      <c r="CE10" s="93" t="s">
        <v>109</v>
      </c>
      <c r="CF10" s="93" t="s">
        <v>109</v>
      </c>
      <c r="CG10" s="93" t="s">
        <v>109</v>
      </c>
      <c r="CH10" s="61" t="s">
        <v>2</v>
      </c>
      <c r="CI10" s="61" t="s">
        <v>2</v>
      </c>
      <c r="CJ10" s="65" t="s">
        <v>106</v>
      </c>
      <c r="CK10" s="58" t="s">
        <v>104</v>
      </c>
      <c r="CL10" s="69" t="s">
        <v>108</v>
      </c>
      <c r="CM10" s="69" t="s">
        <v>108</v>
      </c>
      <c r="CN10" s="69" t="s">
        <v>112</v>
      </c>
      <c r="CO10" s="61" t="s">
        <v>2</v>
      </c>
      <c r="CP10" s="61" t="s">
        <v>2</v>
      </c>
      <c r="CQ10" s="55" t="s">
        <v>109</v>
      </c>
      <c r="CR10" s="55" t="s">
        <v>109</v>
      </c>
      <c r="CS10" s="55" t="s">
        <v>109</v>
      </c>
      <c r="CT10" s="55" t="s">
        <v>109</v>
      </c>
      <c r="CU10" s="65" t="s">
        <v>107</v>
      </c>
      <c r="CV10" s="61" t="s">
        <v>2</v>
      </c>
      <c r="CW10" s="69" t="s">
        <v>108</v>
      </c>
      <c r="CX10" s="69" t="s">
        <v>108</v>
      </c>
      <c r="CY10" s="69" t="s">
        <v>108</v>
      </c>
      <c r="CZ10" s="69" t="s">
        <v>108</v>
      </c>
      <c r="DA10" s="69" t="s">
        <v>108</v>
      </c>
      <c r="DB10" s="61" t="s">
        <v>2</v>
      </c>
      <c r="DC10" s="58" t="s">
        <v>11</v>
      </c>
      <c r="DD10" s="58" t="s">
        <v>11</v>
      </c>
      <c r="DE10" s="61" t="s">
        <v>2</v>
      </c>
      <c r="DF10" s="55" t="s">
        <v>118</v>
      </c>
      <c r="DG10" s="69" t="s">
        <v>114</v>
      </c>
      <c r="DH10" s="69" t="s">
        <v>114</v>
      </c>
      <c r="DI10" s="61" t="s">
        <v>2</v>
      </c>
      <c r="DJ10" s="69" t="s">
        <v>114</v>
      </c>
      <c r="DK10" s="69" t="s">
        <v>114</v>
      </c>
      <c r="DL10" s="69" t="s">
        <v>114</v>
      </c>
      <c r="DM10" s="69" t="s">
        <v>114</v>
      </c>
      <c r="DN10" s="69" t="s">
        <v>114</v>
      </c>
      <c r="DO10" s="61" t="s">
        <v>2</v>
      </c>
      <c r="DP10" s="61" t="s">
        <v>2</v>
      </c>
      <c r="DQ10" s="61" t="s">
        <v>2</v>
      </c>
      <c r="DR10" s="61" t="s">
        <v>2</v>
      </c>
      <c r="DS10" s="65" t="s">
        <v>7</v>
      </c>
      <c r="DT10" s="65" t="s">
        <v>7</v>
      </c>
      <c r="DU10" s="65" t="s">
        <v>7</v>
      </c>
      <c r="DV10" s="65" t="s">
        <v>7</v>
      </c>
      <c r="DW10" s="65" t="s">
        <v>115</v>
      </c>
      <c r="DX10" s="61" t="s">
        <v>2</v>
      </c>
      <c r="DY10" s="61" t="s">
        <v>2</v>
      </c>
      <c r="DZ10" s="69" t="s">
        <v>114</v>
      </c>
      <c r="EA10" s="69" t="s">
        <v>114</v>
      </c>
      <c r="EB10" s="69" t="s">
        <v>114</v>
      </c>
      <c r="EC10" s="69" t="s">
        <v>114</v>
      </c>
      <c r="ED10" s="70" t="s">
        <v>117</v>
      </c>
      <c r="EE10" s="61" t="s">
        <v>2</v>
      </c>
      <c r="EF10" s="65" t="s">
        <v>7</v>
      </c>
      <c r="EG10" s="65" t="s">
        <v>7</v>
      </c>
      <c r="EH10" s="61" t="s">
        <v>2</v>
      </c>
      <c r="EI10" s="65" t="s">
        <v>7</v>
      </c>
      <c r="EJ10" s="65" t="s">
        <v>7</v>
      </c>
      <c r="EK10" s="70" t="s">
        <v>117</v>
      </c>
      <c r="EL10" s="61" t="s">
        <v>2</v>
      </c>
      <c r="EM10" s="61" t="s">
        <v>2</v>
      </c>
      <c r="EN10" s="58" t="s">
        <v>11</v>
      </c>
      <c r="EO10" s="65" t="s">
        <v>157</v>
      </c>
      <c r="EP10" s="58" t="s">
        <v>11</v>
      </c>
      <c r="EQ10" s="58" t="s">
        <v>11</v>
      </c>
      <c r="ER10" s="69" t="s">
        <v>116</v>
      </c>
      <c r="ES10" s="69" t="s">
        <v>114</v>
      </c>
      <c r="ET10" s="61" t="s">
        <v>2</v>
      </c>
      <c r="EU10" s="69" t="s">
        <v>114</v>
      </c>
      <c r="EV10" s="69" t="s">
        <v>114</v>
      </c>
      <c r="EW10" s="69" t="s">
        <v>114</v>
      </c>
      <c r="EX10" s="69" t="s">
        <v>114</v>
      </c>
      <c r="EY10" s="61" t="s">
        <v>2</v>
      </c>
      <c r="EZ10" s="99" t="s">
        <v>7</v>
      </c>
      <c r="FA10" s="99" t="s">
        <v>7</v>
      </c>
      <c r="FB10" s="99" t="s">
        <v>7</v>
      </c>
      <c r="FC10" s="99" t="s">
        <v>7</v>
      </c>
      <c r="FD10" s="99" t="s">
        <v>7</v>
      </c>
      <c r="FE10" s="72" t="s">
        <v>2</v>
      </c>
      <c r="FF10" s="72" t="s">
        <v>2</v>
      </c>
      <c r="FG10" s="69" t="s">
        <v>114</v>
      </c>
      <c r="FH10" s="69" t="s">
        <v>114</v>
      </c>
      <c r="FI10" s="69" t="s">
        <v>114</v>
      </c>
      <c r="FJ10" s="69" t="s">
        <v>114</v>
      </c>
      <c r="FK10" s="74" t="s">
        <v>2</v>
      </c>
      <c r="FL10" s="74" t="s">
        <v>2</v>
      </c>
      <c r="FM10" s="73" t="s">
        <v>115</v>
      </c>
      <c r="FN10" s="73" t="s">
        <v>7</v>
      </c>
      <c r="FO10" s="69" t="s">
        <v>114</v>
      </c>
      <c r="FP10" s="69" t="s">
        <v>114</v>
      </c>
      <c r="FQ10" s="69" t="s">
        <v>114</v>
      </c>
      <c r="FR10" s="69" t="s">
        <v>114</v>
      </c>
      <c r="FS10" s="61" t="s">
        <v>2</v>
      </c>
      <c r="FT10" s="74" t="s">
        <v>2</v>
      </c>
      <c r="FU10" s="90" t="s">
        <v>168</v>
      </c>
      <c r="FV10" s="100" t="s">
        <v>11</v>
      </c>
      <c r="FW10" s="100" t="s">
        <v>11</v>
      </c>
      <c r="FX10" s="100" t="s">
        <v>11</v>
      </c>
      <c r="FY10" s="101" t="s">
        <v>2</v>
      </c>
      <c r="FZ10" s="101" t="s">
        <v>2</v>
      </c>
      <c r="GA10" s="76" t="s">
        <v>115</v>
      </c>
      <c r="GB10" s="75" t="s">
        <v>114</v>
      </c>
      <c r="GC10" s="74" t="s">
        <v>2</v>
      </c>
      <c r="GD10" s="74" t="s">
        <v>2</v>
      </c>
      <c r="GE10" s="76" t="s">
        <v>7</v>
      </c>
      <c r="GF10" s="76" t="s">
        <v>7</v>
      </c>
      <c r="GG10" s="76" t="s">
        <v>7</v>
      </c>
      <c r="GH10" s="62" t="s">
        <v>3</v>
      </c>
      <c r="GI10" s="56" t="s">
        <v>2</v>
      </c>
      <c r="GJ10" s="54" t="s">
        <v>128</v>
      </c>
      <c r="GK10" s="56" t="s">
        <v>2</v>
      </c>
      <c r="GL10" s="54" t="s">
        <v>169</v>
      </c>
      <c r="GM10" s="80" t="s">
        <v>120</v>
      </c>
      <c r="GN10" s="80" t="s">
        <v>121</v>
      </c>
      <c r="GO10" s="58" t="s">
        <v>63</v>
      </c>
      <c r="GP10" s="82" t="s">
        <v>61</v>
      </c>
      <c r="GQ10" s="54" t="s">
        <v>123</v>
      </c>
      <c r="GR10" s="55" t="s">
        <v>124</v>
      </c>
      <c r="GS10" s="58" t="s">
        <v>63</v>
      </c>
      <c r="GT10" s="55" t="s">
        <v>124</v>
      </c>
      <c r="GU10" s="56" t="s">
        <v>2</v>
      </c>
      <c r="GV10" s="56" t="s">
        <v>2</v>
      </c>
      <c r="GW10" s="81" t="s">
        <v>122</v>
      </c>
      <c r="GX10" s="56" t="s">
        <v>2</v>
      </c>
      <c r="GY10" s="80" t="s">
        <v>121</v>
      </c>
      <c r="GZ10" s="56" t="s">
        <v>2</v>
      </c>
      <c r="HA10" s="55" t="s">
        <v>124</v>
      </c>
      <c r="HB10" s="55" t="s">
        <v>124</v>
      </c>
      <c r="HC10" s="54" t="s">
        <v>123</v>
      </c>
      <c r="HD10" s="56" t="s">
        <v>2</v>
      </c>
      <c r="HE10" s="55" t="s">
        <v>124</v>
      </c>
      <c r="HF10" s="81" t="s">
        <v>122</v>
      </c>
      <c r="HG10" s="82" t="s">
        <v>61</v>
      </c>
      <c r="HH10" s="58" t="s">
        <v>63</v>
      </c>
      <c r="HI10" s="80" t="s">
        <v>120</v>
      </c>
      <c r="HJ10" s="56" t="s">
        <v>2</v>
      </c>
      <c r="HK10" s="58" t="s">
        <v>63</v>
      </c>
      <c r="HL10" s="58" t="s">
        <v>63</v>
      </c>
      <c r="HM10" s="58" t="s">
        <v>63</v>
      </c>
      <c r="HN10" s="81" t="s">
        <v>122</v>
      </c>
      <c r="HO10" s="82" t="s">
        <v>45</v>
      </c>
      <c r="HP10" s="61" t="s">
        <v>2</v>
      </c>
      <c r="HQ10" s="61" t="s">
        <v>2</v>
      </c>
      <c r="HR10" s="61" t="s">
        <v>2</v>
      </c>
      <c r="HS10" s="58" t="s">
        <v>45</v>
      </c>
      <c r="HT10" s="82" t="s">
        <v>146</v>
      </c>
      <c r="HU10" s="60" t="s">
        <v>147</v>
      </c>
      <c r="HV10" s="81" t="s">
        <v>152</v>
      </c>
      <c r="HW10" s="80" t="s">
        <v>147</v>
      </c>
      <c r="HX10" s="61" t="s">
        <v>2</v>
      </c>
      <c r="HY10" s="102" t="s">
        <v>27</v>
      </c>
      <c r="HZ10" s="102" t="s">
        <v>27</v>
      </c>
      <c r="IA10" s="102" t="s">
        <v>27</v>
      </c>
      <c r="IB10" s="102" t="s">
        <v>27</v>
      </c>
      <c r="IC10" s="102" t="s">
        <v>27</v>
      </c>
      <c r="ID10" s="61" t="s">
        <v>127</v>
      </c>
      <c r="IE10" s="61" t="s">
        <v>127</v>
      </c>
      <c r="IF10" s="65" t="s">
        <v>128</v>
      </c>
      <c r="IG10" s="65" t="s">
        <v>128</v>
      </c>
      <c r="IH10" s="65" t="s">
        <v>128</v>
      </c>
      <c r="II10" s="65" t="s">
        <v>128</v>
      </c>
      <c r="IJ10" s="65" t="s">
        <v>128</v>
      </c>
      <c r="IK10" s="61" t="s">
        <v>2</v>
      </c>
      <c r="IL10" s="61" t="s">
        <v>2</v>
      </c>
      <c r="IM10" s="55" t="s">
        <v>126</v>
      </c>
      <c r="IN10" s="55" t="s">
        <v>126</v>
      </c>
      <c r="IO10" s="55" t="s">
        <v>126</v>
      </c>
      <c r="IP10" s="55" t="s">
        <v>126</v>
      </c>
      <c r="IQ10" s="55" t="s">
        <v>126</v>
      </c>
      <c r="IR10" s="61" t="s">
        <v>2</v>
      </c>
      <c r="IS10" s="61" t="s">
        <v>2</v>
      </c>
      <c r="IT10" s="54" t="s">
        <v>128</v>
      </c>
      <c r="IU10" s="54" t="s">
        <v>128</v>
      </c>
      <c r="IV10" s="54" t="s">
        <v>128</v>
      </c>
      <c r="IW10" s="54" t="s">
        <v>128</v>
      </c>
      <c r="IX10" s="54" t="s">
        <v>128</v>
      </c>
      <c r="IY10" s="56" t="s">
        <v>2</v>
      </c>
      <c r="IZ10" s="56" t="s">
        <v>2</v>
      </c>
      <c r="JA10" s="54" t="s">
        <v>128</v>
      </c>
      <c r="JB10" s="54" t="s">
        <v>128</v>
      </c>
      <c r="JC10" s="80" t="s">
        <v>152</v>
      </c>
      <c r="JD10" s="56" t="s">
        <v>2</v>
      </c>
      <c r="JE10" s="56" t="s">
        <v>2</v>
      </c>
      <c r="JF10" s="82" t="s">
        <v>45</v>
      </c>
      <c r="JG10" s="54" t="s">
        <v>128</v>
      </c>
      <c r="JH10" s="56" t="s">
        <v>2</v>
      </c>
      <c r="JI10" s="55" t="s">
        <v>126</v>
      </c>
      <c r="JJ10" s="55" t="s">
        <v>126</v>
      </c>
      <c r="JK10" s="55" t="s">
        <v>126</v>
      </c>
      <c r="JL10" s="55" t="s">
        <v>126</v>
      </c>
      <c r="JM10" s="55" t="s">
        <v>126</v>
      </c>
      <c r="JN10" s="56" t="s">
        <v>2</v>
      </c>
      <c r="JO10" s="55" t="s">
        <v>126</v>
      </c>
      <c r="JP10" s="55" t="s">
        <v>126</v>
      </c>
      <c r="JQ10" s="55" t="s">
        <v>126</v>
      </c>
      <c r="JR10" s="55" t="s">
        <v>126</v>
      </c>
      <c r="JS10" s="55" t="s">
        <v>126</v>
      </c>
      <c r="JT10" s="56" t="s">
        <v>2</v>
      </c>
      <c r="JU10" s="56" t="s">
        <v>2</v>
      </c>
      <c r="JV10" s="129" t="s">
        <v>2</v>
      </c>
      <c r="JW10" s="141" t="s">
        <v>152</v>
      </c>
      <c r="JX10" s="141" t="s">
        <v>152</v>
      </c>
      <c r="JY10" s="141" t="s">
        <v>152</v>
      </c>
      <c r="JZ10" s="141" t="s">
        <v>152</v>
      </c>
      <c r="KA10" s="141" t="s">
        <v>152</v>
      </c>
      <c r="KB10" s="129" t="s">
        <v>2</v>
      </c>
      <c r="KC10" s="98" t="s">
        <v>126</v>
      </c>
      <c r="KD10" s="98" t="s">
        <v>126</v>
      </c>
      <c r="KE10" s="98" t="s">
        <v>126</v>
      </c>
      <c r="KF10" s="98" t="s">
        <v>126</v>
      </c>
      <c r="KG10" s="98" t="s">
        <v>126</v>
      </c>
      <c r="KH10" s="129" t="s">
        <v>2</v>
      </c>
      <c r="KI10" s="129" t="s">
        <v>2</v>
      </c>
      <c r="KJ10" s="128" t="s">
        <v>128</v>
      </c>
      <c r="KK10" s="128" t="s">
        <v>128</v>
      </c>
      <c r="KL10" s="129" t="s">
        <v>2</v>
      </c>
      <c r="KM10" s="129" t="s">
        <v>2</v>
      </c>
      <c r="KN10" s="128" t="s">
        <v>128</v>
      </c>
      <c r="KO10" s="98" t="s">
        <v>126</v>
      </c>
      <c r="KP10" s="128" t="s">
        <v>128</v>
      </c>
      <c r="KQ10" s="129" t="s">
        <v>2</v>
      </c>
      <c r="KR10" s="141" t="s">
        <v>152</v>
      </c>
      <c r="KS10" s="141" t="s">
        <v>152</v>
      </c>
      <c r="KT10" s="141" t="s">
        <v>152</v>
      </c>
      <c r="KU10" s="141" t="s">
        <v>152</v>
      </c>
      <c r="KV10" s="141" t="s">
        <v>152</v>
      </c>
      <c r="KW10" s="129" t="s">
        <v>2</v>
      </c>
      <c r="KX10" s="128" t="s">
        <v>128</v>
      </c>
      <c r="KY10" s="128" t="s">
        <v>128</v>
      </c>
      <c r="KZ10" s="128" t="s">
        <v>128</v>
      </c>
      <c r="LA10" s="129" t="s">
        <v>2</v>
      </c>
      <c r="LB10" s="129" t="s">
        <v>2</v>
      </c>
      <c r="LC10" s="98" t="s">
        <v>126</v>
      </c>
      <c r="LD10" s="88" t="s">
        <v>149</v>
      </c>
      <c r="LE10" s="129" t="s">
        <v>2</v>
      </c>
      <c r="LF10" s="98" t="s">
        <v>126</v>
      </c>
      <c r="LG10" s="98" t="s">
        <v>126</v>
      </c>
      <c r="LH10" s="98" t="s">
        <v>126</v>
      </c>
      <c r="LI10" s="98" t="s">
        <v>126</v>
      </c>
      <c r="LJ10" s="98" t="s">
        <v>126</v>
      </c>
      <c r="LK10" s="129" t="s">
        <v>2</v>
      </c>
      <c r="LL10" s="128" t="s">
        <v>128</v>
      </c>
      <c r="LM10" s="131" t="s">
        <v>67</v>
      </c>
      <c r="LN10" s="131" t="s">
        <v>67</v>
      </c>
      <c r="LO10" s="128" t="s">
        <v>128</v>
      </c>
      <c r="LP10" s="128" t="s">
        <v>128</v>
      </c>
      <c r="LQ10" s="129" t="s">
        <v>2</v>
      </c>
      <c r="LR10" s="129" t="s">
        <v>2</v>
      </c>
      <c r="LS10" s="128" t="s">
        <v>128</v>
      </c>
      <c r="LT10" s="128" t="s">
        <v>128</v>
      </c>
      <c r="LU10" s="212" t="s">
        <v>45</v>
      </c>
      <c r="LV10" s="129" t="s">
        <v>2</v>
      </c>
      <c r="LW10" s="129" t="s">
        <v>2</v>
      </c>
      <c r="LX10" s="98" t="s">
        <v>126</v>
      </c>
      <c r="LY10" s="128" t="s">
        <v>128</v>
      </c>
      <c r="LZ10" s="128" t="s">
        <v>128</v>
      </c>
      <c r="MA10" s="129" t="s">
        <v>2</v>
      </c>
      <c r="MB10" s="129" t="s">
        <v>2</v>
      </c>
      <c r="MC10" s="212" t="s">
        <v>45</v>
      </c>
      <c r="MD10" s="128" t="s">
        <v>128</v>
      </c>
      <c r="ME10" s="128" t="s">
        <v>128</v>
      </c>
      <c r="MF10" s="128" t="s">
        <v>128</v>
      </c>
      <c r="MG10" s="129" t="s">
        <v>2</v>
      </c>
      <c r="MH10" s="141" t="s">
        <v>152</v>
      </c>
      <c r="MI10" s="141" t="s">
        <v>119</v>
      </c>
      <c r="MJ10" s="141" t="s">
        <v>152</v>
      </c>
      <c r="MK10" s="141" t="s">
        <v>152</v>
      </c>
      <c r="ML10" s="141" t="s">
        <v>152</v>
      </c>
      <c r="MM10" s="129" t="s">
        <v>2</v>
      </c>
    </row>
    <row r="11" spans="1:372" ht="15" thickBot="1">
      <c r="A11" s="508"/>
      <c r="B11" s="473"/>
      <c r="C11" s="473"/>
      <c r="D11" s="511"/>
      <c r="E11" s="510"/>
      <c r="F11" s="473"/>
      <c r="G11" s="507"/>
      <c r="H11" s="515"/>
      <c r="I11" s="473"/>
      <c r="J11" s="473"/>
      <c r="K11" s="527"/>
      <c r="L11" s="518"/>
      <c r="M11" s="517"/>
      <c r="N11" s="495">
        <v>4</v>
      </c>
      <c r="O11" s="534" t="s">
        <v>170</v>
      </c>
      <c r="P11" s="502" t="s">
        <v>16</v>
      </c>
      <c r="Q11" s="50" t="s">
        <v>2</v>
      </c>
      <c r="R11" s="50" t="s">
        <v>2</v>
      </c>
      <c r="S11" s="94" t="s">
        <v>16</v>
      </c>
      <c r="T11" s="94" t="s">
        <v>16</v>
      </c>
      <c r="U11" s="94" t="s">
        <v>16</v>
      </c>
      <c r="V11" s="93" t="s">
        <v>7</v>
      </c>
      <c r="W11" s="51" t="s">
        <v>6</v>
      </c>
      <c r="X11" s="50" t="s">
        <v>2</v>
      </c>
      <c r="Y11" s="50" t="s">
        <v>2</v>
      </c>
      <c r="Z11" s="51" t="s">
        <v>6</v>
      </c>
      <c r="AA11" s="51" t="s">
        <v>6</v>
      </c>
      <c r="AB11" s="51" t="s">
        <v>6</v>
      </c>
      <c r="AC11" s="51" t="s">
        <v>18</v>
      </c>
      <c r="AD11" s="95" t="s">
        <v>11</v>
      </c>
      <c r="AE11" s="56" t="s">
        <v>2</v>
      </c>
      <c r="AF11" s="95" t="s">
        <v>11</v>
      </c>
      <c r="AG11" s="54" t="s">
        <v>8</v>
      </c>
      <c r="AH11" s="54" t="s">
        <v>8</v>
      </c>
      <c r="AI11" s="56" t="s">
        <v>2</v>
      </c>
      <c r="AJ11" s="85" t="s">
        <v>171</v>
      </c>
      <c r="AK11" s="85" t="s">
        <v>6</v>
      </c>
      <c r="AL11" s="95" t="s">
        <v>10</v>
      </c>
      <c r="AM11" s="54" t="s">
        <v>8</v>
      </c>
      <c r="AN11" s="54" t="s">
        <v>9</v>
      </c>
      <c r="AO11" s="54" t="s">
        <v>9</v>
      </c>
      <c r="AP11" s="56" t="s">
        <v>2</v>
      </c>
      <c r="AQ11" s="56" t="s">
        <v>2</v>
      </c>
      <c r="AR11" s="56" t="s">
        <v>2</v>
      </c>
      <c r="AS11" s="59" t="s">
        <v>6</v>
      </c>
      <c r="AT11" s="59" t="s">
        <v>6</v>
      </c>
      <c r="AU11" s="59" t="s">
        <v>172</v>
      </c>
      <c r="AV11" s="59" t="s">
        <v>6</v>
      </c>
      <c r="AW11" s="56" t="s">
        <v>2</v>
      </c>
      <c r="AX11" s="55" t="s">
        <v>132</v>
      </c>
      <c r="AY11" s="58" t="s">
        <v>11</v>
      </c>
      <c r="AZ11" s="58" t="s">
        <v>11</v>
      </c>
      <c r="BA11" s="58" t="s">
        <v>11</v>
      </c>
      <c r="BB11" s="64" t="s">
        <v>8</v>
      </c>
      <c r="BC11" s="64" t="s">
        <v>8</v>
      </c>
      <c r="BD11" s="56" t="s">
        <v>2</v>
      </c>
      <c r="BE11" s="56" t="s">
        <v>2</v>
      </c>
      <c r="BF11" s="64" t="s">
        <v>105</v>
      </c>
      <c r="BG11" s="64" t="s">
        <v>105</v>
      </c>
      <c r="BH11" s="64" t="s">
        <v>105</v>
      </c>
      <c r="BI11" s="55" t="s">
        <v>15</v>
      </c>
      <c r="BJ11" s="61" t="s">
        <v>2</v>
      </c>
      <c r="BK11" s="61" t="s">
        <v>2</v>
      </c>
      <c r="BL11" s="65" t="s">
        <v>106</v>
      </c>
      <c r="BM11" s="58" t="s">
        <v>104</v>
      </c>
      <c r="BN11" s="58" t="s">
        <v>104</v>
      </c>
      <c r="BO11" s="58" t="s">
        <v>104</v>
      </c>
      <c r="BP11" s="58" t="s">
        <v>104</v>
      </c>
      <c r="BQ11" s="58" t="s">
        <v>104</v>
      </c>
      <c r="BR11" s="61" t="s">
        <v>2</v>
      </c>
      <c r="BS11" s="61" t="s">
        <v>2</v>
      </c>
      <c r="BT11" s="55" t="s">
        <v>15</v>
      </c>
      <c r="BU11" s="55" t="s">
        <v>15</v>
      </c>
      <c r="BV11" s="61" t="s">
        <v>2</v>
      </c>
      <c r="BW11" s="61" t="s">
        <v>2</v>
      </c>
      <c r="BX11" s="55" t="s">
        <v>15</v>
      </c>
      <c r="BY11" s="55" t="s">
        <v>15</v>
      </c>
      <c r="BZ11" s="65" t="s">
        <v>107</v>
      </c>
      <c r="CA11" s="93" t="s">
        <v>109</v>
      </c>
      <c r="CB11" s="67" t="s">
        <v>2</v>
      </c>
      <c r="CC11" s="67" t="s">
        <v>2</v>
      </c>
      <c r="CD11" s="103" t="s">
        <v>104</v>
      </c>
      <c r="CE11" s="97" t="s">
        <v>106</v>
      </c>
      <c r="CF11" s="93" t="s">
        <v>109</v>
      </c>
      <c r="CG11" s="97" t="s">
        <v>107</v>
      </c>
      <c r="CH11" s="55" t="s">
        <v>109</v>
      </c>
      <c r="CI11" s="61" t="s">
        <v>2</v>
      </c>
      <c r="CJ11" s="61" t="s">
        <v>2</v>
      </c>
      <c r="CK11" s="65" t="s">
        <v>106</v>
      </c>
      <c r="CL11" s="65" t="s">
        <v>106</v>
      </c>
      <c r="CM11" s="55" t="s">
        <v>109</v>
      </c>
      <c r="CN11" s="65" t="s">
        <v>107</v>
      </c>
      <c r="CO11" s="65" t="s">
        <v>106</v>
      </c>
      <c r="CP11" s="61" t="s">
        <v>2</v>
      </c>
      <c r="CQ11" s="61" t="s">
        <v>2</v>
      </c>
      <c r="CR11" s="69" t="s">
        <v>108</v>
      </c>
      <c r="CS11" s="69" t="s">
        <v>108</v>
      </c>
      <c r="CT11" s="69" t="s">
        <v>108</v>
      </c>
      <c r="CU11" s="62" t="s">
        <v>117</v>
      </c>
      <c r="CV11" s="69" t="s">
        <v>108</v>
      </c>
      <c r="CW11" s="68" t="s">
        <v>110</v>
      </c>
      <c r="CX11" s="69" t="s">
        <v>108</v>
      </c>
      <c r="CY11" s="69" t="s">
        <v>108</v>
      </c>
      <c r="CZ11" s="69" t="s">
        <v>108</v>
      </c>
      <c r="DA11" s="61" t="s">
        <v>2</v>
      </c>
      <c r="DB11" s="61" t="s">
        <v>2</v>
      </c>
      <c r="DC11" s="55" t="s">
        <v>118</v>
      </c>
      <c r="DD11" s="55" t="s">
        <v>118</v>
      </c>
      <c r="DE11" s="55" t="s">
        <v>118</v>
      </c>
      <c r="DF11" s="55" t="s">
        <v>118</v>
      </c>
      <c r="DG11" s="61" t="s">
        <v>2</v>
      </c>
      <c r="DH11" s="61" t="s">
        <v>2</v>
      </c>
      <c r="DI11" s="65" t="s">
        <v>115</v>
      </c>
      <c r="DJ11" s="65" t="s">
        <v>7</v>
      </c>
      <c r="DK11" s="65" t="s">
        <v>7</v>
      </c>
      <c r="DL11" s="63" t="s">
        <v>12</v>
      </c>
      <c r="DM11" s="63" t="s">
        <v>12</v>
      </c>
      <c r="DN11" s="65" t="s">
        <v>7</v>
      </c>
      <c r="DO11" s="61" t="s">
        <v>2</v>
      </c>
      <c r="DP11" s="61" t="s">
        <v>2</v>
      </c>
      <c r="DQ11" s="65" t="s">
        <v>7</v>
      </c>
      <c r="DR11" s="65" t="s">
        <v>7</v>
      </c>
      <c r="DS11" s="55" t="s">
        <v>118</v>
      </c>
      <c r="DT11" s="61" t="s">
        <v>2</v>
      </c>
      <c r="DU11" s="61" t="s">
        <v>2</v>
      </c>
      <c r="DV11" s="55" t="s">
        <v>118</v>
      </c>
      <c r="DW11" s="70" t="s">
        <v>117</v>
      </c>
      <c r="DX11" s="69" t="s">
        <v>114</v>
      </c>
      <c r="DY11" s="69" t="s">
        <v>114</v>
      </c>
      <c r="DZ11" s="61" t="s">
        <v>2</v>
      </c>
      <c r="EA11" s="61" t="s">
        <v>2</v>
      </c>
      <c r="EB11" s="65" t="s">
        <v>7</v>
      </c>
      <c r="EC11" s="65" t="s">
        <v>7</v>
      </c>
      <c r="ED11" s="65" t="s">
        <v>115</v>
      </c>
      <c r="EE11" s="65" t="s">
        <v>7</v>
      </c>
      <c r="EF11" s="58" t="s">
        <v>11</v>
      </c>
      <c r="EG11" s="61" t="s">
        <v>2</v>
      </c>
      <c r="EH11" s="65" t="s">
        <v>115</v>
      </c>
      <c r="EI11" s="55" t="s">
        <v>118</v>
      </c>
      <c r="EJ11" s="55" t="s">
        <v>139</v>
      </c>
      <c r="EK11" s="61" t="s">
        <v>2</v>
      </c>
      <c r="EL11" s="65" t="s">
        <v>7</v>
      </c>
      <c r="EM11" s="69" t="s">
        <v>114</v>
      </c>
      <c r="EN11" s="69" t="s">
        <v>114</v>
      </c>
      <c r="EO11" s="68" t="s">
        <v>27</v>
      </c>
      <c r="EP11" s="68" t="s">
        <v>27</v>
      </c>
      <c r="EQ11" s="61" t="s">
        <v>2</v>
      </c>
      <c r="ER11" s="61" t="s">
        <v>2</v>
      </c>
      <c r="ES11" s="61" t="s">
        <v>2</v>
      </c>
      <c r="ET11" s="61" t="s">
        <v>2</v>
      </c>
      <c r="EU11" s="104" t="s">
        <v>11</v>
      </c>
      <c r="EV11" s="104" t="s">
        <v>11</v>
      </c>
      <c r="EW11" s="104" t="s">
        <v>11</v>
      </c>
      <c r="EX11" s="104" t="s">
        <v>11</v>
      </c>
      <c r="EY11" s="62" t="s">
        <v>117</v>
      </c>
      <c r="EZ11" s="72" t="s">
        <v>2</v>
      </c>
      <c r="FA11" s="98" t="s">
        <v>118</v>
      </c>
      <c r="FB11" s="98" t="s">
        <v>118</v>
      </c>
      <c r="FC11" s="98" t="s">
        <v>118</v>
      </c>
      <c r="FD11" s="98" t="s">
        <v>118</v>
      </c>
      <c r="FE11" s="98" t="s">
        <v>118</v>
      </c>
      <c r="FF11" s="72" t="s">
        <v>2</v>
      </c>
      <c r="FG11" s="73" t="s">
        <v>7</v>
      </c>
      <c r="FH11" s="73" t="s">
        <v>7</v>
      </c>
      <c r="FI11" s="73" t="s">
        <v>7</v>
      </c>
      <c r="FJ11" s="73" t="s">
        <v>7</v>
      </c>
      <c r="FK11" s="73" t="s">
        <v>7</v>
      </c>
      <c r="FL11" s="74" t="s">
        <v>2</v>
      </c>
      <c r="FM11" s="74" t="s">
        <v>2</v>
      </c>
      <c r="FN11" s="74" t="s">
        <v>2</v>
      </c>
      <c r="FO11" s="76" t="s">
        <v>7</v>
      </c>
      <c r="FP11" s="76" t="s">
        <v>7</v>
      </c>
      <c r="FQ11" s="76" t="s">
        <v>7</v>
      </c>
      <c r="FR11" s="76" t="s">
        <v>7</v>
      </c>
      <c r="FS11" s="73" t="s">
        <v>7</v>
      </c>
      <c r="FT11" s="74" t="s">
        <v>2</v>
      </c>
      <c r="FU11" s="100" t="s">
        <v>11</v>
      </c>
      <c r="FV11" s="100" t="s">
        <v>11</v>
      </c>
      <c r="FW11" s="100" t="s">
        <v>11</v>
      </c>
      <c r="FX11" s="100" t="s">
        <v>11</v>
      </c>
      <c r="FY11" s="100" t="s">
        <v>11</v>
      </c>
      <c r="FZ11" s="74" t="s">
        <v>2</v>
      </c>
      <c r="GA11" s="74" t="s">
        <v>2</v>
      </c>
      <c r="GB11" s="77" t="s">
        <v>118</v>
      </c>
      <c r="GC11" s="77" t="s">
        <v>118</v>
      </c>
      <c r="GD11" s="77" t="s">
        <v>118</v>
      </c>
      <c r="GE11" s="74" t="s">
        <v>2</v>
      </c>
      <c r="GF11" s="74" t="s">
        <v>2</v>
      </c>
      <c r="GG11" s="77" t="s">
        <v>118</v>
      </c>
      <c r="GH11" s="76" t="s">
        <v>7</v>
      </c>
      <c r="GI11" s="54" t="s">
        <v>128</v>
      </c>
      <c r="GJ11" s="80" t="s">
        <v>119</v>
      </c>
      <c r="GK11" s="80" t="s">
        <v>119</v>
      </c>
      <c r="GL11" s="56" t="s">
        <v>2</v>
      </c>
      <c r="GM11" s="56" t="s">
        <v>2</v>
      </c>
      <c r="GN11" s="55" t="s">
        <v>124</v>
      </c>
      <c r="GO11" s="54" t="s">
        <v>123</v>
      </c>
      <c r="GP11" s="80" t="s">
        <v>120</v>
      </c>
      <c r="GQ11" s="56" t="s">
        <v>2</v>
      </c>
      <c r="GR11" s="56" t="s">
        <v>2</v>
      </c>
      <c r="GS11" s="54" t="s">
        <v>123</v>
      </c>
      <c r="GT11" s="54" t="s">
        <v>123</v>
      </c>
      <c r="GU11" s="81" t="s">
        <v>122</v>
      </c>
      <c r="GV11" s="62" t="s">
        <v>144</v>
      </c>
      <c r="GW11" s="56" t="s">
        <v>2</v>
      </c>
      <c r="GX11" s="81" t="s">
        <v>122</v>
      </c>
      <c r="GY11" s="54" t="s">
        <v>123</v>
      </c>
      <c r="GZ11" s="58" t="s">
        <v>63</v>
      </c>
      <c r="HA11" s="80" t="s">
        <v>120</v>
      </c>
      <c r="HB11" s="80" t="s">
        <v>121</v>
      </c>
      <c r="HC11" s="56" t="s">
        <v>2</v>
      </c>
      <c r="HD11" s="58" t="s">
        <v>63</v>
      </c>
      <c r="HE11" s="54" t="s">
        <v>123</v>
      </c>
      <c r="HF11" s="58" t="s">
        <v>63</v>
      </c>
      <c r="HG11" s="81" t="s">
        <v>122</v>
      </c>
      <c r="HH11" s="80" t="s">
        <v>120</v>
      </c>
      <c r="HI11" s="56" t="s">
        <v>2</v>
      </c>
      <c r="HJ11" s="56" t="s">
        <v>2</v>
      </c>
      <c r="HK11" s="81" t="s">
        <v>122</v>
      </c>
      <c r="HL11" s="81" t="s">
        <v>122</v>
      </c>
      <c r="HM11" s="65" t="s">
        <v>123</v>
      </c>
      <c r="HN11" s="61" t="s">
        <v>2</v>
      </c>
      <c r="HO11" s="80" t="s">
        <v>163</v>
      </c>
      <c r="HP11" s="82" t="s">
        <v>45</v>
      </c>
      <c r="HQ11" s="61" t="s">
        <v>2</v>
      </c>
      <c r="HR11" s="81" t="s">
        <v>129</v>
      </c>
      <c r="HS11" s="81" t="s">
        <v>129</v>
      </c>
      <c r="HT11" s="81" t="s">
        <v>129</v>
      </c>
      <c r="HU11" s="81" t="s">
        <v>152</v>
      </c>
      <c r="HV11" s="58" t="s">
        <v>45</v>
      </c>
      <c r="HW11" s="61" t="s">
        <v>2</v>
      </c>
      <c r="HX11" s="61" t="s">
        <v>2</v>
      </c>
      <c r="HY11" s="65" t="s">
        <v>128</v>
      </c>
      <c r="HZ11" s="65" t="s">
        <v>128</v>
      </c>
      <c r="IA11" s="61" t="s">
        <v>127</v>
      </c>
      <c r="IB11" s="61" t="s">
        <v>127</v>
      </c>
      <c r="IC11" s="65" t="s">
        <v>128</v>
      </c>
      <c r="ID11" s="65" t="s">
        <v>128</v>
      </c>
      <c r="IE11" s="65" t="s">
        <v>128</v>
      </c>
      <c r="IF11" s="82" t="s">
        <v>45</v>
      </c>
      <c r="IG11" s="80" t="s">
        <v>152</v>
      </c>
      <c r="IH11" s="61" t="s">
        <v>2</v>
      </c>
      <c r="II11" s="61" t="s">
        <v>2</v>
      </c>
      <c r="IJ11" s="80" t="s">
        <v>152</v>
      </c>
      <c r="IK11" s="80" t="s">
        <v>152</v>
      </c>
      <c r="IL11" s="80" t="s">
        <v>164</v>
      </c>
      <c r="IM11" s="58" t="s">
        <v>67</v>
      </c>
      <c r="IN11" s="61" t="s">
        <v>2</v>
      </c>
      <c r="IO11" s="58" t="s">
        <v>67</v>
      </c>
      <c r="IP11" s="58" t="s">
        <v>67</v>
      </c>
      <c r="IQ11" s="58" t="s">
        <v>67</v>
      </c>
      <c r="IR11" s="82" t="s">
        <v>45</v>
      </c>
      <c r="IS11" s="61" t="s">
        <v>2</v>
      </c>
      <c r="IT11" s="58" t="s">
        <v>67</v>
      </c>
      <c r="IU11" s="58" t="s">
        <v>67</v>
      </c>
      <c r="IV11" s="58" t="s">
        <v>67</v>
      </c>
      <c r="IW11" s="58" t="s">
        <v>67</v>
      </c>
      <c r="IX11" s="58" t="s">
        <v>67</v>
      </c>
      <c r="IY11" s="56" t="s">
        <v>2</v>
      </c>
      <c r="IZ11" s="56" t="s">
        <v>2</v>
      </c>
      <c r="JA11" s="58" t="s">
        <v>67</v>
      </c>
      <c r="JB11" s="82" t="s">
        <v>45</v>
      </c>
      <c r="JC11" s="82" t="s">
        <v>45</v>
      </c>
      <c r="JD11" s="56" t="s">
        <v>2</v>
      </c>
      <c r="JE11" s="56" t="s">
        <v>2</v>
      </c>
      <c r="JF11" s="54" t="s">
        <v>128</v>
      </c>
      <c r="JG11" s="54" t="s">
        <v>51</v>
      </c>
      <c r="JH11" s="81" t="s">
        <v>129</v>
      </c>
      <c r="JI11" s="81" t="s">
        <v>129</v>
      </c>
      <c r="JJ11" s="56" t="s">
        <v>2</v>
      </c>
      <c r="JK11" s="82" t="s">
        <v>45</v>
      </c>
      <c r="JL11" s="82" t="s">
        <v>45</v>
      </c>
      <c r="JM11" s="82" t="s">
        <v>59</v>
      </c>
      <c r="JN11" s="56" t="s">
        <v>2</v>
      </c>
      <c r="JO11" s="54" t="s">
        <v>128</v>
      </c>
      <c r="JP11" s="54" t="s">
        <v>128</v>
      </c>
      <c r="JQ11" s="54" t="s">
        <v>128</v>
      </c>
      <c r="JR11" s="54" t="s">
        <v>128</v>
      </c>
      <c r="JS11" s="54" t="s">
        <v>128</v>
      </c>
      <c r="JT11" s="56" t="s">
        <v>2</v>
      </c>
      <c r="JU11" s="56" t="s">
        <v>2</v>
      </c>
      <c r="JV11" s="212" t="s">
        <v>45</v>
      </c>
      <c r="JW11" s="131" t="s">
        <v>67</v>
      </c>
      <c r="JX11" s="131" t="s">
        <v>67</v>
      </c>
      <c r="JY11" s="129" t="s">
        <v>2</v>
      </c>
      <c r="JZ11" s="129" t="s">
        <v>2</v>
      </c>
      <c r="KA11" s="131" t="s">
        <v>67</v>
      </c>
      <c r="KB11" s="88" t="s">
        <v>149</v>
      </c>
      <c r="KC11" s="212" t="s">
        <v>45</v>
      </c>
      <c r="KD11" s="131" t="s">
        <v>67</v>
      </c>
      <c r="KE11" s="131" t="s">
        <v>67</v>
      </c>
      <c r="KF11" s="129" t="s">
        <v>2</v>
      </c>
      <c r="KG11" s="129" t="s">
        <v>2</v>
      </c>
      <c r="KH11" s="131" t="s">
        <v>67</v>
      </c>
      <c r="KI11" s="141" t="s">
        <v>164</v>
      </c>
      <c r="KJ11" s="129" t="s">
        <v>2</v>
      </c>
      <c r="KK11" s="209" t="s">
        <v>146</v>
      </c>
      <c r="KL11" s="209" t="s">
        <v>146</v>
      </c>
      <c r="KM11" s="209" t="s">
        <v>146</v>
      </c>
      <c r="KN11" s="209" t="s">
        <v>146</v>
      </c>
      <c r="KO11" s="209" t="s">
        <v>146</v>
      </c>
      <c r="KP11" s="129" t="s">
        <v>2</v>
      </c>
      <c r="KQ11" s="128" t="s">
        <v>128</v>
      </c>
      <c r="KR11" s="128" t="s">
        <v>128</v>
      </c>
      <c r="KS11" s="128" t="s">
        <v>128</v>
      </c>
      <c r="KT11" s="128" t="s">
        <v>128</v>
      </c>
      <c r="KU11" s="128" t="s">
        <v>128</v>
      </c>
      <c r="KV11" s="129" t="s">
        <v>2</v>
      </c>
      <c r="KW11" s="129" t="s">
        <v>2</v>
      </c>
      <c r="KX11" s="129" t="s">
        <v>2</v>
      </c>
      <c r="KY11" s="141" t="s">
        <v>119</v>
      </c>
      <c r="KZ11" s="212" t="s">
        <v>45</v>
      </c>
      <c r="LA11" s="209" t="s">
        <v>146</v>
      </c>
      <c r="LB11" s="129" t="s">
        <v>2</v>
      </c>
      <c r="LC11" s="98" t="s">
        <v>126</v>
      </c>
      <c r="LD11" s="128" t="s">
        <v>128</v>
      </c>
      <c r="LE11" s="98" t="s">
        <v>126</v>
      </c>
      <c r="LF11" s="128" t="s">
        <v>128</v>
      </c>
      <c r="LG11" s="128" t="s">
        <v>128</v>
      </c>
      <c r="LH11" s="129" t="s">
        <v>2</v>
      </c>
      <c r="LI11" s="129" t="s">
        <v>2</v>
      </c>
      <c r="LJ11" s="212" t="s">
        <v>45</v>
      </c>
      <c r="LK11" s="88" t="s">
        <v>149</v>
      </c>
      <c r="LL11" s="131" t="s">
        <v>67</v>
      </c>
      <c r="LM11" s="128" t="s">
        <v>128</v>
      </c>
      <c r="LN11" s="212" t="s">
        <v>45</v>
      </c>
      <c r="LO11" s="129" t="s">
        <v>2</v>
      </c>
      <c r="LP11" s="129" t="s">
        <v>2</v>
      </c>
      <c r="LQ11" s="98" t="s">
        <v>126</v>
      </c>
      <c r="LR11" s="128" t="s">
        <v>128</v>
      </c>
      <c r="LS11" s="129" t="s">
        <v>2</v>
      </c>
      <c r="LT11" s="141" t="s">
        <v>152</v>
      </c>
      <c r="LU11" s="141" t="s">
        <v>119</v>
      </c>
      <c r="LV11" s="141" t="s">
        <v>152</v>
      </c>
      <c r="LW11" s="141" t="s">
        <v>152</v>
      </c>
      <c r="LX11" s="141" t="s">
        <v>152</v>
      </c>
      <c r="LY11" s="129" t="s">
        <v>2</v>
      </c>
      <c r="LZ11" s="98" t="s">
        <v>126</v>
      </c>
      <c r="MA11" s="98" t="s">
        <v>126</v>
      </c>
      <c r="MB11" s="98" t="s">
        <v>126</v>
      </c>
      <c r="MC11" s="98" t="s">
        <v>126</v>
      </c>
      <c r="MD11" s="98" t="s">
        <v>126</v>
      </c>
      <c r="ME11" s="129" t="s">
        <v>2</v>
      </c>
      <c r="MF11" s="129" t="s">
        <v>2</v>
      </c>
    </row>
    <row r="12" spans="1:372" ht="15" thickBot="1">
      <c r="A12" s="473"/>
      <c r="B12" s="508"/>
      <c r="C12" s="495"/>
      <c r="D12" s="518"/>
      <c r="E12" s="509"/>
      <c r="F12" s="495"/>
      <c r="G12" s="514"/>
      <c r="H12" s="519"/>
      <c r="I12" s="507"/>
      <c r="J12" s="516"/>
      <c r="K12" s="518"/>
      <c r="L12" s="529"/>
      <c r="M12" s="508"/>
      <c r="N12" s="495">
        <v>4</v>
      </c>
      <c r="O12" s="504" t="s">
        <v>173</v>
      </c>
      <c r="P12" s="496" t="s">
        <v>2</v>
      </c>
      <c r="Q12" s="49" t="s">
        <v>9</v>
      </c>
      <c r="R12" s="49" t="s">
        <v>9</v>
      </c>
      <c r="S12" s="49" t="s">
        <v>9</v>
      </c>
      <c r="T12" s="49" t="s">
        <v>9</v>
      </c>
      <c r="U12" s="49" t="s">
        <v>9</v>
      </c>
      <c r="V12" s="50" t="s">
        <v>2</v>
      </c>
      <c r="W12" s="94" t="s">
        <v>16</v>
      </c>
      <c r="X12" s="94" t="s">
        <v>16</v>
      </c>
      <c r="Y12" s="94" t="s">
        <v>16</v>
      </c>
      <c r="Z12" s="94" t="s">
        <v>16</v>
      </c>
      <c r="AA12" s="94" t="s">
        <v>16</v>
      </c>
      <c r="AB12" s="50" t="s">
        <v>2</v>
      </c>
      <c r="AC12" s="50" t="s">
        <v>2</v>
      </c>
      <c r="AD12" s="54" t="s">
        <v>8</v>
      </c>
      <c r="AE12" s="54" t="s">
        <v>8</v>
      </c>
      <c r="AF12" s="56" t="s">
        <v>2</v>
      </c>
      <c r="AG12" s="56" t="s">
        <v>2</v>
      </c>
      <c r="AH12" s="55" t="s">
        <v>16</v>
      </c>
      <c r="AI12" s="55" t="s">
        <v>16</v>
      </c>
      <c r="AJ12" s="57" t="s">
        <v>3</v>
      </c>
      <c r="AK12" s="56" t="s">
        <v>2</v>
      </c>
      <c r="AL12" s="85" t="s">
        <v>5</v>
      </c>
      <c r="AM12" s="85" t="s">
        <v>5</v>
      </c>
      <c r="AN12" s="95" t="s">
        <v>10</v>
      </c>
      <c r="AO12" s="95" t="s">
        <v>10</v>
      </c>
      <c r="AP12" s="95" t="s">
        <v>10</v>
      </c>
      <c r="AQ12" s="56" t="s">
        <v>2</v>
      </c>
      <c r="AR12" s="54" t="s">
        <v>9</v>
      </c>
      <c r="AS12" s="59" t="s">
        <v>5</v>
      </c>
      <c r="AT12" s="59" t="s">
        <v>5</v>
      </c>
      <c r="AU12" s="58" t="s">
        <v>104</v>
      </c>
      <c r="AV12" s="58" t="s">
        <v>10</v>
      </c>
      <c r="AW12" s="56" t="s">
        <v>2</v>
      </c>
      <c r="AX12" s="56" t="s">
        <v>2</v>
      </c>
      <c r="AY12" s="56" t="s">
        <v>2</v>
      </c>
      <c r="AZ12" s="56" t="s">
        <v>2</v>
      </c>
      <c r="BA12" s="64" t="s">
        <v>8</v>
      </c>
      <c r="BB12" s="64" t="s">
        <v>8</v>
      </c>
      <c r="BC12" s="64" t="s">
        <v>8</v>
      </c>
      <c r="BD12" s="59" t="s">
        <v>6</v>
      </c>
      <c r="BE12" s="59" t="s">
        <v>18</v>
      </c>
      <c r="BF12" s="61" t="s">
        <v>2</v>
      </c>
      <c r="BG12" s="61" t="s">
        <v>2</v>
      </c>
      <c r="BH12" s="105" t="s">
        <v>136</v>
      </c>
      <c r="BI12" s="105" t="s">
        <v>136</v>
      </c>
      <c r="BJ12" s="105" t="s">
        <v>136</v>
      </c>
      <c r="BK12" s="63" t="s">
        <v>13</v>
      </c>
      <c r="BL12" s="62" t="s">
        <v>3</v>
      </c>
      <c r="BM12" s="61" t="s">
        <v>2</v>
      </c>
      <c r="BN12" s="61" t="s">
        <v>2</v>
      </c>
      <c r="BO12" s="69" t="s">
        <v>6</v>
      </c>
      <c r="BP12" s="69" t="s">
        <v>6</v>
      </c>
      <c r="BQ12" s="69" t="s">
        <v>6</v>
      </c>
      <c r="BR12" s="69" t="s">
        <v>6</v>
      </c>
      <c r="BS12" s="69" t="s">
        <v>18</v>
      </c>
      <c r="BT12" s="61" t="s">
        <v>2</v>
      </c>
      <c r="BU12" s="61" t="s">
        <v>2</v>
      </c>
      <c r="BV12" s="55" t="s">
        <v>15</v>
      </c>
      <c r="BW12" s="55" t="s">
        <v>15</v>
      </c>
      <c r="BX12" s="55" t="s">
        <v>15</v>
      </c>
      <c r="BY12" s="64" t="s">
        <v>105</v>
      </c>
      <c r="BZ12" s="65" t="s">
        <v>107</v>
      </c>
      <c r="CA12" s="67" t="s">
        <v>2</v>
      </c>
      <c r="CB12" s="93" t="s">
        <v>109</v>
      </c>
      <c r="CC12" s="106" t="s">
        <v>13</v>
      </c>
      <c r="CD12" s="106" t="s">
        <v>13</v>
      </c>
      <c r="CE12" s="106" t="s">
        <v>13</v>
      </c>
      <c r="CF12" s="97" t="s">
        <v>106</v>
      </c>
      <c r="CG12" s="67" t="s">
        <v>2</v>
      </c>
      <c r="CH12" s="58" t="s">
        <v>104</v>
      </c>
      <c r="CI12" s="58" t="s">
        <v>104</v>
      </c>
      <c r="CJ12" s="58" t="s">
        <v>104</v>
      </c>
      <c r="CK12" s="61" t="s">
        <v>2</v>
      </c>
      <c r="CL12" s="58" t="s">
        <v>104</v>
      </c>
      <c r="CM12" s="65" t="s">
        <v>106</v>
      </c>
      <c r="CN12" s="61" t="s">
        <v>2</v>
      </c>
      <c r="CO12" s="65" t="s">
        <v>106</v>
      </c>
      <c r="CP12" s="65" t="s">
        <v>106</v>
      </c>
      <c r="CQ12" s="65" t="s">
        <v>106</v>
      </c>
      <c r="CR12" s="65" t="s">
        <v>106</v>
      </c>
      <c r="CS12" s="65" t="s">
        <v>106</v>
      </c>
      <c r="CT12" s="61" t="s">
        <v>2</v>
      </c>
      <c r="CU12" s="61" t="s">
        <v>2</v>
      </c>
      <c r="CV12" s="55" t="s">
        <v>109</v>
      </c>
      <c r="CW12" s="55" t="s">
        <v>109</v>
      </c>
      <c r="CX12" s="55" t="s">
        <v>109</v>
      </c>
      <c r="CY12" s="61" t="s">
        <v>2</v>
      </c>
      <c r="CZ12" s="61" t="s">
        <v>2</v>
      </c>
      <c r="DA12" s="55" t="s">
        <v>109</v>
      </c>
      <c r="DB12" s="62" t="s">
        <v>117</v>
      </c>
      <c r="DC12" s="69" t="s">
        <v>114</v>
      </c>
      <c r="DD12" s="69" t="s">
        <v>114</v>
      </c>
      <c r="DE12" s="63" t="s">
        <v>113</v>
      </c>
      <c r="DF12" s="69" t="s">
        <v>114</v>
      </c>
      <c r="DG12" s="58" t="s">
        <v>11</v>
      </c>
      <c r="DH12" s="61" t="s">
        <v>2</v>
      </c>
      <c r="DI12" s="61" t="s">
        <v>2</v>
      </c>
      <c r="DJ12" s="61" t="s">
        <v>2</v>
      </c>
      <c r="DK12" s="61" t="s">
        <v>2</v>
      </c>
      <c r="DL12" s="58" t="s">
        <v>11</v>
      </c>
      <c r="DM12" s="58" t="s">
        <v>11</v>
      </c>
      <c r="DN12" s="65" t="s">
        <v>7</v>
      </c>
      <c r="DO12" s="65" t="s">
        <v>7</v>
      </c>
      <c r="DP12" s="65" t="s">
        <v>115</v>
      </c>
      <c r="DQ12" s="55" t="s">
        <v>118</v>
      </c>
      <c r="DR12" s="55" t="s">
        <v>118</v>
      </c>
      <c r="DS12" s="61" t="s">
        <v>2</v>
      </c>
      <c r="DT12" s="55" t="s">
        <v>118</v>
      </c>
      <c r="DU12" s="55" t="s">
        <v>174</v>
      </c>
      <c r="DV12" s="55" t="s">
        <v>174</v>
      </c>
      <c r="DW12" s="61" t="s">
        <v>2</v>
      </c>
      <c r="DX12" s="65" t="s">
        <v>7</v>
      </c>
      <c r="DY12" s="69" t="s">
        <v>114</v>
      </c>
      <c r="DZ12" s="69" t="s">
        <v>114</v>
      </c>
      <c r="EA12" s="69" t="s">
        <v>114</v>
      </c>
      <c r="EB12" s="69" t="s">
        <v>114</v>
      </c>
      <c r="EC12" s="61" t="s">
        <v>2</v>
      </c>
      <c r="ED12" s="61" t="s">
        <v>2</v>
      </c>
      <c r="EE12" s="63" t="s">
        <v>113</v>
      </c>
      <c r="EF12" s="63" t="s">
        <v>113</v>
      </c>
      <c r="EG12" s="63" t="s">
        <v>113</v>
      </c>
      <c r="EH12" s="61" t="s">
        <v>2</v>
      </c>
      <c r="EI12" s="61" t="s">
        <v>2</v>
      </c>
      <c r="EJ12" s="63" t="s">
        <v>113</v>
      </c>
      <c r="EK12" s="69" t="s">
        <v>116</v>
      </c>
      <c r="EL12" s="61" t="s">
        <v>2</v>
      </c>
      <c r="EM12" s="65" t="s">
        <v>7</v>
      </c>
      <c r="EN12" s="65" t="s">
        <v>7</v>
      </c>
      <c r="EO12" s="61" t="s">
        <v>2</v>
      </c>
      <c r="EP12" s="65" t="s">
        <v>7</v>
      </c>
      <c r="EQ12" s="65" t="s">
        <v>7</v>
      </c>
      <c r="ER12" s="65" t="s">
        <v>115</v>
      </c>
      <c r="ES12" s="104" t="s">
        <v>11</v>
      </c>
      <c r="ET12" s="104" t="s">
        <v>11</v>
      </c>
      <c r="EU12" s="61" t="s">
        <v>2</v>
      </c>
      <c r="EV12" s="104" t="s">
        <v>11</v>
      </c>
      <c r="EW12" s="104" t="s">
        <v>11</v>
      </c>
      <c r="EX12" s="63" t="s">
        <v>12</v>
      </c>
      <c r="EY12" s="61" t="s">
        <v>2</v>
      </c>
      <c r="EZ12" s="99" t="s">
        <v>7</v>
      </c>
      <c r="FA12" s="99" t="s">
        <v>7</v>
      </c>
      <c r="FB12" s="99" t="s">
        <v>7</v>
      </c>
      <c r="FC12" s="99" t="s">
        <v>7</v>
      </c>
      <c r="FD12" s="99" t="s">
        <v>7</v>
      </c>
      <c r="FE12" s="72" t="s">
        <v>2</v>
      </c>
      <c r="FF12" s="72" t="s">
        <v>2</v>
      </c>
      <c r="FG12" s="74" t="s">
        <v>2</v>
      </c>
      <c r="FH12" s="74" t="s">
        <v>2</v>
      </c>
      <c r="FI12" s="69" t="s">
        <v>114</v>
      </c>
      <c r="FJ12" s="69" t="s">
        <v>114</v>
      </c>
      <c r="FK12" s="69" t="s">
        <v>114</v>
      </c>
      <c r="FL12" s="69" t="s">
        <v>114</v>
      </c>
      <c r="FM12" s="62" t="s">
        <v>117</v>
      </c>
      <c r="FN12" s="74" t="s">
        <v>2</v>
      </c>
      <c r="FO12" s="100" t="s">
        <v>11</v>
      </c>
      <c r="FP12" s="100" t="s">
        <v>11</v>
      </c>
      <c r="FQ12" s="100" t="s">
        <v>11</v>
      </c>
      <c r="FR12" s="100" t="s">
        <v>11</v>
      </c>
      <c r="FS12" s="89" t="s">
        <v>12</v>
      </c>
      <c r="FT12" s="74" t="s">
        <v>2</v>
      </c>
      <c r="FU12" s="77" t="s">
        <v>118</v>
      </c>
      <c r="FV12" s="77" t="s">
        <v>118</v>
      </c>
      <c r="FW12" s="77" t="s">
        <v>118</v>
      </c>
      <c r="FX12" s="77" t="s">
        <v>118</v>
      </c>
      <c r="FY12" s="78" t="s">
        <v>113</v>
      </c>
      <c r="FZ12" s="74" t="s">
        <v>2</v>
      </c>
      <c r="GA12" s="74" t="s">
        <v>2</v>
      </c>
      <c r="GB12" s="74" t="s">
        <v>2</v>
      </c>
      <c r="GC12" s="75" t="s">
        <v>114</v>
      </c>
      <c r="GD12" s="75" t="s">
        <v>114</v>
      </c>
      <c r="GE12" s="75" t="s">
        <v>114</v>
      </c>
      <c r="GF12" s="75" t="s">
        <v>114</v>
      </c>
      <c r="GG12" s="75" t="s">
        <v>114</v>
      </c>
      <c r="GH12" s="74" t="s">
        <v>2</v>
      </c>
      <c r="GI12" s="56" t="s">
        <v>2</v>
      </c>
      <c r="GJ12" s="107" t="s">
        <v>146</v>
      </c>
      <c r="GK12" s="107" t="s">
        <v>146</v>
      </c>
      <c r="GL12" s="80" t="s">
        <v>121</v>
      </c>
      <c r="GM12" s="82" t="s">
        <v>61</v>
      </c>
      <c r="GN12" s="82" t="s">
        <v>61</v>
      </c>
      <c r="GO12" s="56" t="s">
        <v>2</v>
      </c>
      <c r="GP12" s="58" t="s">
        <v>63</v>
      </c>
      <c r="GQ12" s="58" t="s">
        <v>63</v>
      </c>
      <c r="GR12" s="58" t="s">
        <v>63</v>
      </c>
      <c r="GS12" s="108" t="s">
        <v>122</v>
      </c>
      <c r="GT12" s="82" t="s">
        <v>61</v>
      </c>
      <c r="GU12" s="56" t="s">
        <v>2</v>
      </c>
      <c r="GV12" s="56" t="s">
        <v>2</v>
      </c>
      <c r="GW12" s="55" t="s">
        <v>124</v>
      </c>
      <c r="GX12" s="55" t="s">
        <v>124</v>
      </c>
      <c r="GY12" s="55" t="s">
        <v>124</v>
      </c>
      <c r="GZ12" s="55" t="s">
        <v>124</v>
      </c>
      <c r="HA12" s="55" t="s">
        <v>124</v>
      </c>
      <c r="HB12" s="56" t="s">
        <v>2</v>
      </c>
      <c r="HC12" s="56" t="s">
        <v>2</v>
      </c>
      <c r="HD12" s="102" t="s">
        <v>27</v>
      </c>
      <c r="HE12" s="102" t="s">
        <v>27</v>
      </c>
      <c r="HF12" s="102" t="s">
        <v>27</v>
      </c>
      <c r="HG12" s="102" t="s">
        <v>27</v>
      </c>
      <c r="HH12" s="102" t="s">
        <v>27</v>
      </c>
      <c r="HI12" s="56" t="s">
        <v>2</v>
      </c>
      <c r="HJ12" s="56" t="s">
        <v>2</v>
      </c>
      <c r="HK12" s="102" t="s">
        <v>27</v>
      </c>
      <c r="HL12" s="102" t="s">
        <v>27</v>
      </c>
      <c r="HM12" s="102" t="s">
        <v>27</v>
      </c>
      <c r="HN12" s="102" t="s">
        <v>27</v>
      </c>
      <c r="HO12" s="102" t="s">
        <v>27</v>
      </c>
      <c r="HP12" s="61" t="s">
        <v>2</v>
      </c>
      <c r="HQ12" s="61" t="s">
        <v>2</v>
      </c>
      <c r="HR12" s="58" t="s">
        <v>45</v>
      </c>
      <c r="HS12" s="61" t="s">
        <v>2</v>
      </c>
      <c r="HT12" s="82" t="s">
        <v>146</v>
      </c>
      <c r="HU12" s="82" t="s">
        <v>146</v>
      </c>
      <c r="HV12" s="61" t="s">
        <v>2</v>
      </c>
      <c r="HW12" s="55" t="s">
        <v>162</v>
      </c>
      <c r="HX12" s="65" t="s">
        <v>54</v>
      </c>
      <c r="HY12" s="61" t="s">
        <v>127</v>
      </c>
      <c r="HZ12" s="58" t="s">
        <v>67</v>
      </c>
      <c r="IA12" s="58" t="s">
        <v>67</v>
      </c>
      <c r="IB12" s="58" t="s">
        <v>67</v>
      </c>
      <c r="IC12" s="58" t="s">
        <v>67</v>
      </c>
      <c r="ID12" s="82" t="s">
        <v>45</v>
      </c>
      <c r="IE12" s="61" t="s">
        <v>127</v>
      </c>
      <c r="IF12" s="55" t="s">
        <v>126</v>
      </c>
      <c r="IG12" s="55" t="s">
        <v>126</v>
      </c>
      <c r="IH12" s="90" t="s">
        <v>175</v>
      </c>
      <c r="II12" s="55" t="s">
        <v>126</v>
      </c>
      <c r="IJ12" s="55" t="s">
        <v>126</v>
      </c>
      <c r="IK12" s="61" t="s">
        <v>2</v>
      </c>
      <c r="IL12" s="61" t="s">
        <v>2</v>
      </c>
      <c r="IM12" s="65" t="s">
        <v>128</v>
      </c>
      <c r="IN12" s="65" t="s">
        <v>128</v>
      </c>
      <c r="IO12" s="65" t="s">
        <v>128</v>
      </c>
      <c r="IP12" s="82" t="s">
        <v>45</v>
      </c>
      <c r="IQ12" s="81" t="s">
        <v>129</v>
      </c>
      <c r="IR12" s="61" t="s">
        <v>2</v>
      </c>
      <c r="IS12" s="61" t="s">
        <v>2</v>
      </c>
      <c r="IT12" s="56" t="s">
        <v>2</v>
      </c>
      <c r="IU12" s="58" t="s">
        <v>67</v>
      </c>
      <c r="IV12" s="58" t="s">
        <v>67</v>
      </c>
      <c r="IW12" s="58" t="s">
        <v>67</v>
      </c>
      <c r="IX12" s="82" t="s">
        <v>45</v>
      </c>
      <c r="IY12" s="80" t="s">
        <v>119</v>
      </c>
      <c r="IZ12" s="56" t="s">
        <v>2</v>
      </c>
      <c r="JA12" s="81" t="s">
        <v>146</v>
      </c>
      <c r="JB12" s="81" t="s">
        <v>146</v>
      </c>
      <c r="JC12" s="81" t="s">
        <v>129</v>
      </c>
      <c r="JD12" s="81" t="s">
        <v>129</v>
      </c>
      <c r="JE12" s="56" t="s">
        <v>130</v>
      </c>
      <c r="JF12" s="56" t="s">
        <v>2</v>
      </c>
      <c r="JG12" s="56" t="s">
        <v>2</v>
      </c>
      <c r="JH12" s="54" t="s">
        <v>128</v>
      </c>
      <c r="JI12" s="54" t="s">
        <v>128</v>
      </c>
      <c r="JJ12" s="56" t="s">
        <v>2</v>
      </c>
      <c r="JK12" s="56" t="s">
        <v>2</v>
      </c>
      <c r="JL12" s="82" t="s">
        <v>45</v>
      </c>
      <c r="JM12" s="81" t="s">
        <v>146</v>
      </c>
      <c r="JN12" s="54" t="s">
        <v>128</v>
      </c>
      <c r="JO12" s="54" t="s">
        <v>128</v>
      </c>
      <c r="JP12" s="56" t="s">
        <v>2</v>
      </c>
      <c r="JQ12" s="80" t="s">
        <v>119</v>
      </c>
      <c r="JR12" s="56" t="s">
        <v>2</v>
      </c>
      <c r="JS12" s="80" t="s">
        <v>152</v>
      </c>
      <c r="JT12" s="80" t="s">
        <v>152</v>
      </c>
      <c r="JU12" s="80" t="s">
        <v>164</v>
      </c>
      <c r="JV12" s="141" t="s">
        <v>152</v>
      </c>
      <c r="JW12" s="129" t="s">
        <v>2</v>
      </c>
      <c r="JX12" s="129" t="s">
        <v>2</v>
      </c>
      <c r="JY12" s="128" t="s">
        <v>128</v>
      </c>
      <c r="JZ12" s="128" t="s">
        <v>128</v>
      </c>
      <c r="KA12" s="128" t="s">
        <v>128</v>
      </c>
      <c r="KB12" s="128" t="s">
        <v>128</v>
      </c>
      <c r="KC12" s="129" t="s">
        <v>2</v>
      </c>
      <c r="KD12" s="212" t="s">
        <v>45</v>
      </c>
      <c r="KE12" s="212" t="s">
        <v>45</v>
      </c>
      <c r="KF12" s="212" t="s">
        <v>45</v>
      </c>
      <c r="KG12" s="212" t="s">
        <v>45</v>
      </c>
      <c r="KH12" s="212" t="s">
        <v>45</v>
      </c>
      <c r="KI12" s="129" t="s">
        <v>2</v>
      </c>
      <c r="KJ12" s="141" t="s">
        <v>119</v>
      </c>
      <c r="KK12" s="141" t="s">
        <v>119</v>
      </c>
      <c r="KL12" s="141" t="s">
        <v>119</v>
      </c>
      <c r="KM12" s="141" t="s">
        <v>119</v>
      </c>
      <c r="KN12" s="141" t="s">
        <v>119</v>
      </c>
      <c r="KO12" s="129" t="s">
        <v>2</v>
      </c>
      <c r="KP12" s="129" t="s">
        <v>2</v>
      </c>
      <c r="KQ12" s="131" t="s">
        <v>67</v>
      </c>
      <c r="KR12" s="129" t="s">
        <v>2</v>
      </c>
      <c r="KS12" s="129" t="s">
        <v>2</v>
      </c>
      <c r="KT12" s="212" t="s">
        <v>45</v>
      </c>
      <c r="KU12" s="128" t="s">
        <v>128</v>
      </c>
      <c r="KV12" s="128" t="s">
        <v>128</v>
      </c>
      <c r="KW12" s="128" t="s">
        <v>128</v>
      </c>
      <c r="KX12" s="129" t="s">
        <v>2</v>
      </c>
      <c r="KY12" s="131" t="s">
        <v>67</v>
      </c>
      <c r="KZ12" s="131" t="s">
        <v>67</v>
      </c>
      <c r="LA12" s="131" t="s">
        <v>67</v>
      </c>
      <c r="LB12" s="131" t="s">
        <v>67</v>
      </c>
      <c r="LC12" s="131" t="s">
        <v>67</v>
      </c>
      <c r="LD12" s="129" t="s">
        <v>2</v>
      </c>
      <c r="LE12" s="98" t="s">
        <v>126</v>
      </c>
      <c r="LF12" s="98" t="s">
        <v>126</v>
      </c>
      <c r="LG12" s="98" t="s">
        <v>126</v>
      </c>
      <c r="LH12" s="98" t="s">
        <v>126</v>
      </c>
      <c r="LI12" s="98" t="s">
        <v>126</v>
      </c>
      <c r="LJ12" s="129" t="s">
        <v>2</v>
      </c>
      <c r="LK12" s="129" t="s">
        <v>2</v>
      </c>
      <c r="LL12" s="141" t="s">
        <v>119</v>
      </c>
      <c r="LM12" s="141" t="s">
        <v>119</v>
      </c>
      <c r="LN12" s="129" t="s">
        <v>2</v>
      </c>
      <c r="LO12" s="129" t="s">
        <v>2</v>
      </c>
      <c r="LP12" s="141" t="s">
        <v>119</v>
      </c>
      <c r="LQ12" s="141" t="s">
        <v>119</v>
      </c>
      <c r="LR12" s="141" t="s">
        <v>164</v>
      </c>
      <c r="LS12" s="129" t="s">
        <v>2</v>
      </c>
      <c r="LT12" s="131" t="s">
        <v>67</v>
      </c>
      <c r="LU12" s="131" t="s">
        <v>67</v>
      </c>
      <c r="LV12" s="131" t="s">
        <v>67</v>
      </c>
      <c r="LW12" s="131" t="s">
        <v>67</v>
      </c>
      <c r="LX12" s="131" t="s">
        <v>67</v>
      </c>
      <c r="LY12" s="129" t="s">
        <v>2</v>
      </c>
      <c r="LZ12" s="98" t="s">
        <v>126</v>
      </c>
      <c r="MA12" s="98" t="s">
        <v>126</v>
      </c>
      <c r="MB12" s="98" t="s">
        <v>126</v>
      </c>
      <c r="MC12" s="98" t="s">
        <v>126</v>
      </c>
      <c r="MD12" s="98" t="s">
        <v>126</v>
      </c>
      <c r="ME12" s="129" t="s">
        <v>2</v>
      </c>
      <c r="MF12" s="129" t="s">
        <v>2</v>
      </c>
    </row>
    <row r="13" spans="1:372" ht="13.5" thickBot="1">
      <c r="A13" s="473"/>
      <c r="B13" s="508"/>
      <c r="C13" s="473"/>
      <c r="D13" s="510"/>
      <c r="E13" s="507"/>
      <c r="F13" s="473"/>
      <c r="G13" s="510"/>
      <c r="H13" s="495"/>
      <c r="I13" s="514"/>
      <c r="J13" s="531"/>
      <c r="K13" s="510"/>
      <c r="L13" s="495"/>
      <c r="M13" s="495"/>
      <c r="N13" s="495">
        <v>3</v>
      </c>
      <c r="O13" s="534" t="s">
        <v>176</v>
      </c>
      <c r="P13" s="498" t="s">
        <v>9</v>
      </c>
      <c r="Q13" s="50" t="s">
        <v>2</v>
      </c>
      <c r="R13" s="49" t="s">
        <v>8</v>
      </c>
      <c r="S13" s="91" t="s">
        <v>10</v>
      </c>
      <c r="T13" s="91" t="s">
        <v>11</v>
      </c>
      <c r="U13" s="50" t="s">
        <v>2</v>
      </c>
      <c r="V13" s="93" t="s">
        <v>106</v>
      </c>
      <c r="W13" s="109" t="s">
        <v>105</v>
      </c>
      <c r="X13" s="109" t="s">
        <v>105</v>
      </c>
      <c r="Y13" s="109" t="s">
        <v>105</v>
      </c>
      <c r="Z13" s="109" t="s">
        <v>105</v>
      </c>
      <c r="AA13" s="50" t="s">
        <v>2</v>
      </c>
      <c r="AB13" s="50" t="s">
        <v>2</v>
      </c>
      <c r="AC13" s="52" t="s">
        <v>4</v>
      </c>
      <c r="AD13" s="95" t="s">
        <v>10</v>
      </c>
      <c r="AE13" s="95" t="s">
        <v>10</v>
      </c>
      <c r="AF13" s="95" t="s">
        <v>10</v>
      </c>
      <c r="AG13" s="95" t="s">
        <v>10</v>
      </c>
      <c r="AH13" s="56" t="s">
        <v>2</v>
      </c>
      <c r="AI13" s="95" t="s">
        <v>11</v>
      </c>
      <c r="AJ13" s="56" t="s">
        <v>2</v>
      </c>
      <c r="AK13" s="110" t="s">
        <v>12</v>
      </c>
      <c r="AL13" s="110" t="s">
        <v>12</v>
      </c>
      <c r="AM13" s="110" t="s">
        <v>12</v>
      </c>
      <c r="AN13" s="110" t="s">
        <v>12</v>
      </c>
      <c r="AO13" s="110" t="s">
        <v>12</v>
      </c>
      <c r="AP13" s="56" t="s">
        <v>2</v>
      </c>
      <c r="AQ13" s="56" t="s">
        <v>2</v>
      </c>
      <c r="AR13" s="56" t="s">
        <v>2</v>
      </c>
      <c r="AS13" s="54" t="s">
        <v>9</v>
      </c>
      <c r="AT13" s="54" t="s">
        <v>9</v>
      </c>
      <c r="AU13" s="54" t="s">
        <v>9</v>
      </c>
      <c r="AV13" s="56" t="s">
        <v>2</v>
      </c>
      <c r="AW13" s="58" t="s">
        <v>10</v>
      </c>
      <c r="AX13" s="62" t="s">
        <v>3</v>
      </c>
      <c r="AY13" s="59" t="s">
        <v>6</v>
      </c>
      <c r="AZ13" s="59" t="s">
        <v>6</v>
      </c>
      <c r="BA13" s="59" t="s">
        <v>6</v>
      </c>
      <c r="BB13" s="59" t="s">
        <v>5</v>
      </c>
      <c r="BC13" s="59" t="s">
        <v>5</v>
      </c>
      <c r="BD13" s="56" t="s">
        <v>2</v>
      </c>
      <c r="BE13" s="56" t="s">
        <v>2</v>
      </c>
      <c r="BF13" s="55" t="s">
        <v>15</v>
      </c>
      <c r="BG13" s="55" t="s">
        <v>15</v>
      </c>
      <c r="BH13" s="55" t="s">
        <v>15</v>
      </c>
      <c r="BI13" s="55" t="s">
        <v>15</v>
      </c>
      <c r="BJ13" s="61" t="s">
        <v>2</v>
      </c>
      <c r="BK13" s="55" t="s">
        <v>15</v>
      </c>
      <c r="BL13" s="61" t="s">
        <v>2</v>
      </c>
      <c r="BM13" s="64" t="s">
        <v>105</v>
      </c>
      <c r="BN13" s="64" t="s">
        <v>105</v>
      </c>
      <c r="BO13" s="55" t="s">
        <v>15</v>
      </c>
      <c r="BP13" s="55" t="s">
        <v>15</v>
      </c>
      <c r="BQ13" s="61" t="s">
        <v>2</v>
      </c>
      <c r="BR13" s="61" t="s">
        <v>2</v>
      </c>
      <c r="BS13" s="65" t="s">
        <v>106</v>
      </c>
      <c r="BT13" s="58" t="s">
        <v>10</v>
      </c>
      <c r="BU13" s="58" t="s">
        <v>104</v>
      </c>
      <c r="BV13" s="58" t="s">
        <v>104</v>
      </c>
      <c r="BW13" s="61" t="s">
        <v>2</v>
      </c>
      <c r="BX13" s="61" t="s">
        <v>2</v>
      </c>
      <c r="BY13" s="69" t="s">
        <v>6</v>
      </c>
      <c r="BZ13" s="69" t="s">
        <v>112</v>
      </c>
      <c r="CA13" s="103" t="s">
        <v>10</v>
      </c>
      <c r="CB13" s="103" t="s">
        <v>10</v>
      </c>
      <c r="CC13" s="103" t="s">
        <v>10</v>
      </c>
      <c r="CD13" s="103" t="s">
        <v>10</v>
      </c>
      <c r="CE13" s="103" t="s">
        <v>10</v>
      </c>
      <c r="CF13" s="67" t="s">
        <v>2</v>
      </c>
      <c r="CG13" s="67" t="s">
        <v>2</v>
      </c>
      <c r="CH13" s="55" t="s">
        <v>109</v>
      </c>
      <c r="CI13" s="55" t="s">
        <v>109</v>
      </c>
      <c r="CJ13" s="55" t="s">
        <v>109</v>
      </c>
      <c r="CK13" s="55" t="s">
        <v>109</v>
      </c>
      <c r="CL13" s="61" t="s">
        <v>2</v>
      </c>
      <c r="CM13" s="55" t="s">
        <v>109</v>
      </c>
      <c r="CN13" s="61" t="s">
        <v>2</v>
      </c>
      <c r="CO13" s="69" t="s">
        <v>108</v>
      </c>
      <c r="CP13" s="69" t="s">
        <v>108</v>
      </c>
      <c r="CQ13" s="69" t="s">
        <v>108</v>
      </c>
      <c r="CR13" s="58" t="s">
        <v>104</v>
      </c>
      <c r="CS13" s="58" t="s">
        <v>104</v>
      </c>
      <c r="CT13" s="61" t="s">
        <v>2</v>
      </c>
      <c r="CU13" s="61" t="s">
        <v>2</v>
      </c>
      <c r="CV13" s="65" t="s">
        <v>106</v>
      </c>
      <c r="CW13" s="65" t="s">
        <v>106</v>
      </c>
      <c r="CX13" s="61" t="s">
        <v>2</v>
      </c>
      <c r="CY13" s="61" t="s">
        <v>2</v>
      </c>
      <c r="CZ13" s="65" t="s">
        <v>106</v>
      </c>
      <c r="DA13" s="65" t="s">
        <v>106</v>
      </c>
      <c r="DB13" s="65" t="s">
        <v>107</v>
      </c>
      <c r="DC13" s="65" t="s">
        <v>7</v>
      </c>
      <c r="DD13" s="65" t="s">
        <v>7</v>
      </c>
      <c r="DE13" s="65" t="s">
        <v>7</v>
      </c>
      <c r="DF13" s="65" t="s">
        <v>7</v>
      </c>
      <c r="DG13" s="65" t="s">
        <v>7</v>
      </c>
      <c r="DH13" s="61" t="s">
        <v>2</v>
      </c>
      <c r="DI13" s="61" t="s">
        <v>2</v>
      </c>
      <c r="DJ13" s="65" t="s">
        <v>7</v>
      </c>
      <c r="DK13" s="69" t="s">
        <v>114</v>
      </c>
      <c r="DL13" s="61" t="s">
        <v>2</v>
      </c>
      <c r="DM13" s="61" t="s">
        <v>2</v>
      </c>
      <c r="DN13" s="58" t="s">
        <v>11</v>
      </c>
      <c r="DO13" s="111" t="s">
        <v>113</v>
      </c>
      <c r="DP13" s="70" t="s">
        <v>117</v>
      </c>
      <c r="DQ13" s="61" t="s">
        <v>2</v>
      </c>
      <c r="DR13" s="69" t="s">
        <v>114</v>
      </c>
      <c r="DS13" s="69" t="s">
        <v>114</v>
      </c>
      <c r="DT13" s="69" t="s">
        <v>114</v>
      </c>
      <c r="DU13" s="69" t="s">
        <v>114</v>
      </c>
      <c r="DV13" s="69" t="s">
        <v>114</v>
      </c>
      <c r="DW13" s="61" t="s">
        <v>2</v>
      </c>
      <c r="DX13" s="55" t="s">
        <v>118</v>
      </c>
      <c r="DY13" s="55" t="s">
        <v>118</v>
      </c>
      <c r="DZ13" s="55" t="s">
        <v>118</v>
      </c>
      <c r="EA13" s="55" t="s">
        <v>139</v>
      </c>
      <c r="EB13" s="112" t="s">
        <v>118</v>
      </c>
      <c r="EC13" s="61" t="s">
        <v>2</v>
      </c>
      <c r="ED13" s="61" t="s">
        <v>2</v>
      </c>
      <c r="EE13" s="58" t="s">
        <v>11</v>
      </c>
      <c r="EF13" s="58" t="s">
        <v>11</v>
      </c>
      <c r="EG13" s="58" t="s">
        <v>11</v>
      </c>
      <c r="EH13" s="62" t="s">
        <v>117</v>
      </c>
      <c r="EI13" s="58" t="s">
        <v>11</v>
      </c>
      <c r="EJ13" s="61" t="s">
        <v>2</v>
      </c>
      <c r="EK13" s="61" t="s">
        <v>2</v>
      </c>
      <c r="EL13" s="69" t="s">
        <v>114</v>
      </c>
      <c r="EM13" s="69" t="s">
        <v>114</v>
      </c>
      <c r="EN13" s="69" t="s">
        <v>114</v>
      </c>
      <c r="EO13" s="61" t="s">
        <v>2</v>
      </c>
      <c r="EP13" s="69" t="s">
        <v>114</v>
      </c>
      <c r="EQ13" s="69" t="s">
        <v>114</v>
      </c>
      <c r="ER13" s="61" t="s">
        <v>2</v>
      </c>
      <c r="ES13" s="65" t="s">
        <v>7</v>
      </c>
      <c r="ET13" s="65" t="s">
        <v>7</v>
      </c>
      <c r="EU13" s="69" t="s">
        <v>114</v>
      </c>
      <c r="EV13" s="61" t="s">
        <v>2</v>
      </c>
      <c r="EW13" s="61" t="s">
        <v>2</v>
      </c>
      <c r="EX13" s="65" t="s">
        <v>7</v>
      </c>
      <c r="EY13" s="65" t="s">
        <v>115</v>
      </c>
      <c r="EZ13" s="98" t="s">
        <v>118</v>
      </c>
      <c r="FA13" s="113" t="s">
        <v>2</v>
      </c>
      <c r="FB13" s="98" t="s">
        <v>118</v>
      </c>
      <c r="FC13" s="98" t="s">
        <v>139</v>
      </c>
      <c r="FD13" s="114" t="s">
        <v>113</v>
      </c>
      <c r="FE13" s="99" t="s">
        <v>7</v>
      </c>
      <c r="FF13" s="113" t="s">
        <v>2</v>
      </c>
      <c r="FG13" s="104" t="s">
        <v>11</v>
      </c>
      <c r="FH13" s="104" t="s">
        <v>11</v>
      </c>
      <c r="FI13" s="104" t="s">
        <v>11</v>
      </c>
      <c r="FJ13" s="58" t="s">
        <v>177</v>
      </c>
      <c r="FK13" s="104" t="s">
        <v>11</v>
      </c>
      <c r="FL13" s="74" t="s">
        <v>2</v>
      </c>
      <c r="FM13" s="74" t="s">
        <v>2</v>
      </c>
      <c r="FN13" s="77" t="s">
        <v>118</v>
      </c>
      <c r="FO13" s="77" t="s">
        <v>118</v>
      </c>
      <c r="FP13" s="77" t="s">
        <v>118</v>
      </c>
      <c r="FQ13" s="77" t="s">
        <v>118</v>
      </c>
      <c r="FR13" s="55" t="s">
        <v>118</v>
      </c>
      <c r="FS13" s="61" t="s">
        <v>2</v>
      </c>
      <c r="FT13" s="74" t="s">
        <v>2</v>
      </c>
      <c r="FU13" s="75" t="s">
        <v>114</v>
      </c>
      <c r="FV13" s="75" t="s">
        <v>114</v>
      </c>
      <c r="FW13" s="75" t="s">
        <v>114</v>
      </c>
      <c r="FX13" s="74" t="s">
        <v>2</v>
      </c>
      <c r="FY13" s="75" t="s">
        <v>114</v>
      </c>
      <c r="FZ13" s="75" t="s">
        <v>114</v>
      </c>
      <c r="GA13" s="74" t="s">
        <v>2</v>
      </c>
      <c r="GB13" s="77" t="s">
        <v>118</v>
      </c>
      <c r="GC13" s="77" t="s">
        <v>118</v>
      </c>
      <c r="GD13" s="77" t="s">
        <v>118</v>
      </c>
      <c r="GE13" s="77" t="s">
        <v>118</v>
      </c>
      <c r="GF13" s="55" t="s">
        <v>139</v>
      </c>
      <c r="GG13" s="74" t="s">
        <v>2</v>
      </c>
      <c r="GH13" s="74" t="s">
        <v>2</v>
      </c>
      <c r="GI13" s="54" t="s">
        <v>128</v>
      </c>
      <c r="GJ13" s="54" t="s">
        <v>128</v>
      </c>
      <c r="GK13" s="54" t="s">
        <v>128</v>
      </c>
      <c r="GL13" s="80" t="s">
        <v>120</v>
      </c>
      <c r="GM13" s="81" t="s">
        <v>122</v>
      </c>
      <c r="GN13" s="56" t="s">
        <v>2</v>
      </c>
      <c r="GO13" s="56" t="s">
        <v>2</v>
      </c>
      <c r="GP13" s="55" t="s">
        <v>124</v>
      </c>
      <c r="GQ13" s="54" t="s">
        <v>123</v>
      </c>
      <c r="GR13" s="54" t="s">
        <v>123</v>
      </c>
      <c r="GS13" s="54" t="s">
        <v>123</v>
      </c>
      <c r="GT13" s="55" t="s">
        <v>124</v>
      </c>
      <c r="GU13" s="56" t="s">
        <v>2</v>
      </c>
      <c r="GV13" s="56" t="s">
        <v>2</v>
      </c>
      <c r="GW13" s="56" t="s">
        <v>2</v>
      </c>
      <c r="GX13" s="55" t="s">
        <v>124</v>
      </c>
      <c r="GY13" s="81" t="s">
        <v>122</v>
      </c>
      <c r="GZ13" s="55" t="s">
        <v>124</v>
      </c>
      <c r="HA13" s="58" t="s">
        <v>63</v>
      </c>
      <c r="HB13" s="82" t="s">
        <v>61</v>
      </c>
      <c r="HC13" s="56" t="s">
        <v>2</v>
      </c>
      <c r="HD13" s="80" t="s">
        <v>120</v>
      </c>
      <c r="HE13" s="80" t="s">
        <v>120</v>
      </c>
      <c r="HF13" s="80" t="s">
        <v>120</v>
      </c>
      <c r="HG13" s="81" t="s">
        <v>122</v>
      </c>
      <c r="HH13" s="55" t="s">
        <v>124</v>
      </c>
      <c r="HI13" s="56" t="s">
        <v>2</v>
      </c>
      <c r="HJ13" s="56" t="s">
        <v>2</v>
      </c>
      <c r="HK13" s="82" t="s">
        <v>61</v>
      </c>
      <c r="HL13" s="55" t="s">
        <v>124</v>
      </c>
      <c r="HM13" s="82" t="s">
        <v>61</v>
      </c>
      <c r="HN13" s="82" t="s">
        <v>61</v>
      </c>
      <c r="HO13" s="61" t="s">
        <v>2</v>
      </c>
      <c r="HP13" s="61" t="s">
        <v>2</v>
      </c>
      <c r="HQ13" s="80" t="s">
        <v>152</v>
      </c>
      <c r="HR13" s="80" t="s">
        <v>147</v>
      </c>
      <c r="HS13" s="60" t="s">
        <v>147</v>
      </c>
      <c r="HT13" s="61" t="s">
        <v>2</v>
      </c>
      <c r="HU13" s="61" t="s">
        <v>2</v>
      </c>
      <c r="HV13" s="80" t="s">
        <v>147</v>
      </c>
      <c r="HW13" s="80" t="s">
        <v>119</v>
      </c>
      <c r="HX13" s="80" t="s">
        <v>164</v>
      </c>
      <c r="HY13" s="61" t="s">
        <v>127</v>
      </c>
      <c r="HZ13" s="58" t="s">
        <v>67</v>
      </c>
      <c r="IA13" s="82" t="s">
        <v>146</v>
      </c>
      <c r="IB13" s="82" t="s">
        <v>146</v>
      </c>
      <c r="IC13" s="82" t="s">
        <v>146</v>
      </c>
      <c r="ID13" s="55" t="s">
        <v>126</v>
      </c>
      <c r="IE13" s="61" t="s">
        <v>127</v>
      </c>
      <c r="IF13" s="55" t="s">
        <v>126</v>
      </c>
      <c r="IG13" s="58" t="s">
        <v>67</v>
      </c>
      <c r="IH13" s="58" t="s">
        <v>67</v>
      </c>
      <c r="II13" s="58" t="s">
        <v>67</v>
      </c>
      <c r="IJ13" s="58" t="s">
        <v>67</v>
      </c>
      <c r="IK13" s="61" t="s">
        <v>2</v>
      </c>
      <c r="IL13" s="61" t="s">
        <v>2</v>
      </c>
      <c r="IM13" s="81" t="s">
        <v>129</v>
      </c>
      <c r="IN13" s="81" t="s">
        <v>129</v>
      </c>
      <c r="IO13" s="61" t="s">
        <v>2</v>
      </c>
      <c r="IP13" s="61" t="s">
        <v>2</v>
      </c>
      <c r="IQ13" s="82" t="s">
        <v>45</v>
      </c>
      <c r="IR13" s="65" t="s">
        <v>128</v>
      </c>
      <c r="IS13" s="65" t="s">
        <v>128</v>
      </c>
      <c r="IT13" s="54" t="s">
        <v>128</v>
      </c>
      <c r="IU13" s="54" t="s">
        <v>128</v>
      </c>
      <c r="IV13" s="80" t="s">
        <v>119</v>
      </c>
      <c r="IW13" s="56" t="s">
        <v>2</v>
      </c>
      <c r="IX13" s="82" t="s">
        <v>45</v>
      </c>
      <c r="IY13" s="55" t="s">
        <v>126</v>
      </c>
      <c r="IZ13" s="56" t="s">
        <v>2</v>
      </c>
      <c r="JA13" s="58" t="s">
        <v>67</v>
      </c>
      <c r="JB13" s="58" t="s">
        <v>67</v>
      </c>
      <c r="JC13" s="58" t="s">
        <v>67</v>
      </c>
      <c r="JD13" s="55" t="s">
        <v>126</v>
      </c>
      <c r="JE13" s="55" t="s">
        <v>159</v>
      </c>
      <c r="JF13" s="56" t="s">
        <v>2</v>
      </c>
      <c r="JG13" s="56" t="s">
        <v>2</v>
      </c>
      <c r="JH13" s="102" t="s">
        <v>27</v>
      </c>
      <c r="JI13" s="102" t="s">
        <v>27</v>
      </c>
      <c r="JJ13" s="102" t="s">
        <v>27</v>
      </c>
      <c r="JK13" s="102" t="s">
        <v>27</v>
      </c>
      <c r="JL13" s="102" t="s">
        <v>27</v>
      </c>
      <c r="JM13" s="56" t="s">
        <v>2</v>
      </c>
      <c r="JN13" s="56" t="s">
        <v>2</v>
      </c>
      <c r="JO13" s="80" t="s">
        <v>152</v>
      </c>
      <c r="JP13" s="58" t="s">
        <v>67</v>
      </c>
      <c r="JQ13" s="56" t="s">
        <v>2</v>
      </c>
      <c r="JR13" s="56" t="s">
        <v>2</v>
      </c>
      <c r="JS13" s="54" t="s">
        <v>128</v>
      </c>
      <c r="JT13" s="54" t="s">
        <v>128</v>
      </c>
      <c r="JU13" s="54" t="s">
        <v>128</v>
      </c>
      <c r="JV13" s="131" t="s">
        <v>67</v>
      </c>
      <c r="JW13" s="129" t="s">
        <v>2</v>
      </c>
      <c r="JX13" s="129" t="s">
        <v>2</v>
      </c>
      <c r="JY13" s="131" t="s">
        <v>67</v>
      </c>
      <c r="JZ13" s="131" t="s">
        <v>67</v>
      </c>
      <c r="KA13" s="141" t="s">
        <v>119</v>
      </c>
      <c r="KB13" s="141" t="s">
        <v>164</v>
      </c>
      <c r="KC13" s="128" t="s">
        <v>128</v>
      </c>
      <c r="KD13" s="128" t="s">
        <v>128</v>
      </c>
      <c r="KE13" s="128" t="s">
        <v>128</v>
      </c>
      <c r="KF13" s="129" t="s">
        <v>2</v>
      </c>
      <c r="KG13" s="129" t="s">
        <v>2</v>
      </c>
      <c r="KH13" s="98" t="s">
        <v>126</v>
      </c>
      <c r="KI13" s="128" t="s">
        <v>128</v>
      </c>
      <c r="KJ13" s="131" t="s">
        <v>67</v>
      </c>
      <c r="KK13" s="129" t="s">
        <v>2</v>
      </c>
      <c r="KL13" s="129" t="s">
        <v>2</v>
      </c>
      <c r="KM13" s="128" t="s">
        <v>128</v>
      </c>
      <c r="KN13" s="128" t="s">
        <v>128</v>
      </c>
      <c r="KO13" s="128" t="s">
        <v>128</v>
      </c>
      <c r="KP13" s="128" t="s">
        <v>128</v>
      </c>
      <c r="KQ13" s="129" t="s">
        <v>2</v>
      </c>
      <c r="KR13" s="212" t="s">
        <v>45</v>
      </c>
      <c r="KS13" s="212" t="s">
        <v>45</v>
      </c>
      <c r="KT13" s="212" t="s">
        <v>45</v>
      </c>
      <c r="KU13" s="212" t="s">
        <v>45</v>
      </c>
      <c r="KV13" s="212" t="s">
        <v>45</v>
      </c>
      <c r="KW13" s="129" t="s">
        <v>2</v>
      </c>
      <c r="KX13" s="141" t="s">
        <v>119</v>
      </c>
      <c r="KY13" s="141" t="s">
        <v>152</v>
      </c>
      <c r="KZ13" s="141" t="s">
        <v>119</v>
      </c>
      <c r="LA13" s="141" t="s">
        <v>152</v>
      </c>
      <c r="LB13" s="141" t="s">
        <v>152</v>
      </c>
      <c r="LC13" s="129" t="s">
        <v>2</v>
      </c>
      <c r="LD13" s="129" t="s">
        <v>2</v>
      </c>
      <c r="LE13" s="212" t="s">
        <v>45</v>
      </c>
      <c r="LF13" s="212" t="s">
        <v>45</v>
      </c>
      <c r="LG13" s="212" t="s">
        <v>45</v>
      </c>
      <c r="LH13" s="212" t="s">
        <v>45</v>
      </c>
      <c r="LI13" s="212" t="s">
        <v>45</v>
      </c>
      <c r="LJ13" s="129" t="s">
        <v>2</v>
      </c>
      <c r="LK13" s="129" t="s">
        <v>2</v>
      </c>
      <c r="LL13" s="128" t="s">
        <v>128</v>
      </c>
      <c r="LM13" s="129" t="s">
        <v>2</v>
      </c>
      <c r="LN13" s="129" t="s">
        <v>2</v>
      </c>
      <c r="LO13" s="131" t="s">
        <v>67</v>
      </c>
      <c r="LP13" s="131" t="s">
        <v>67</v>
      </c>
      <c r="LQ13" s="131" t="s">
        <v>67</v>
      </c>
      <c r="LR13" s="128" t="s">
        <v>128</v>
      </c>
      <c r="LS13" s="128" t="s">
        <v>128</v>
      </c>
      <c r="LT13" s="129" t="s">
        <v>2</v>
      </c>
      <c r="LU13" s="129" t="s">
        <v>2</v>
      </c>
      <c r="LV13" s="212" t="s">
        <v>45</v>
      </c>
      <c r="LW13" s="128" t="s">
        <v>128</v>
      </c>
      <c r="LX13" s="128" t="s">
        <v>128</v>
      </c>
      <c r="LY13" s="128" t="s">
        <v>128</v>
      </c>
      <c r="LZ13" s="129" t="s">
        <v>2</v>
      </c>
      <c r="MA13" s="209" t="s">
        <v>146</v>
      </c>
      <c r="MB13" s="209" t="s">
        <v>146</v>
      </c>
      <c r="MC13" s="209" t="s">
        <v>146</v>
      </c>
      <c r="MD13" s="209" t="s">
        <v>146</v>
      </c>
      <c r="ME13" s="209" t="s">
        <v>146</v>
      </c>
      <c r="MF13" s="129" t="s">
        <v>2</v>
      </c>
      <c r="MG13" s="131" t="s">
        <v>67</v>
      </c>
      <c r="MH13" s="131" t="s">
        <v>67</v>
      </c>
      <c r="MI13" s="131" t="s">
        <v>67</v>
      </c>
      <c r="MJ13" s="131" t="s">
        <v>67</v>
      </c>
      <c r="MK13" s="131" t="s">
        <v>67</v>
      </c>
      <c r="ML13" s="129" t="s">
        <v>2</v>
      </c>
      <c r="MM13" s="129" t="s">
        <v>2</v>
      </c>
    </row>
    <row r="14" spans="1:372" ht="15" thickBot="1">
      <c r="A14" s="473"/>
      <c r="B14" s="473"/>
      <c r="C14" s="473"/>
      <c r="D14" s="495"/>
      <c r="E14" s="514"/>
      <c r="F14" s="531"/>
      <c r="G14" s="508"/>
      <c r="H14" s="507"/>
      <c r="I14" s="521"/>
      <c r="J14" s="518"/>
      <c r="K14" s="509"/>
      <c r="L14" s="508"/>
      <c r="M14" s="527"/>
      <c r="N14" s="495">
        <v>3</v>
      </c>
      <c r="O14" s="504" t="s">
        <v>178</v>
      </c>
      <c r="P14" s="496" t="s">
        <v>2</v>
      </c>
      <c r="Q14" s="94" t="s">
        <v>16</v>
      </c>
      <c r="R14" s="94" t="s">
        <v>16</v>
      </c>
      <c r="S14" s="94" t="s">
        <v>16</v>
      </c>
      <c r="T14" s="94" t="s">
        <v>16</v>
      </c>
      <c r="U14" s="94" t="s">
        <v>16</v>
      </c>
      <c r="V14" s="50" t="s">
        <v>2</v>
      </c>
      <c r="W14" s="50" t="s">
        <v>2</v>
      </c>
      <c r="X14" s="84" t="s">
        <v>11</v>
      </c>
      <c r="Y14" s="84" t="s">
        <v>11</v>
      </c>
      <c r="Z14" s="84" t="s">
        <v>11</v>
      </c>
      <c r="AA14" s="84" t="s">
        <v>11</v>
      </c>
      <c r="AB14" s="50" t="s">
        <v>2</v>
      </c>
      <c r="AC14" s="52" t="s">
        <v>4</v>
      </c>
      <c r="AD14" s="110" t="s">
        <v>12</v>
      </c>
      <c r="AE14" s="110" t="s">
        <v>12</v>
      </c>
      <c r="AF14" s="110" t="s">
        <v>12</v>
      </c>
      <c r="AG14" s="110" t="s">
        <v>12</v>
      </c>
      <c r="AH14" s="110" t="s">
        <v>12</v>
      </c>
      <c r="AI14" s="56" t="s">
        <v>2</v>
      </c>
      <c r="AJ14" s="56" t="s">
        <v>2</v>
      </c>
      <c r="AK14" s="55" t="s">
        <v>16</v>
      </c>
      <c r="AL14" s="55" t="s">
        <v>16</v>
      </c>
      <c r="AM14" s="55" t="s">
        <v>16</v>
      </c>
      <c r="AN14" s="56" t="s">
        <v>2</v>
      </c>
      <c r="AO14" s="56" t="s">
        <v>2</v>
      </c>
      <c r="AP14" s="54" t="s">
        <v>9</v>
      </c>
      <c r="AQ14" s="54" t="s">
        <v>9</v>
      </c>
      <c r="AR14" s="54" t="s">
        <v>8</v>
      </c>
      <c r="AS14" s="54" t="s">
        <v>9</v>
      </c>
      <c r="AT14" s="54" t="s">
        <v>9</v>
      </c>
      <c r="AU14" s="54" t="s">
        <v>9</v>
      </c>
      <c r="AV14" s="56" t="s">
        <v>2</v>
      </c>
      <c r="AW14" s="55" t="s">
        <v>15</v>
      </c>
      <c r="AX14" s="56" t="s">
        <v>2</v>
      </c>
      <c r="AY14" s="64" t="s">
        <v>8</v>
      </c>
      <c r="AZ14" s="64" t="s">
        <v>8</v>
      </c>
      <c r="BA14" s="56" t="s">
        <v>2</v>
      </c>
      <c r="BB14" s="56" t="s">
        <v>2</v>
      </c>
      <c r="BC14" s="55" t="s">
        <v>16</v>
      </c>
      <c r="BD14" s="55" t="s">
        <v>16</v>
      </c>
      <c r="BE14" s="63" t="s">
        <v>13</v>
      </c>
      <c r="BF14" s="69" t="s">
        <v>6</v>
      </c>
      <c r="BG14" s="69" t="s">
        <v>6</v>
      </c>
      <c r="BH14" s="61" t="s">
        <v>2</v>
      </c>
      <c r="BI14" s="61" t="s">
        <v>2</v>
      </c>
      <c r="BJ14" s="55" t="s">
        <v>15</v>
      </c>
      <c r="BK14" s="69" t="s">
        <v>6</v>
      </c>
      <c r="BL14" s="62" t="s">
        <v>3</v>
      </c>
      <c r="BM14" s="63" t="s">
        <v>13</v>
      </c>
      <c r="BN14" s="61" t="s">
        <v>2</v>
      </c>
      <c r="BO14" s="61" t="s">
        <v>2</v>
      </c>
      <c r="BP14" s="63" t="s">
        <v>13</v>
      </c>
      <c r="BQ14" s="64" t="s">
        <v>105</v>
      </c>
      <c r="BR14" s="64" t="s">
        <v>105</v>
      </c>
      <c r="BS14" s="65" t="s">
        <v>106</v>
      </c>
      <c r="BT14" s="69" t="s">
        <v>6</v>
      </c>
      <c r="BU14" s="69" t="s">
        <v>6</v>
      </c>
      <c r="BV14" s="64" t="s">
        <v>105</v>
      </c>
      <c r="BW14" s="64" t="s">
        <v>105</v>
      </c>
      <c r="BX14" s="58" t="s">
        <v>104</v>
      </c>
      <c r="BY14" s="61" t="s">
        <v>2</v>
      </c>
      <c r="BZ14" s="61" t="s">
        <v>2</v>
      </c>
      <c r="CA14" s="106" t="s">
        <v>13</v>
      </c>
      <c r="CB14" s="106" t="s">
        <v>13</v>
      </c>
      <c r="CC14" s="106" t="s">
        <v>13</v>
      </c>
      <c r="CD14" s="67" t="s">
        <v>2</v>
      </c>
      <c r="CE14" s="93" t="s">
        <v>109</v>
      </c>
      <c r="CF14" s="93" t="s">
        <v>109</v>
      </c>
      <c r="CG14" s="67" t="s">
        <v>2</v>
      </c>
      <c r="CH14" s="63" t="s">
        <v>13</v>
      </c>
      <c r="CI14" s="63" t="s">
        <v>13</v>
      </c>
      <c r="CJ14" s="69" t="s">
        <v>108</v>
      </c>
      <c r="CK14" s="69" t="s">
        <v>108</v>
      </c>
      <c r="CL14" s="69" t="s">
        <v>108</v>
      </c>
      <c r="CM14" s="61" t="s">
        <v>2</v>
      </c>
      <c r="CN14" s="61" t="s">
        <v>2</v>
      </c>
      <c r="CO14" s="63" t="s">
        <v>13</v>
      </c>
      <c r="CP14" s="63" t="s">
        <v>13</v>
      </c>
      <c r="CQ14" s="63" t="s">
        <v>13</v>
      </c>
      <c r="CR14" s="61" t="s">
        <v>2</v>
      </c>
      <c r="CS14" s="58" t="s">
        <v>104</v>
      </c>
      <c r="CT14" s="58" t="s">
        <v>104</v>
      </c>
      <c r="CU14" s="61" t="s">
        <v>2</v>
      </c>
      <c r="CV14" s="55" t="s">
        <v>109</v>
      </c>
      <c r="CW14" s="55" t="s">
        <v>109</v>
      </c>
      <c r="CX14" s="55" t="s">
        <v>109</v>
      </c>
      <c r="CY14" s="55" t="s">
        <v>109</v>
      </c>
      <c r="CZ14" s="55" t="s">
        <v>109</v>
      </c>
      <c r="DA14" s="61" t="s">
        <v>2</v>
      </c>
      <c r="DB14" s="61" t="s">
        <v>2</v>
      </c>
      <c r="DC14" s="61" t="s">
        <v>2</v>
      </c>
      <c r="DD14" s="61" t="s">
        <v>2</v>
      </c>
      <c r="DE14" s="65" t="s">
        <v>7</v>
      </c>
      <c r="DF14" s="65" t="s">
        <v>7</v>
      </c>
      <c r="DG14" s="65" t="s">
        <v>7</v>
      </c>
      <c r="DH14" s="65" t="s">
        <v>7</v>
      </c>
      <c r="DI14" s="65" t="s">
        <v>115</v>
      </c>
      <c r="DJ14" s="61" t="s">
        <v>2</v>
      </c>
      <c r="DK14" s="65" t="s">
        <v>7</v>
      </c>
      <c r="DL14" s="65" t="s">
        <v>7</v>
      </c>
      <c r="DM14" s="65" t="s">
        <v>7</v>
      </c>
      <c r="DN14" s="65" t="s">
        <v>7</v>
      </c>
      <c r="DO14" s="65" t="s">
        <v>7</v>
      </c>
      <c r="DP14" s="61" t="s">
        <v>2</v>
      </c>
      <c r="DQ14" s="69" t="s">
        <v>114</v>
      </c>
      <c r="DR14" s="69" t="s">
        <v>114</v>
      </c>
      <c r="DS14" s="69" t="s">
        <v>114</v>
      </c>
      <c r="DT14" s="69" t="s">
        <v>114</v>
      </c>
      <c r="DU14" s="69" t="s">
        <v>114</v>
      </c>
      <c r="DV14" s="61" t="s">
        <v>2</v>
      </c>
      <c r="DW14" s="61" t="s">
        <v>2</v>
      </c>
      <c r="DX14" s="90" t="s">
        <v>179</v>
      </c>
      <c r="DY14" s="115" t="s">
        <v>155</v>
      </c>
      <c r="DZ14" s="58" t="s">
        <v>11</v>
      </c>
      <c r="EA14" s="61" t="s">
        <v>2</v>
      </c>
      <c r="EB14" s="61" t="s">
        <v>2</v>
      </c>
      <c r="EC14" s="69" t="s">
        <v>114</v>
      </c>
      <c r="ED14" s="70" t="s">
        <v>117</v>
      </c>
      <c r="EE14" s="69" t="s">
        <v>114</v>
      </c>
      <c r="EF14" s="69" t="s">
        <v>114</v>
      </c>
      <c r="EG14" s="69" t="s">
        <v>114</v>
      </c>
      <c r="EH14" s="61" t="s">
        <v>2</v>
      </c>
      <c r="EI14" s="65" t="s">
        <v>7</v>
      </c>
      <c r="EJ14" s="65" t="s">
        <v>7</v>
      </c>
      <c r="EK14" s="61" t="s">
        <v>2</v>
      </c>
      <c r="EL14" s="61" t="s">
        <v>2</v>
      </c>
      <c r="EM14" s="61" t="s">
        <v>2</v>
      </c>
      <c r="EN14" s="69" t="s">
        <v>114</v>
      </c>
      <c r="EO14" s="88" t="s">
        <v>180</v>
      </c>
      <c r="EP14" s="69" t="s">
        <v>114</v>
      </c>
      <c r="EQ14" s="69" t="s">
        <v>114</v>
      </c>
      <c r="ER14" s="70" t="s">
        <v>117</v>
      </c>
      <c r="ES14" s="61" t="s">
        <v>2</v>
      </c>
      <c r="ET14" s="61" t="s">
        <v>2</v>
      </c>
      <c r="EU14" s="65" t="s">
        <v>7</v>
      </c>
      <c r="EV14" s="65" t="s">
        <v>7</v>
      </c>
      <c r="EW14" s="65" t="s">
        <v>7</v>
      </c>
      <c r="EX14" s="65" t="s">
        <v>7</v>
      </c>
      <c r="EY14" s="65" t="s">
        <v>115</v>
      </c>
      <c r="EZ14" s="72" t="s">
        <v>2</v>
      </c>
      <c r="FA14" s="71" t="s">
        <v>11</v>
      </c>
      <c r="FB14" s="116" t="s">
        <v>114</v>
      </c>
      <c r="FC14" s="116" t="s">
        <v>114</v>
      </c>
      <c r="FD14" s="116" t="s">
        <v>114</v>
      </c>
      <c r="FE14" s="116" t="s">
        <v>114</v>
      </c>
      <c r="FF14" s="72" t="s">
        <v>2</v>
      </c>
      <c r="FG14" s="55" t="s">
        <v>118</v>
      </c>
      <c r="FH14" s="55" t="s">
        <v>118</v>
      </c>
      <c r="FI14" s="55" t="s">
        <v>118</v>
      </c>
      <c r="FJ14" s="55" t="s">
        <v>118</v>
      </c>
      <c r="FK14" s="55" t="s">
        <v>118</v>
      </c>
      <c r="FL14" s="74" t="s">
        <v>2</v>
      </c>
      <c r="FM14" s="74" t="s">
        <v>2</v>
      </c>
      <c r="FN14" s="100" t="s">
        <v>11</v>
      </c>
      <c r="FO14" s="100" t="s">
        <v>11</v>
      </c>
      <c r="FP14" s="100" t="s">
        <v>11</v>
      </c>
      <c r="FQ14" s="100" t="s">
        <v>11</v>
      </c>
      <c r="FR14" s="100" t="s">
        <v>11</v>
      </c>
      <c r="FS14" s="61" t="s">
        <v>2</v>
      </c>
      <c r="FT14" s="74" t="s">
        <v>2</v>
      </c>
      <c r="FU14" s="76" t="s">
        <v>7</v>
      </c>
      <c r="FV14" s="76" t="s">
        <v>7</v>
      </c>
      <c r="FW14" s="73" t="s">
        <v>7</v>
      </c>
      <c r="FX14" s="73" t="s">
        <v>7</v>
      </c>
      <c r="FY14" s="77" t="s">
        <v>118</v>
      </c>
      <c r="FZ14" s="74" t="s">
        <v>2</v>
      </c>
      <c r="GA14" s="74" t="s">
        <v>2</v>
      </c>
      <c r="GB14" s="100" t="s">
        <v>11</v>
      </c>
      <c r="GC14" s="74" t="s">
        <v>2</v>
      </c>
      <c r="GD14" s="74" t="s">
        <v>2</v>
      </c>
      <c r="GE14" s="77" t="s">
        <v>118</v>
      </c>
      <c r="GF14" s="77" t="s">
        <v>118</v>
      </c>
      <c r="GG14" s="77" t="s">
        <v>118</v>
      </c>
      <c r="GH14" s="76" t="s">
        <v>7</v>
      </c>
      <c r="GI14" s="58" t="s">
        <v>67</v>
      </c>
      <c r="GJ14" s="56" t="s">
        <v>2</v>
      </c>
      <c r="GK14" s="80" t="s">
        <v>119</v>
      </c>
      <c r="GL14" s="58" t="s">
        <v>63</v>
      </c>
      <c r="GM14" s="58" t="s">
        <v>63</v>
      </c>
      <c r="GN14" s="80" t="s">
        <v>120</v>
      </c>
      <c r="GO14" s="56" t="s">
        <v>2</v>
      </c>
      <c r="GP14" s="80" t="s">
        <v>120</v>
      </c>
      <c r="GQ14" s="80" t="s">
        <v>120</v>
      </c>
      <c r="GR14" s="80" t="s">
        <v>120</v>
      </c>
      <c r="GS14" s="81" t="s">
        <v>122</v>
      </c>
      <c r="GT14" s="81" t="s">
        <v>122</v>
      </c>
      <c r="GU14" s="56" t="s">
        <v>2</v>
      </c>
      <c r="GV14" s="56" t="s">
        <v>2</v>
      </c>
      <c r="GW14" s="54" t="s">
        <v>123</v>
      </c>
      <c r="GX14" s="81" t="s">
        <v>122</v>
      </c>
      <c r="GY14" s="80" t="s">
        <v>120</v>
      </c>
      <c r="GZ14" s="56" t="s">
        <v>2</v>
      </c>
      <c r="HA14" s="56" t="s">
        <v>2</v>
      </c>
      <c r="HB14" s="81" t="s">
        <v>122</v>
      </c>
      <c r="HC14" s="54" t="s">
        <v>123</v>
      </c>
      <c r="HD14" s="55" t="s">
        <v>124</v>
      </c>
      <c r="HE14" s="56" t="s">
        <v>2</v>
      </c>
      <c r="HF14" s="56" t="s">
        <v>2</v>
      </c>
      <c r="HG14" s="55" t="s">
        <v>124</v>
      </c>
      <c r="HH14" s="117" t="s">
        <v>181</v>
      </c>
      <c r="HI14" s="54" t="s">
        <v>123</v>
      </c>
      <c r="HJ14" s="54" t="s">
        <v>123</v>
      </c>
      <c r="HK14" s="65" t="s">
        <v>123</v>
      </c>
      <c r="HL14" s="61" t="s">
        <v>2</v>
      </c>
      <c r="HM14" s="80" t="s">
        <v>120</v>
      </c>
      <c r="HN14" s="61" t="s">
        <v>2</v>
      </c>
      <c r="HO14" s="80" t="s">
        <v>163</v>
      </c>
      <c r="HP14" s="55" t="s">
        <v>159</v>
      </c>
      <c r="HQ14" s="65" t="s">
        <v>160</v>
      </c>
      <c r="HR14" s="61" t="s">
        <v>2</v>
      </c>
      <c r="HS14" s="58" t="s">
        <v>45</v>
      </c>
      <c r="HT14" s="58" t="s">
        <v>45</v>
      </c>
      <c r="HU14" s="58" t="s">
        <v>45</v>
      </c>
      <c r="HV14" s="58" t="s">
        <v>45</v>
      </c>
      <c r="HW14" s="82" t="s">
        <v>146</v>
      </c>
      <c r="HX14" s="61" t="s">
        <v>2</v>
      </c>
      <c r="HY14" s="65" t="s">
        <v>128</v>
      </c>
      <c r="HZ14" s="65" t="s">
        <v>128</v>
      </c>
      <c r="IA14" s="65" t="s">
        <v>128</v>
      </c>
      <c r="IB14" s="65" t="s">
        <v>128</v>
      </c>
      <c r="IC14" s="65" t="s">
        <v>128</v>
      </c>
      <c r="ID14" s="61" t="s">
        <v>127</v>
      </c>
      <c r="IE14" s="61" t="s">
        <v>127</v>
      </c>
      <c r="IF14" s="102" t="s">
        <v>27</v>
      </c>
      <c r="IG14" s="102" t="s">
        <v>27</v>
      </c>
      <c r="IH14" s="102" t="s">
        <v>27</v>
      </c>
      <c r="II14" s="102" t="s">
        <v>27</v>
      </c>
      <c r="IJ14" s="102" t="s">
        <v>27</v>
      </c>
      <c r="IK14" s="61" t="s">
        <v>2</v>
      </c>
      <c r="IL14" s="61" t="s">
        <v>2</v>
      </c>
      <c r="IM14" s="80" t="s">
        <v>119</v>
      </c>
      <c r="IN14" s="80" t="s">
        <v>119</v>
      </c>
      <c r="IO14" s="80" t="s">
        <v>119</v>
      </c>
      <c r="IP14" s="80" t="s">
        <v>119</v>
      </c>
      <c r="IQ14" s="80" t="s">
        <v>119</v>
      </c>
      <c r="IR14" s="61" t="s">
        <v>2</v>
      </c>
      <c r="IS14" s="61" t="s">
        <v>2</v>
      </c>
      <c r="IT14" s="58" t="s">
        <v>67</v>
      </c>
      <c r="IU14" s="56" t="s">
        <v>2</v>
      </c>
      <c r="IV14" s="56" t="s">
        <v>2</v>
      </c>
      <c r="IW14" s="82" t="s">
        <v>45</v>
      </c>
      <c r="IX14" s="54" t="s">
        <v>128</v>
      </c>
      <c r="IY14" s="54" t="s">
        <v>128</v>
      </c>
      <c r="IZ14" s="54" t="s">
        <v>128</v>
      </c>
      <c r="JA14" s="56" t="s">
        <v>2</v>
      </c>
      <c r="JB14" s="55" t="s">
        <v>126</v>
      </c>
      <c r="JC14" s="55" t="s">
        <v>126</v>
      </c>
      <c r="JD14" s="58" t="s">
        <v>67</v>
      </c>
      <c r="JE14" s="56" t="s">
        <v>130</v>
      </c>
      <c r="JF14" s="55" t="s">
        <v>126</v>
      </c>
      <c r="JG14" s="56" t="s">
        <v>2</v>
      </c>
      <c r="JH14" s="54" t="s">
        <v>128</v>
      </c>
      <c r="JI14" s="58" t="s">
        <v>67</v>
      </c>
      <c r="JJ14" s="58" t="s">
        <v>67</v>
      </c>
      <c r="JK14" s="56" t="s">
        <v>2</v>
      </c>
      <c r="JL14" s="82" t="s">
        <v>45</v>
      </c>
      <c r="JM14" s="54" t="s">
        <v>128</v>
      </c>
      <c r="JN14" s="56" t="s">
        <v>2</v>
      </c>
      <c r="JO14" s="55" t="s">
        <v>126</v>
      </c>
      <c r="JP14" s="55" t="s">
        <v>126</v>
      </c>
      <c r="JQ14" s="55" t="s">
        <v>126</v>
      </c>
      <c r="JR14" s="55" t="s">
        <v>126</v>
      </c>
      <c r="JS14" s="56" t="s">
        <v>2</v>
      </c>
      <c r="JT14" s="55" t="s">
        <v>126</v>
      </c>
      <c r="JU14" s="56" t="s">
        <v>2</v>
      </c>
      <c r="JV14" s="141" t="s">
        <v>119</v>
      </c>
      <c r="JW14" s="141" t="s">
        <v>119</v>
      </c>
      <c r="JX14" s="141" t="s">
        <v>119</v>
      </c>
      <c r="JY14" s="141" t="s">
        <v>119</v>
      </c>
      <c r="JZ14" s="141" t="s">
        <v>119</v>
      </c>
      <c r="KA14" s="129" t="s">
        <v>2</v>
      </c>
      <c r="KB14" s="129" t="s">
        <v>2</v>
      </c>
      <c r="KC14" s="209" t="s">
        <v>146</v>
      </c>
      <c r="KD14" s="209" t="s">
        <v>146</v>
      </c>
      <c r="KE14" s="209" t="s">
        <v>146</v>
      </c>
      <c r="KF14" s="209" t="s">
        <v>146</v>
      </c>
      <c r="KG14" s="209" t="s">
        <v>146</v>
      </c>
      <c r="KH14" s="129" t="s">
        <v>2</v>
      </c>
      <c r="KI14" s="129" t="s">
        <v>2</v>
      </c>
      <c r="KJ14" s="98" t="s">
        <v>126</v>
      </c>
      <c r="KK14" s="98" t="s">
        <v>126</v>
      </c>
      <c r="KL14" s="98" t="s">
        <v>126</v>
      </c>
      <c r="KM14" s="98" t="s">
        <v>126</v>
      </c>
      <c r="KN14" s="98" t="s">
        <v>126</v>
      </c>
      <c r="KO14" s="129" t="s">
        <v>2</v>
      </c>
      <c r="KP14" s="129" t="s">
        <v>2</v>
      </c>
      <c r="KQ14" s="128" t="s">
        <v>128</v>
      </c>
      <c r="KR14" s="128" t="s">
        <v>128</v>
      </c>
      <c r="KS14" s="141" t="s">
        <v>119</v>
      </c>
      <c r="KT14" s="129" t="s">
        <v>2</v>
      </c>
      <c r="KU14" s="129" t="s">
        <v>2</v>
      </c>
      <c r="KV14" s="98" t="s">
        <v>126</v>
      </c>
      <c r="KW14" s="128" t="s">
        <v>128</v>
      </c>
      <c r="KX14" s="131" t="s">
        <v>67</v>
      </c>
      <c r="KY14" s="209" t="s">
        <v>146</v>
      </c>
      <c r="KZ14" s="129" t="s">
        <v>2</v>
      </c>
      <c r="LA14" s="212" t="s">
        <v>45</v>
      </c>
      <c r="LB14" s="128" t="s">
        <v>128</v>
      </c>
      <c r="LC14" s="128" t="s">
        <v>128</v>
      </c>
      <c r="LD14" s="129" t="s">
        <v>2</v>
      </c>
      <c r="LE14" s="141" t="s">
        <v>119</v>
      </c>
      <c r="LF14" s="141" t="s">
        <v>119</v>
      </c>
      <c r="LG14" s="129" t="s">
        <v>2</v>
      </c>
      <c r="LH14" s="129" t="s">
        <v>2</v>
      </c>
      <c r="LI14" s="141" t="s">
        <v>119</v>
      </c>
      <c r="LJ14" s="141" t="s">
        <v>119</v>
      </c>
      <c r="LK14" s="141" t="s">
        <v>164</v>
      </c>
      <c r="LL14" s="129" t="s">
        <v>2</v>
      </c>
      <c r="LM14" s="209" t="s">
        <v>146</v>
      </c>
      <c r="LN14" s="209" t="s">
        <v>146</v>
      </c>
      <c r="LO14" s="209" t="s">
        <v>146</v>
      </c>
      <c r="LP14" s="209" t="s">
        <v>146</v>
      </c>
      <c r="LQ14" s="209" t="s">
        <v>146</v>
      </c>
      <c r="LR14" s="129" t="s">
        <v>2</v>
      </c>
      <c r="LS14" s="98" t="s">
        <v>126</v>
      </c>
      <c r="LT14" s="98" t="s">
        <v>126</v>
      </c>
      <c r="LU14" s="98" t="s">
        <v>126</v>
      </c>
      <c r="LV14" s="98" t="s">
        <v>126</v>
      </c>
      <c r="LW14" s="98" t="s">
        <v>126</v>
      </c>
      <c r="LX14" s="129" t="s">
        <v>2</v>
      </c>
      <c r="LY14" s="129" t="s">
        <v>2</v>
      </c>
      <c r="LZ14" s="129" t="s">
        <v>2</v>
      </c>
      <c r="MA14" s="128" t="s">
        <v>128</v>
      </c>
      <c r="MB14" s="128" t="s">
        <v>128</v>
      </c>
      <c r="MC14" s="131" t="s">
        <v>67</v>
      </c>
      <c r="MD14" s="131" t="s">
        <v>67</v>
      </c>
      <c r="ME14" s="131" t="s">
        <v>67</v>
      </c>
      <c r="MF14" s="129" t="s">
        <v>2</v>
      </c>
      <c r="MG14" s="98" t="s">
        <v>126</v>
      </c>
      <c r="MH14" s="98" t="s">
        <v>126</v>
      </c>
      <c r="MI14" s="98" t="s">
        <v>126</v>
      </c>
      <c r="MJ14" s="98" t="s">
        <v>126</v>
      </c>
      <c r="MK14" s="98" t="s">
        <v>126</v>
      </c>
      <c r="ML14" s="129" t="s">
        <v>2</v>
      </c>
      <c r="MM14" s="129" t="s">
        <v>2</v>
      </c>
    </row>
    <row r="15" spans="1:372" ht="15" thickBot="1">
      <c r="A15" s="473"/>
      <c r="B15" s="473"/>
      <c r="C15" s="511"/>
      <c r="D15" s="508"/>
      <c r="E15" s="533"/>
      <c r="F15" s="514"/>
      <c r="G15" s="519"/>
      <c r="H15" s="518"/>
      <c r="I15" s="509"/>
      <c r="J15" s="530"/>
      <c r="K15" s="473"/>
      <c r="L15" s="516"/>
      <c r="M15" s="518"/>
      <c r="N15" s="519">
        <v>4</v>
      </c>
      <c r="O15" s="534" t="s">
        <v>182</v>
      </c>
      <c r="P15" s="497" t="s">
        <v>11</v>
      </c>
      <c r="Q15" s="84" t="s">
        <v>11</v>
      </c>
      <c r="R15" s="84" t="s">
        <v>11</v>
      </c>
      <c r="S15" s="84" t="s">
        <v>11</v>
      </c>
      <c r="T15" s="84" t="s">
        <v>11</v>
      </c>
      <c r="U15" s="84" t="s">
        <v>11</v>
      </c>
      <c r="V15" s="50" t="s">
        <v>2</v>
      </c>
      <c r="W15" s="84" t="s">
        <v>104</v>
      </c>
      <c r="X15" s="84" t="s">
        <v>104</v>
      </c>
      <c r="Y15" s="84" t="s">
        <v>104</v>
      </c>
      <c r="Z15" s="84" t="s">
        <v>104</v>
      </c>
      <c r="AA15" s="84" t="s">
        <v>104</v>
      </c>
      <c r="AB15" s="50" t="s">
        <v>2</v>
      </c>
      <c r="AC15" s="50" t="s">
        <v>2</v>
      </c>
      <c r="AD15" s="55" t="s">
        <v>16</v>
      </c>
      <c r="AE15" s="55" t="s">
        <v>16</v>
      </c>
      <c r="AF15" s="55" t="s">
        <v>16</v>
      </c>
      <c r="AG15" s="56" t="s">
        <v>2</v>
      </c>
      <c r="AH15" s="56" t="s">
        <v>2</v>
      </c>
      <c r="AI15" s="54" t="s">
        <v>9</v>
      </c>
      <c r="AJ15" s="54" t="s">
        <v>9</v>
      </c>
      <c r="AK15" s="54" t="s">
        <v>9</v>
      </c>
      <c r="AL15" s="54" t="s">
        <v>9</v>
      </c>
      <c r="AM15" s="54" t="s">
        <v>9</v>
      </c>
      <c r="AN15" s="85" t="s">
        <v>6</v>
      </c>
      <c r="AO15" s="56" t="s">
        <v>2</v>
      </c>
      <c r="AP15" s="56" t="s">
        <v>2</v>
      </c>
      <c r="AQ15" s="57" t="s">
        <v>3</v>
      </c>
      <c r="AR15" s="55" t="s">
        <v>12</v>
      </c>
      <c r="AS15" s="56" t="s">
        <v>2</v>
      </c>
      <c r="AT15" s="55" t="s">
        <v>12</v>
      </c>
      <c r="AU15" s="55" t="s">
        <v>13</v>
      </c>
      <c r="AV15" s="55" t="s">
        <v>132</v>
      </c>
      <c r="AW15" s="59" t="s">
        <v>6</v>
      </c>
      <c r="AX15" s="56" t="s">
        <v>2</v>
      </c>
      <c r="AY15" s="55" t="s">
        <v>15</v>
      </c>
      <c r="AZ15" s="55" t="s">
        <v>15</v>
      </c>
      <c r="BA15" s="55" t="s">
        <v>15</v>
      </c>
      <c r="BB15" s="55" t="s">
        <v>15</v>
      </c>
      <c r="BC15" s="56" t="s">
        <v>2</v>
      </c>
      <c r="BD15" s="56" t="s">
        <v>2</v>
      </c>
      <c r="BE15" s="54" t="s">
        <v>183</v>
      </c>
      <c r="BF15" s="69" t="s">
        <v>6</v>
      </c>
      <c r="BG15" s="69" t="s">
        <v>6</v>
      </c>
      <c r="BH15" s="69" t="s">
        <v>6</v>
      </c>
      <c r="BI15" s="69" t="s">
        <v>6</v>
      </c>
      <c r="BJ15" s="69" t="s">
        <v>6</v>
      </c>
      <c r="BK15" s="61" t="s">
        <v>2</v>
      </c>
      <c r="BL15" s="61" t="s">
        <v>2</v>
      </c>
      <c r="BM15" s="64" t="s">
        <v>105</v>
      </c>
      <c r="BN15" s="64" t="s">
        <v>105</v>
      </c>
      <c r="BO15" s="61" t="s">
        <v>2</v>
      </c>
      <c r="BP15" s="61" t="s">
        <v>2</v>
      </c>
      <c r="BQ15" s="64" t="s">
        <v>105</v>
      </c>
      <c r="BR15" s="64" t="s">
        <v>105</v>
      </c>
      <c r="BS15" s="65" t="s">
        <v>106</v>
      </c>
      <c r="BT15" s="64" t="s">
        <v>105</v>
      </c>
      <c r="BU15" s="64" t="s">
        <v>105</v>
      </c>
      <c r="BV15" s="61" t="s">
        <v>2</v>
      </c>
      <c r="BW15" s="55" t="s">
        <v>15</v>
      </c>
      <c r="BX15" s="64" t="s">
        <v>105</v>
      </c>
      <c r="BY15" s="64" t="s">
        <v>105</v>
      </c>
      <c r="BZ15" s="61" t="s">
        <v>2</v>
      </c>
      <c r="CA15" s="97" t="s">
        <v>106</v>
      </c>
      <c r="CB15" s="103" t="s">
        <v>104</v>
      </c>
      <c r="CC15" s="103" t="s">
        <v>104</v>
      </c>
      <c r="CD15" s="103" t="s">
        <v>104</v>
      </c>
      <c r="CE15" s="103" t="s">
        <v>104</v>
      </c>
      <c r="CF15" s="67" t="s">
        <v>2</v>
      </c>
      <c r="CG15" s="67" t="s">
        <v>2</v>
      </c>
      <c r="CH15" s="55" t="s">
        <v>109</v>
      </c>
      <c r="CI15" s="55" t="s">
        <v>109</v>
      </c>
      <c r="CJ15" s="55" t="s">
        <v>109</v>
      </c>
      <c r="CK15" s="55" t="s">
        <v>109</v>
      </c>
      <c r="CL15" s="55" t="s">
        <v>109</v>
      </c>
      <c r="CM15" s="61" t="s">
        <v>2</v>
      </c>
      <c r="CN15" s="61" t="s">
        <v>2</v>
      </c>
      <c r="CO15" s="61" t="s">
        <v>2</v>
      </c>
      <c r="CP15" s="65" t="s">
        <v>106</v>
      </c>
      <c r="CQ15" s="65" t="s">
        <v>106</v>
      </c>
      <c r="CR15" s="65" t="s">
        <v>106</v>
      </c>
      <c r="CS15" s="65" t="s">
        <v>106</v>
      </c>
      <c r="CT15" s="63" t="s">
        <v>136</v>
      </c>
      <c r="CU15" s="61" t="s">
        <v>2</v>
      </c>
      <c r="CV15" s="61" t="s">
        <v>2</v>
      </c>
      <c r="CW15" s="58" t="s">
        <v>104</v>
      </c>
      <c r="CX15" s="58" t="s">
        <v>104</v>
      </c>
      <c r="CY15" s="58" t="s">
        <v>104</v>
      </c>
      <c r="CZ15" s="58" t="s">
        <v>104</v>
      </c>
      <c r="DA15" s="61" t="s">
        <v>2</v>
      </c>
      <c r="DB15" s="62" t="s">
        <v>117</v>
      </c>
      <c r="DC15" s="63" t="s">
        <v>12</v>
      </c>
      <c r="DD15" s="63" t="s">
        <v>12</v>
      </c>
      <c r="DE15" s="58" t="s">
        <v>11</v>
      </c>
      <c r="DF15" s="58" t="s">
        <v>11</v>
      </c>
      <c r="DG15" s="69" t="s">
        <v>114</v>
      </c>
      <c r="DH15" s="61" t="s">
        <v>2</v>
      </c>
      <c r="DI15" s="61" t="s">
        <v>2</v>
      </c>
      <c r="DJ15" s="55" t="s">
        <v>118</v>
      </c>
      <c r="DK15" s="55" t="s">
        <v>118</v>
      </c>
      <c r="DL15" s="61" t="s">
        <v>2</v>
      </c>
      <c r="DM15" s="61" t="s">
        <v>2</v>
      </c>
      <c r="DN15" s="55" t="s">
        <v>118</v>
      </c>
      <c r="DO15" s="55" t="s">
        <v>118</v>
      </c>
      <c r="DP15" s="65" t="s">
        <v>115</v>
      </c>
      <c r="DQ15" s="65" t="s">
        <v>7</v>
      </c>
      <c r="DR15" s="65" t="s">
        <v>7</v>
      </c>
      <c r="DS15" s="61" t="s">
        <v>2</v>
      </c>
      <c r="DT15" s="61" t="s">
        <v>2</v>
      </c>
      <c r="DU15" s="65" t="s">
        <v>7</v>
      </c>
      <c r="DV15" s="65" t="s">
        <v>7</v>
      </c>
      <c r="DW15" s="65" t="s">
        <v>115</v>
      </c>
      <c r="DX15" s="65" t="s">
        <v>7</v>
      </c>
      <c r="DY15" s="65" t="s">
        <v>7</v>
      </c>
      <c r="DZ15" s="61" t="s">
        <v>2</v>
      </c>
      <c r="EA15" s="65" t="s">
        <v>140</v>
      </c>
      <c r="EB15" s="65" t="s">
        <v>7</v>
      </c>
      <c r="EC15" s="65" t="s">
        <v>7</v>
      </c>
      <c r="ED15" s="61" t="s">
        <v>2</v>
      </c>
      <c r="EE15" s="58" t="s">
        <v>11</v>
      </c>
      <c r="EF15" s="58" t="s">
        <v>11</v>
      </c>
      <c r="EG15" s="58" t="s">
        <v>11</v>
      </c>
      <c r="EH15" s="61" t="s">
        <v>2</v>
      </c>
      <c r="EI15" s="55" t="s">
        <v>139</v>
      </c>
      <c r="EJ15" s="61" t="s">
        <v>2</v>
      </c>
      <c r="EK15" s="65" t="s">
        <v>115</v>
      </c>
      <c r="EL15" s="55" t="s">
        <v>118</v>
      </c>
      <c r="EM15" s="55" t="s">
        <v>118</v>
      </c>
      <c r="EN15" s="55" t="s">
        <v>118</v>
      </c>
      <c r="EO15" s="61" t="s">
        <v>2</v>
      </c>
      <c r="EP15" s="55" t="s">
        <v>139</v>
      </c>
      <c r="EQ15" s="55" t="s">
        <v>139</v>
      </c>
      <c r="ER15" s="61" t="s">
        <v>2</v>
      </c>
      <c r="ES15" s="58" t="s">
        <v>11</v>
      </c>
      <c r="ET15" s="58" t="s">
        <v>11</v>
      </c>
      <c r="EU15" s="58" t="s">
        <v>11</v>
      </c>
      <c r="EV15" s="58" t="s">
        <v>11</v>
      </c>
      <c r="EW15" s="58" t="s">
        <v>11</v>
      </c>
      <c r="EX15" s="61" t="s">
        <v>2</v>
      </c>
      <c r="EY15" s="61" t="s">
        <v>2</v>
      </c>
      <c r="EZ15" s="87" t="s">
        <v>114</v>
      </c>
      <c r="FA15" s="87" t="s">
        <v>114</v>
      </c>
      <c r="FB15" s="87" t="s">
        <v>114</v>
      </c>
      <c r="FC15" s="87" t="s">
        <v>114</v>
      </c>
      <c r="FD15" s="87" t="s">
        <v>114</v>
      </c>
      <c r="FE15" s="72" t="s">
        <v>2</v>
      </c>
      <c r="FF15" s="72" t="s">
        <v>2</v>
      </c>
      <c r="FG15" s="74" t="s">
        <v>2</v>
      </c>
      <c r="FH15" s="73" t="s">
        <v>7</v>
      </c>
      <c r="FI15" s="73" t="s">
        <v>7</v>
      </c>
      <c r="FJ15" s="73" t="s">
        <v>7</v>
      </c>
      <c r="FK15" s="74" t="s">
        <v>2</v>
      </c>
      <c r="FL15" s="73" t="s">
        <v>7</v>
      </c>
      <c r="FM15" s="73" t="s">
        <v>115</v>
      </c>
      <c r="FN15" s="73" t="s">
        <v>7</v>
      </c>
      <c r="FO15" s="73" t="s">
        <v>7</v>
      </c>
      <c r="FP15" s="73" t="s">
        <v>7</v>
      </c>
      <c r="FQ15" s="118" t="s">
        <v>2</v>
      </c>
      <c r="FR15" s="74" t="s">
        <v>2</v>
      </c>
      <c r="FS15" s="69" t="s">
        <v>114</v>
      </c>
      <c r="FT15" s="62" t="s">
        <v>117</v>
      </c>
      <c r="FU15" s="69" t="s">
        <v>114</v>
      </c>
      <c r="FV15" s="74" t="s">
        <v>2</v>
      </c>
      <c r="FW15" s="69" t="s">
        <v>114</v>
      </c>
      <c r="FX15" s="69" t="s">
        <v>114</v>
      </c>
      <c r="FY15" s="69" t="s">
        <v>114</v>
      </c>
      <c r="FZ15" s="69" t="s">
        <v>114</v>
      </c>
      <c r="GA15" s="74" t="s">
        <v>2</v>
      </c>
      <c r="GB15" s="76" t="s">
        <v>7</v>
      </c>
      <c r="GC15" s="76" t="s">
        <v>7</v>
      </c>
      <c r="GD15" s="76" t="s">
        <v>7</v>
      </c>
      <c r="GE15" s="76" t="s">
        <v>7</v>
      </c>
      <c r="GF15" s="76" t="s">
        <v>7</v>
      </c>
      <c r="GG15" s="74" t="s">
        <v>2</v>
      </c>
      <c r="GH15" s="74" t="s">
        <v>2</v>
      </c>
      <c r="GI15" s="80" t="s">
        <v>119</v>
      </c>
      <c r="GJ15" s="56" t="s">
        <v>2</v>
      </c>
      <c r="GK15" s="56" t="s">
        <v>2</v>
      </c>
      <c r="GL15" s="54" t="s">
        <v>123</v>
      </c>
      <c r="GM15" s="54" t="s">
        <v>123</v>
      </c>
      <c r="GN15" s="81" t="s">
        <v>122</v>
      </c>
      <c r="GO15" s="88" t="s">
        <v>142</v>
      </c>
      <c r="GP15" s="56" t="s">
        <v>2</v>
      </c>
      <c r="GQ15" s="55" t="s">
        <v>124</v>
      </c>
      <c r="GR15" s="81" t="s">
        <v>122</v>
      </c>
      <c r="GS15" s="55" t="s">
        <v>124</v>
      </c>
      <c r="GT15" s="58" t="s">
        <v>63</v>
      </c>
      <c r="GU15" s="80" t="s">
        <v>120</v>
      </c>
      <c r="GV15" s="56" t="s">
        <v>2</v>
      </c>
      <c r="GW15" s="80" t="s">
        <v>120</v>
      </c>
      <c r="GX15" s="54" t="s">
        <v>169</v>
      </c>
      <c r="GY15" s="55" t="s">
        <v>124</v>
      </c>
      <c r="GZ15" s="54" t="s">
        <v>123</v>
      </c>
      <c r="HA15" s="56" t="s">
        <v>2</v>
      </c>
      <c r="HB15" s="56" t="s">
        <v>2</v>
      </c>
      <c r="HC15" s="80" t="s">
        <v>184</v>
      </c>
      <c r="HD15" s="80" t="s">
        <v>120</v>
      </c>
      <c r="HE15" s="56" t="s">
        <v>2</v>
      </c>
      <c r="HF15" s="56" t="s">
        <v>2</v>
      </c>
      <c r="HG15" s="58" t="s">
        <v>63</v>
      </c>
      <c r="HH15" s="54" t="s">
        <v>123</v>
      </c>
      <c r="HI15" s="119" t="s">
        <v>122</v>
      </c>
      <c r="HJ15" s="80" t="s">
        <v>185</v>
      </c>
      <c r="HK15" s="61" t="s">
        <v>2</v>
      </c>
      <c r="HL15" s="65" t="s">
        <v>123</v>
      </c>
      <c r="HM15" s="81" t="s">
        <v>122</v>
      </c>
      <c r="HN15" s="58" t="s">
        <v>63</v>
      </c>
      <c r="HO15" s="58" t="s">
        <v>186</v>
      </c>
      <c r="HP15" s="80" t="s">
        <v>163</v>
      </c>
      <c r="HQ15" s="61" t="s">
        <v>2</v>
      </c>
      <c r="HR15" s="55" t="s">
        <v>162</v>
      </c>
      <c r="HS15" s="55" t="s">
        <v>162</v>
      </c>
      <c r="HT15" s="55" t="s">
        <v>162</v>
      </c>
      <c r="HU15" s="55" t="s">
        <v>162</v>
      </c>
      <c r="HV15" s="55" t="s">
        <v>162</v>
      </c>
      <c r="HW15" s="61" t="s">
        <v>2</v>
      </c>
      <c r="HX15" s="61" t="s">
        <v>2</v>
      </c>
      <c r="HY15" s="58" t="s">
        <v>67</v>
      </c>
      <c r="HZ15" s="61" t="s">
        <v>127</v>
      </c>
      <c r="IA15" s="82" t="s">
        <v>45</v>
      </c>
      <c r="IB15" s="82" t="s">
        <v>45</v>
      </c>
      <c r="IC15" s="61" t="s">
        <v>127</v>
      </c>
      <c r="ID15" s="55" t="s">
        <v>126</v>
      </c>
      <c r="IE15" s="65" t="s">
        <v>128</v>
      </c>
      <c r="IF15" s="61" t="s">
        <v>2</v>
      </c>
      <c r="IG15" s="55" t="s">
        <v>126</v>
      </c>
      <c r="IH15" s="55" t="s">
        <v>126</v>
      </c>
      <c r="II15" s="55" t="s">
        <v>126</v>
      </c>
      <c r="IJ15" s="55" t="s">
        <v>159</v>
      </c>
      <c r="IK15" s="55" t="s">
        <v>159</v>
      </c>
      <c r="IL15" s="61" t="s">
        <v>2</v>
      </c>
      <c r="IM15" s="55" t="s">
        <v>126</v>
      </c>
      <c r="IN15" s="58" t="s">
        <v>67</v>
      </c>
      <c r="IO15" s="58" t="s">
        <v>67</v>
      </c>
      <c r="IP15" s="58" t="s">
        <v>67</v>
      </c>
      <c r="IQ15" s="58" t="s">
        <v>67</v>
      </c>
      <c r="IR15" s="61" t="s">
        <v>2</v>
      </c>
      <c r="IS15" s="61" t="s">
        <v>2</v>
      </c>
      <c r="IT15" s="55" t="s">
        <v>126</v>
      </c>
      <c r="IU15" s="56" t="s">
        <v>2</v>
      </c>
      <c r="IV15" s="82" t="s">
        <v>45</v>
      </c>
      <c r="IW15" s="82" t="s">
        <v>45</v>
      </c>
      <c r="IX15" s="56" t="s">
        <v>2</v>
      </c>
      <c r="IY15" s="82" t="s">
        <v>45</v>
      </c>
      <c r="IZ15" s="54" t="s">
        <v>128</v>
      </c>
      <c r="JA15" s="81" t="s">
        <v>129</v>
      </c>
      <c r="JB15" s="81" t="s">
        <v>129</v>
      </c>
      <c r="JC15" s="56" t="s">
        <v>2</v>
      </c>
      <c r="JD15" s="82" t="s">
        <v>45</v>
      </c>
      <c r="JE15" s="56" t="s">
        <v>130</v>
      </c>
      <c r="JF15" s="82" t="s">
        <v>45</v>
      </c>
      <c r="JG15" s="56" t="s">
        <v>2</v>
      </c>
      <c r="JH15" s="55" t="s">
        <v>126</v>
      </c>
      <c r="JI15" s="55" t="s">
        <v>126</v>
      </c>
      <c r="JJ15" s="55" t="s">
        <v>126</v>
      </c>
      <c r="JK15" s="55" t="s">
        <v>126</v>
      </c>
      <c r="JL15" s="58" t="s">
        <v>187</v>
      </c>
      <c r="JM15" s="56" t="s">
        <v>2</v>
      </c>
      <c r="JN15" s="56" t="s">
        <v>2</v>
      </c>
      <c r="JO15" s="102" t="s">
        <v>27</v>
      </c>
      <c r="JP15" s="102" t="s">
        <v>27</v>
      </c>
      <c r="JQ15" s="102" t="s">
        <v>27</v>
      </c>
      <c r="JR15" s="102" t="s">
        <v>27</v>
      </c>
      <c r="JS15" s="102" t="s">
        <v>27</v>
      </c>
      <c r="JT15" s="56" t="s">
        <v>2</v>
      </c>
      <c r="JU15" s="56" t="s">
        <v>2</v>
      </c>
      <c r="JV15" s="98" t="s">
        <v>126</v>
      </c>
      <c r="JW15" s="98" t="s">
        <v>126</v>
      </c>
      <c r="JX15" s="98" t="s">
        <v>126</v>
      </c>
      <c r="JY15" s="98" t="s">
        <v>126</v>
      </c>
      <c r="JZ15" s="98" t="s">
        <v>126</v>
      </c>
      <c r="KA15" s="129" t="s">
        <v>2</v>
      </c>
      <c r="KB15" s="129" t="s">
        <v>2</v>
      </c>
      <c r="KC15" s="141" t="s">
        <v>119</v>
      </c>
      <c r="KD15" s="141" t="s">
        <v>119</v>
      </c>
      <c r="KE15" s="141" t="s">
        <v>119</v>
      </c>
      <c r="KF15" s="141" t="s">
        <v>119</v>
      </c>
      <c r="KG15" s="141" t="s">
        <v>119</v>
      </c>
      <c r="KH15" s="129" t="s">
        <v>2</v>
      </c>
      <c r="KI15" s="129" t="s">
        <v>2</v>
      </c>
      <c r="KJ15" s="128" t="s">
        <v>128</v>
      </c>
      <c r="KK15" s="128" t="s">
        <v>128</v>
      </c>
      <c r="KL15" s="128" t="s">
        <v>128</v>
      </c>
      <c r="KM15" s="129" t="s">
        <v>2</v>
      </c>
      <c r="KN15" s="129" t="s">
        <v>2</v>
      </c>
      <c r="KO15" s="98" t="s">
        <v>126</v>
      </c>
      <c r="KP15" s="128" t="s">
        <v>128</v>
      </c>
      <c r="KQ15" s="141" t="s">
        <v>119</v>
      </c>
      <c r="KR15" s="141" t="s">
        <v>119</v>
      </c>
      <c r="KS15" s="129" t="s">
        <v>2</v>
      </c>
      <c r="KT15" s="129" t="s">
        <v>2</v>
      </c>
      <c r="KU15" s="141" t="s">
        <v>119</v>
      </c>
      <c r="KV15" s="141" t="s">
        <v>119</v>
      </c>
      <c r="KW15" s="128" t="s">
        <v>128</v>
      </c>
      <c r="KX15" s="128" t="s">
        <v>128</v>
      </c>
      <c r="KY15" s="128" t="s">
        <v>128</v>
      </c>
      <c r="KZ15" s="129" t="s">
        <v>2</v>
      </c>
      <c r="LA15" s="129" t="s">
        <v>2</v>
      </c>
      <c r="LB15" s="128" t="s">
        <v>128</v>
      </c>
      <c r="LC15" s="131" t="s">
        <v>67</v>
      </c>
      <c r="LD15" s="128" t="s">
        <v>128</v>
      </c>
      <c r="LE15" s="128" t="s">
        <v>128</v>
      </c>
      <c r="LF15" s="129" t="s">
        <v>2</v>
      </c>
      <c r="LG15" s="129" t="s">
        <v>2</v>
      </c>
      <c r="LH15" s="128" t="s">
        <v>128</v>
      </c>
      <c r="LI15" s="128" t="s">
        <v>128</v>
      </c>
      <c r="LJ15" s="131" t="s">
        <v>67</v>
      </c>
      <c r="LK15" s="128" t="s">
        <v>128</v>
      </c>
      <c r="LL15" s="129" t="s">
        <v>2</v>
      </c>
      <c r="LM15" s="98" t="s">
        <v>126</v>
      </c>
      <c r="LN15" s="98" t="s">
        <v>126</v>
      </c>
      <c r="LO15" s="98" t="s">
        <v>126</v>
      </c>
      <c r="LP15" s="98" t="s">
        <v>126</v>
      </c>
      <c r="LQ15" s="98" t="s">
        <v>126</v>
      </c>
      <c r="LR15" s="129" t="s">
        <v>2</v>
      </c>
      <c r="LS15" s="131" t="s">
        <v>67</v>
      </c>
      <c r="LT15" s="212" t="s">
        <v>45</v>
      </c>
      <c r="LU15" s="212" t="s">
        <v>45</v>
      </c>
      <c r="LV15" s="212" t="s">
        <v>45</v>
      </c>
      <c r="LW15" s="212" t="s">
        <v>45</v>
      </c>
      <c r="LX15" s="129" t="s">
        <v>2</v>
      </c>
      <c r="LY15" s="129" t="s">
        <v>2</v>
      </c>
      <c r="LZ15" s="141" t="s">
        <v>119</v>
      </c>
      <c r="MA15" s="141" t="s">
        <v>119</v>
      </c>
      <c r="MB15" s="129" t="s">
        <v>2</v>
      </c>
      <c r="MC15" s="129" t="s">
        <v>2</v>
      </c>
      <c r="MD15" s="141" t="s">
        <v>119</v>
      </c>
      <c r="ME15" s="141" t="s">
        <v>119</v>
      </c>
      <c r="MF15" s="141" t="s">
        <v>164</v>
      </c>
    </row>
    <row r="16" spans="1:372" ht="15" thickBot="1">
      <c r="A16" s="508"/>
      <c r="B16" s="527"/>
      <c r="C16" s="514"/>
      <c r="D16" s="509"/>
      <c r="E16" s="495"/>
      <c r="F16" s="518"/>
      <c r="G16" s="517"/>
      <c r="H16" s="521"/>
      <c r="I16" s="527"/>
      <c r="J16" s="518"/>
      <c r="K16" s="517"/>
      <c r="L16" s="495"/>
      <c r="M16" s="521"/>
      <c r="N16" s="495">
        <v>4</v>
      </c>
      <c r="O16" s="504" t="s">
        <v>188</v>
      </c>
      <c r="P16" s="562"/>
      <c r="Q16" s="536"/>
      <c r="R16" s="536"/>
      <c r="S16" s="536"/>
      <c r="T16" s="536"/>
      <c r="U16" s="536"/>
      <c r="V16" s="537"/>
      <c r="W16" s="535"/>
      <c r="X16" s="546"/>
      <c r="Y16" s="546"/>
      <c r="Z16" s="546"/>
      <c r="AA16" s="546"/>
      <c r="AB16" s="546"/>
      <c r="AC16" s="547"/>
      <c r="AD16" s="535"/>
      <c r="AE16" s="546"/>
      <c r="AF16" s="546"/>
      <c r="AG16" s="546"/>
      <c r="AH16" s="546"/>
      <c r="AI16" s="546"/>
      <c r="AJ16" s="547"/>
      <c r="AK16" s="535"/>
      <c r="AL16" s="546"/>
      <c r="AM16" s="546"/>
      <c r="AN16" s="546"/>
      <c r="AO16" s="546"/>
      <c r="AP16" s="546"/>
      <c r="AQ16" s="547"/>
      <c r="AR16" s="58" t="s">
        <v>10</v>
      </c>
      <c r="AS16" s="58" t="s">
        <v>10</v>
      </c>
      <c r="AT16" s="58" t="s">
        <v>10</v>
      </c>
      <c r="AU16" s="120" t="s">
        <v>107</v>
      </c>
      <c r="AV16" s="120" t="s">
        <v>107</v>
      </c>
      <c r="AW16" s="56" t="s">
        <v>2</v>
      </c>
      <c r="AX16" s="56" t="s">
        <v>2</v>
      </c>
      <c r="AY16" s="58" t="s">
        <v>10</v>
      </c>
      <c r="AZ16" s="58" t="s">
        <v>10</v>
      </c>
      <c r="BA16" s="58" t="s">
        <v>10</v>
      </c>
      <c r="BB16" s="58" t="s">
        <v>10</v>
      </c>
      <c r="BC16" s="58" t="s">
        <v>10</v>
      </c>
      <c r="BD16" s="56" t="s">
        <v>2</v>
      </c>
      <c r="BE16" s="56" t="s">
        <v>2</v>
      </c>
      <c r="BF16" s="64" t="s">
        <v>105</v>
      </c>
      <c r="BG16" s="64" t="s">
        <v>105</v>
      </c>
      <c r="BH16" s="64" t="s">
        <v>105</v>
      </c>
      <c r="BI16" s="64" t="s">
        <v>105</v>
      </c>
      <c r="BJ16" s="64" t="s">
        <v>105</v>
      </c>
      <c r="BK16" s="61" t="s">
        <v>2</v>
      </c>
      <c r="BL16" s="61" t="s">
        <v>2</v>
      </c>
      <c r="BM16" s="61" t="s">
        <v>2</v>
      </c>
      <c r="BN16" s="69" t="s">
        <v>6</v>
      </c>
      <c r="BO16" s="69" t="s">
        <v>6</v>
      </c>
      <c r="BP16" s="69" t="s">
        <v>6</v>
      </c>
      <c r="BQ16" s="69" t="s">
        <v>6</v>
      </c>
      <c r="BR16" s="58" t="s">
        <v>104</v>
      </c>
      <c r="BS16" s="61" t="s">
        <v>2</v>
      </c>
      <c r="BT16" s="64" t="s">
        <v>105</v>
      </c>
      <c r="BU16" s="64" t="s">
        <v>105</v>
      </c>
      <c r="BV16" s="64" t="s">
        <v>105</v>
      </c>
      <c r="BW16" s="64" t="s">
        <v>105</v>
      </c>
      <c r="BX16" s="64" t="s">
        <v>105</v>
      </c>
      <c r="BY16" s="61" t="s">
        <v>2</v>
      </c>
      <c r="BZ16" s="61" t="s">
        <v>2</v>
      </c>
      <c r="CA16" s="93" t="s">
        <v>109</v>
      </c>
      <c r="CB16" s="93" t="s">
        <v>109</v>
      </c>
      <c r="CC16" s="93" t="s">
        <v>109</v>
      </c>
      <c r="CD16" s="93" t="s">
        <v>109</v>
      </c>
      <c r="CE16" s="67" t="s">
        <v>2</v>
      </c>
      <c r="CF16" s="67" t="s">
        <v>2</v>
      </c>
      <c r="CG16" s="86" t="s">
        <v>117</v>
      </c>
      <c r="CH16" s="69" t="s">
        <v>108</v>
      </c>
      <c r="CI16" s="69" t="s">
        <v>108</v>
      </c>
      <c r="CJ16" s="69" t="s">
        <v>108</v>
      </c>
      <c r="CK16" s="69" t="s">
        <v>108</v>
      </c>
      <c r="CL16" s="69" t="s">
        <v>108</v>
      </c>
      <c r="CM16" s="61" t="s">
        <v>2</v>
      </c>
      <c r="CN16" s="61" t="s">
        <v>2</v>
      </c>
      <c r="CO16" s="63" t="s">
        <v>136</v>
      </c>
      <c r="CP16" s="63" t="s">
        <v>136</v>
      </c>
      <c r="CQ16" s="63" t="s">
        <v>136</v>
      </c>
      <c r="CR16" s="63" t="s">
        <v>136</v>
      </c>
      <c r="CS16" s="63" t="s">
        <v>136</v>
      </c>
      <c r="CT16" s="61" t="s">
        <v>2</v>
      </c>
      <c r="CU16" s="61" t="s">
        <v>2</v>
      </c>
      <c r="CV16" s="65" t="s">
        <v>106</v>
      </c>
      <c r="CW16" s="65" t="s">
        <v>106</v>
      </c>
      <c r="CX16" s="65" t="s">
        <v>106</v>
      </c>
      <c r="CY16" s="65" t="s">
        <v>106</v>
      </c>
      <c r="CZ16" s="63" t="s">
        <v>13</v>
      </c>
      <c r="DA16" s="61" t="s">
        <v>2</v>
      </c>
      <c r="DB16" s="61" t="s">
        <v>2</v>
      </c>
      <c r="DC16" s="61" t="s">
        <v>2</v>
      </c>
      <c r="DD16" s="65" t="s">
        <v>7</v>
      </c>
      <c r="DE16" s="65" t="s">
        <v>7</v>
      </c>
      <c r="DF16" s="65" t="s">
        <v>7</v>
      </c>
      <c r="DG16" s="65" t="s">
        <v>7</v>
      </c>
      <c r="DH16" s="65" t="s">
        <v>7</v>
      </c>
      <c r="DI16" s="61" t="s">
        <v>2</v>
      </c>
      <c r="DJ16" s="74" t="s">
        <v>2</v>
      </c>
      <c r="DK16" s="104" t="s">
        <v>11</v>
      </c>
      <c r="DL16" s="104" t="s">
        <v>11</v>
      </c>
      <c r="DM16" s="104" t="s">
        <v>11</v>
      </c>
      <c r="DN16" s="104" t="s">
        <v>11</v>
      </c>
      <c r="DO16" s="74" t="s">
        <v>2</v>
      </c>
      <c r="DP16" s="121" t="s">
        <v>117</v>
      </c>
      <c r="DQ16" s="69" t="s">
        <v>114</v>
      </c>
      <c r="DR16" s="69" t="s">
        <v>114</v>
      </c>
      <c r="DS16" s="63" t="s">
        <v>113</v>
      </c>
      <c r="DT16" s="63" t="s">
        <v>113</v>
      </c>
      <c r="DU16" s="61" t="s">
        <v>2</v>
      </c>
      <c r="DV16" s="61" t="s">
        <v>2</v>
      </c>
      <c r="DW16" s="65" t="s">
        <v>115</v>
      </c>
      <c r="DX16" s="65" t="s">
        <v>7</v>
      </c>
      <c r="DY16" s="65" t="s">
        <v>7</v>
      </c>
      <c r="DZ16" s="65" t="s">
        <v>7</v>
      </c>
      <c r="EA16" s="65" t="s">
        <v>140</v>
      </c>
      <c r="EB16" s="58" t="s">
        <v>11</v>
      </c>
      <c r="EC16" s="61" t="s">
        <v>2</v>
      </c>
      <c r="ED16" s="61" t="s">
        <v>2</v>
      </c>
      <c r="EE16" s="61" t="s">
        <v>2</v>
      </c>
      <c r="EF16" s="55" t="s">
        <v>118</v>
      </c>
      <c r="EG16" s="55" t="s">
        <v>118</v>
      </c>
      <c r="EH16" s="65" t="s">
        <v>115</v>
      </c>
      <c r="EI16" s="61" t="s">
        <v>2</v>
      </c>
      <c r="EJ16" s="55" t="s">
        <v>118</v>
      </c>
      <c r="EK16" s="65" t="s">
        <v>115</v>
      </c>
      <c r="EL16" s="69" t="s">
        <v>114</v>
      </c>
      <c r="EM16" s="63" t="s">
        <v>113</v>
      </c>
      <c r="EN16" s="61" t="s">
        <v>2</v>
      </c>
      <c r="EO16" s="61" t="s">
        <v>2</v>
      </c>
      <c r="EP16" s="65" t="s">
        <v>7</v>
      </c>
      <c r="EQ16" s="65" t="s">
        <v>7</v>
      </c>
      <c r="ER16" s="65" t="s">
        <v>115</v>
      </c>
      <c r="ES16" s="69" t="s">
        <v>114</v>
      </c>
      <c r="ET16" s="69" t="s">
        <v>114</v>
      </c>
      <c r="EU16" s="61" t="s">
        <v>2</v>
      </c>
      <c r="EV16" s="69" t="s">
        <v>114</v>
      </c>
      <c r="EW16" s="69" t="s">
        <v>114</v>
      </c>
      <c r="EX16" s="61" t="s">
        <v>2</v>
      </c>
      <c r="EY16" s="70" t="s">
        <v>117</v>
      </c>
      <c r="EZ16" s="114" t="s">
        <v>113</v>
      </c>
      <c r="FA16" s="114" t="s">
        <v>113</v>
      </c>
      <c r="FB16" s="87" t="s">
        <v>114</v>
      </c>
      <c r="FC16" s="72" t="s">
        <v>2</v>
      </c>
      <c r="FD16" s="72" t="s">
        <v>2</v>
      </c>
      <c r="FE16" s="87" t="s">
        <v>114</v>
      </c>
      <c r="FF16" s="87" t="s">
        <v>116</v>
      </c>
      <c r="FG16" s="78" t="s">
        <v>12</v>
      </c>
      <c r="FH16" s="69" t="s">
        <v>114</v>
      </c>
      <c r="FI16" s="69" t="s">
        <v>114</v>
      </c>
      <c r="FJ16" s="118" t="s">
        <v>2</v>
      </c>
      <c r="FK16" s="78" t="s">
        <v>12</v>
      </c>
      <c r="FL16" s="78" t="s">
        <v>12</v>
      </c>
      <c r="FM16" s="118" t="s">
        <v>2</v>
      </c>
      <c r="FN16" s="55" t="s">
        <v>118</v>
      </c>
      <c r="FO16" s="55" t="s">
        <v>118</v>
      </c>
      <c r="FP16" s="55" t="s">
        <v>118</v>
      </c>
      <c r="FQ16" s="55" t="s">
        <v>118</v>
      </c>
      <c r="FR16" s="118" t="s">
        <v>2</v>
      </c>
      <c r="FS16" s="118" t="s">
        <v>2</v>
      </c>
      <c r="FT16" s="73" t="s">
        <v>115</v>
      </c>
      <c r="FU16" s="74" t="s">
        <v>2</v>
      </c>
      <c r="FV16" s="74" t="s">
        <v>2</v>
      </c>
      <c r="FW16" s="73" t="s">
        <v>7</v>
      </c>
      <c r="FX16" s="73" t="s">
        <v>7</v>
      </c>
      <c r="FY16" s="73" t="s">
        <v>7</v>
      </c>
      <c r="FZ16" s="73" t="s">
        <v>7</v>
      </c>
      <c r="GA16" s="62" t="s">
        <v>117</v>
      </c>
      <c r="GB16" s="74" t="s">
        <v>2</v>
      </c>
      <c r="GC16" s="100" t="s">
        <v>11</v>
      </c>
      <c r="GD16" s="75" t="s">
        <v>114</v>
      </c>
      <c r="GE16" s="69" t="s">
        <v>114</v>
      </c>
      <c r="GF16" s="69" t="s">
        <v>114</v>
      </c>
      <c r="GG16" s="69" t="s">
        <v>114</v>
      </c>
      <c r="GH16" s="61" t="s">
        <v>2</v>
      </c>
      <c r="GI16" s="55" t="s">
        <v>126</v>
      </c>
      <c r="GJ16" s="55" t="s">
        <v>126</v>
      </c>
      <c r="GK16" s="55" t="s">
        <v>126</v>
      </c>
      <c r="GL16" s="55" t="s">
        <v>124</v>
      </c>
      <c r="GM16" s="55" t="s">
        <v>124</v>
      </c>
      <c r="GN16" s="56" t="s">
        <v>2</v>
      </c>
      <c r="GO16" s="56" t="s">
        <v>2</v>
      </c>
      <c r="GP16" s="54" t="s">
        <v>123</v>
      </c>
      <c r="GQ16" s="81" t="s">
        <v>122</v>
      </c>
      <c r="GR16" s="80" t="s">
        <v>120</v>
      </c>
      <c r="GS16" s="80" t="s">
        <v>120</v>
      </c>
      <c r="GT16" s="56" t="s">
        <v>2</v>
      </c>
      <c r="GU16" s="56" t="s">
        <v>2</v>
      </c>
      <c r="GV16" s="54" t="s">
        <v>123</v>
      </c>
      <c r="GW16" s="56" t="s">
        <v>2</v>
      </c>
      <c r="GX16" s="80" t="s">
        <v>120</v>
      </c>
      <c r="GY16" s="80" t="s">
        <v>120</v>
      </c>
      <c r="GZ16" s="80" t="s">
        <v>121</v>
      </c>
      <c r="HA16" s="80" t="s">
        <v>121</v>
      </c>
      <c r="HB16" s="80" t="s">
        <v>120</v>
      </c>
      <c r="HC16" s="56" t="s">
        <v>2</v>
      </c>
      <c r="HD16" s="55" t="s">
        <v>124</v>
      </c>
      <c r="HE16" s="117" t="s">
        <v>181</v>
      </c>
      <c r="HF16" s="117" t="s">
        <v>181</v>
      </c>
      <c r="HG16" s="54" t="s">
        <v>123</v>
      </c>
      <c r="HH16" s="81" t="s">
        <v>122</v>
      </c>
      <c r="HI16" s="56" t="s">
        <v>2</v>
      </c>
      <c r="HJ16" s="56" t="s">
        <v>2</v>
      </c>
      <c r="HK16" s="80" t="s">
        <v>189</v>
      </c>
      <c r="HL16" s="80" t="s">
        <v>189</v>
      </c>
      <c r="HM16" s="61" t="s">
        <v>2</v>
      </c>
      <c r="HN16" s="65" t="s">
        <v>123</v>
      </c>
      <c r="HO16" s="65" t="s">
        <v>190</v>
      </c>
      <c r="HP16" s="82" t="s">
        <v>59</v>
      </c>
      <c r="HQ16" s="61" t="s">
        <v>2</v>
      </c>
      <c r="HR16" s="90" t="s">
        <v>148</v>
      </c>
      <c r="HS16" s="90" t="s">
        <v>148</v>
      </c>
      <c r="HT16" s="90" t="s">
        <v>148</v>
      </c>
      <c r="HU16" s="90" t="s">
        <v>147</v>
      </c>
      <c r="HV16" s="90" t="s">
        <v>148</v>
      </c>
      <c r="HW16" s="61" t="s">
        <v>2</v>
      </c>
      <c r="HX16" s="61" t="s">
        <v>2</v>
      </c>
      <c r="HY16" s="81" t="s">
        <v>129</v>
      </c>
      <c r="HZ16" s="81" t="s">
        <v>129</v>
      </c>
      <c r="IA16" s="61" t="s">
        <v>127</v>
      </c>
      <c r="IB16" s="61" t="s">
        <v>127</v>
      </c>
      <c r="IC16" s="82" t="s">
        <v>45</v>
      </c>
      <c r="ID16" s="82" t="s">
        <v>45</v>
      </c>
      <c r="IE16" s="65" t="s">
        <v>128</v>
      </c>
      <c r="IF16" s="58" t="s">
        <v>67</v>
      </c>
      <c r="IG16" s="61" t="s">
        <v>2</v>
      </c>
      <c r="IH16" s="82" t="s">
        <v>45</v>
      </c>
      <c r="II16" s="82" t="s">
        <v>45</v>
      </c>
      <c r="IJ16" s="82" t="s">
        <v>45</v>
      </c>
      <c r="IK16" s="80" t="s">
        <v>119</v>
      </c>
      <c r="IL16" s="61" t="s">
        <v>2</v>
      </c>
      <c r="IM16" s="61" t="s">
        <v>2</v>
      </c>
      <c r="IN16" s="55" t="s">
        <v>126</v>
      </c>
      <c r="IO16" s="55" t="s">
        <v>126</v>
      </c>
      <c r="IP16" s="55" t="s">
        <v>126</v>
      </c>
      <c r="IQ16" s="55" t="s">
        <v>126</v>
      </c>
      <c r="IR16" s="55" t="s">
        <v>126</v>
      </c>
      <c r="IS16" s="61" t="s">
        <v>2</v>
      </c>
      <c r="IT16" s="81" t="s">
        <v>146</v>
      </c>
      <c r="IU16" s="81" t="s">
        <v>146</v>
      </c>
      <c r="IV16" s="81" t="s">
        <v>129</v>
      </c>
      <c r="IW16" s="81" t="s">
        <v>129</v>
      </c>
      <c r="IX16" s="81" t="s">
        <v>129</v>
      </c>
      <c r="IY16" s="56" t="s">
        <v>2</v>
      </c>
      <c r="IZ16" s="56" t="s">
        <v>2</v>
      </c>
      <c r="JA16" s="82" t="s">
        <v>45</v>
      </c>
      <c r="JB16" s="58" t="s">
        <v>67</v>
      </c>
      <c r="JC16" s="58" t="s">
        <v>67</v>
      </c>
      <c r="JD16" s="58" t="s">
        <v>67</v>
      </c>
      <c r="JE16" s="56" t="s">
        <v>2</v>
      </c>
      <c r="JF16" s="80" t="s">
        <v>163</v>
      </c>
      <c r="JG16" s="56" t="s">
        <v>2</v>
      </c>
      <c r="JH16" s="80" t="s">
        <v>119</v>
      </c>
      <c r="JI16" s="80" t="s">
        <v>119</v>
      </c>
      <c r="JJ16" s="80" t="s">
        <v>152</v>
      </c>
      <c r="JK16" s="80" t="s">
        <v>152</v>
      </c>
      <c r="JL16" s="80" t="s">
        <v>119</v>
      </c>
      <c r="JM16" s="56" t="s">
        <v>2</v>
      </c>
      <c r="JN16" s="56" t="s">
        <v>2</v>
      </c>
      <c r="JO16" s="58" t="s">
        <v>67</v>
      </c>
      <c r="JP16" s="80" t="s">
        <v>152</v>
      </c>
      <c r="JQ16" s="80" t="s">
        <v>152</v>
      </c>
      <c r="JR16" s="56" t="s">
        <v>2</v>
      </c>
      <c r="JS16" s="82" t="s">
        <v>45</v>
      </c>
      <c r="JT16" s="82" t="s">
        <v>45</v>
      </c>
      <c r="JU16" s="56" t="s">
        <v>2</v>
      </c>
      <c r="JV16" s="128" t="s">
        <v>128</v>
      </c>
      <c r="JW16" s="128" t="s">
        <v>128</v>
      </c>
      <c r="JX16" s="128" t="s">
        <v>128</v>
      </c>
      <c r="JY16" s="129" t="s">
        <v>2</v>
      </c>
      <c r="JZ16" s="129" t="s">
        <v>2</v>
      </c>
      <c r="KA16" s="98" t="s">
        <v>126</v>
      </c>
      <c r="KB16" s="128" t="s">
        <v>128</v>
      </c>
      <c r="KC16" s="129" t="s">
        <v>2</v>
      </c>
      <c r="KD16" s="141" t="s">
        <v>152</v>
      </c>
      <c r="KE16" s="141" t="s">
        <v>152</v>
      </c>
      <c r="KF16" s="209" t="s">
        <v>129</v>
      </c>
      <c r="KG16" s="141" t="s">
        <v>152</v>
      </c>
      <c r="KH16" s="141" t="s">
        <v>152</v>
      </c>
      <c r="KI16" s="129" t="s">
        <v>2</v>
      </c>
      <c r="KJ16" s="98" t="s">
        <v>126</v>
      </c>
      <c r="KK16" s="98" t="s">
        <v>126</v>
      </c>
      <c r="KL16" s="98" t="s">
        <v>126</v>
      </c>
      <c r="KM16" s="98" t="s">
        <v>126</v>
      </c>
      <c r="KN16" s="98" t="s">
        <v>126</v>
      </c>
      <c r="KO16" s="129" t="s">
        <v>2</v>
      </c>
      <c r="KP16" s="129" t="s">
        <v>2</v>
      </c>
      <c r="KQ16" s="212" t="s">
        <v>45</v>
      </c>
      <c r="KR16" s="131" t="s">
        <v>67</v>
      </c>
      <c r="KS16" s="131" t="s">
        <v>67</v>
      </c>
      <c r="KT16" s="129" t="s">
        <v>2</v>
      </c>
      <c r="KU16" s="129" t="s">
        <v>2</v>
      </c>
      <c r="KV16" s="98" t="s">
        <v>126</v>
      </c>
      <c r="KW16" s="88" t="s">
        <v>149</v>
      </c>
      <c r="KX16" s="129" t="s">
        <v>2</v>
      </c>
      <c r="KY16" s="129" t="s">
        <v>2</v>
      </c>
      <c r="KZ16" s="209" t="s">
        <v>146</v>
      </c>
      <c r="LA16" s="212" t="s">
        <v>45</v>
      </c>
      <c r="LB16" s="209" t="s">
        <v>146</v>
      </c>
      <c r="LC16" s="209" t="s">
        <v>146</v>
      </c>
      <c r="LD16" s="128" t="s">
        <v>128</v>
      </c>
      <c r="LE16" s="129" t="s">
        <v>2</v>
      </c>
      <c r="LF16" s="141" t="s">
        <v>152</v>
      </c>
      <c r="LG16" s="141" t="s">
        <v>119</v>
      </c>
      <c r="LH16" s="141" t="s">
        <v>152</v>
      </c>
      <c r="LI16" s="141" t="s">
        <v>152</v>
      </c>
      <c r="LJ16" s="141" t="s">
        <v>152</v>
      </c>
      <c r="LK16" s="129" t="s">
        <v>2</v>
      </c>
      <c r="LL16" s="98" t="s">
        <v>126</v>
      </c>
      <c r="LM16" s="98" t="s">
        <v>126</v>
      </c>
      <c r="LN16" s="98" t="s">
        <v>126</v>
      </c>
      <c r="LO16" s="98" t="s">
        <v>126</v>
      </c>
      <c r="LP16" s="98" t="s">
        <v>126</v>
      </c>
      <c r="LQ16" s="129" t="s">
        <v>2</v>
      </c>
      <c r="LR16" s="129" t="s">
        <v>2</v>
      </c>
      <c r="LS16" s="141" t="s">
        <v>152</v>
      </c>
      <c r="LT16" s="129" t="s">
        <v>2</v>
      </c>
      <c r="LU16" s="129" t="s">
        <v>2</v>
      </c>
      <c r="LV16" s="128" t="s">
        <v>128</v>
      </c>
      <c r="LW16" s="128" t="s">
        <v>128</v>
      </c>
      <c r="LX16" s="98" t="s">
        <v>126</v>
      </c>
      <c r="LY16" s="128" t="s">
        <v>128</v>
      </c>
      <c r="LZ16" s="141" t="s">
        <v>152</v>
      </c>
      <c r="MA16" s="129" t="s">
        <v>2</v>
      </c>
      <c r="MB16" s="129" t="s">
        <v>2</v>
      </c>
      <c r="MC16" s="128" t="s">
        <v>128</v>
      </c>
      <c r="MD16" s="128" t="s">
        <v>128</v>
      </c>
      <c r="ME16" s="98" t="s">
        <v>126</v>
      </c>
      <c r="MF16" s="128" t="s">
        <v>128</v>
      </c>
    </row>
    <row r="17" spans="1:351" ht="15" thickBot="1">
      <c r="A17" s="527"/>
      <c r="B17" s="514"/>
      <c r="C17" s="532"/>
      <c r="D17" s="508"/>
      <c r="E17" s="508"/>
      <c r="F17" s="515"/>
      <c r="G17" s="473"/>
      <c r="H17" s="495"/>
      <c r="I17" s="518"/>
      <c r="J17" s="532"/>
      <c r="K17" s="507"/>
      <c r="L17" s="495"/>
      <c r="M17" s="495"/>
      <c r="N17" s="495">
        <v>4</v>
      </c>
      <c r="O17" s="534" t="s">
        <v>191</v>
      </c>
      <c r="P17" s="563"/>
      <c r="Q17" s="539"/>
      <c r="R17" s="539"/>
      <c r="S17" s="539"/>
      <c r="T17" s="539"/>
      <c r="U17" s="539"/>
      <c r="V17" s="540"/>
      <c r="W17" s="548"/>
      <c r="X17" s="539"/>
      <c r="Y17" s="539"/>
      <c r="Z17" s="539"/>
      <c r="AA17" s="539"/>
      <c r="AB17" s="539"/>
      <c r="AC17" s="549"/>
      <c r="AD17" s="548"/>
      <c r="AE17" s="539"/>
      <c r="AF17" s="539"/>
      <c r="AG17" s="539"/>
      <c r="AH17" s="539"/>
      <c r="AI17" s="539"/>
      <c r="AJ17" s="549"/>
      <c r="AK17" s="548"/>
      <c r="AL17" s="539"/>
      <c r="AM17" s="539"/>
      <c r="AN17" s="539"/>
      <c r="AO17" s="539"/>
      <c r="AP17" s="539"/>
      <c r="AQ17" s="549"/>
      <c r="AR17" s="58" t="s">
        <v>11</v>
      </c>
      <c r="AS17" s="58" t="s">
        <v>11</v>
      </c>
      <c r="AT17" s="58" t="s">
        <v>11</v>
      </c>
      <c r="AU17" s="58" t="s">
        <v>10</v>
      </c>
      <c r="AV17" s="58" t="s">
        <v>10</v>
      </c>
      <c r="AW17" s="56" t="s">
        <v>2</v>
      </c>
      <c r="AX17" s="56" t="s">
        <v>2</v>
      </c>
      <c r="AY17" s="58" t="s">
        <v>10</v>
      </c>
      <c r="AZ17" s="58" t="s">
        <v>10</v>
      </c>
      <c r="BA17" s="58" t="s">
        <v>10</v>
      </c>
      <c r="BB17" s="58" t="s">
        <v>10</v>
      </c>
      <c r="BC17" s="58" t="s">
        <v>10</v>
      </c>
      <c r="BD17" s="56" t="s">
        <v>2</v>
      </c>
      <c r="BE17" s="56" t="s">
        <v>2</v>
      </c>
      <c r="BF17" s="58" t="s">
        <v>10</v>
      </c>
      <c r="BG17" s="58" t="s">
        <v>10</v>
      </c>
      <c r="BH17" s="58" t="s">
        <v>10</v>
      </c>
      <c r="BI17" s="58" t="s">
        <v>10</v>
      </c>
      <c r="BJ17" s="58" t="s">
        <v>104</v>
      </c>
      <c r="BK17" s="61" t="s">
        <v>2</v>
      </c>
      <c r="BL17" s="61" t="s">
        <v>2</v>
      </c>
      <c r="BM17" s="64" t="s">
        <v>105</v>
      </c>
      <c r="BN17" s="64" t="s">
        <v>105</v>
      </c>
      <c r="BO17" s="64" t="s">
        <v>105</v>
      </c>
      <c r="BP17" s="64" t="s">
        <v>105</v>
      </c>
      <c r="BQ17" s="64" t="s">
        <v>105</v>
      </c>
      <c r="BR17" s="61" t="s">
        <v>2</v>
      </c>
      <c r="BS17" s="61" t="s">
        <v>2</v>
      </c>
      <c r="BT17" s="61" t="s">
        <v>2</v>
      </c>
      <c r="BU17" s="69" t="s">
        <v>6</v>
      </c>
      <c r="BV17" s="69" t="s">
        <v>6</v>
      </c>
      <c r="BW17" s="69" t="s">
        <v>6</v>
      </c>
      <c r="BX17" s="69" t="s">
        <v>6</v>
      </c>
      <c r="BY17" s="69" t="s">
        <v>6</v>
      </c>
      <c r="BZ17" s="61" t="s">
        <v>2</v>
      </c>
      <c r="CA17" s="97" t="s">
        <v>106</v>
      </c>
      <c r="CB17" s="97" t="s">
        <v>106</v>
      </c>
      <c r="CC17" s="97" t="s">
        <v>106</v>
      </c>
      <c r="CD17" s="97" t="s">
        <v>106</v>
      </c>
      <c r="CE17" s="67" t="s">
        <v>2</v>
      </c>
      <c r="CF17" s="86" t="s">
        <v>117</v>
      </c>
      <c r="CG17" s="67" t="s">
        <v>2</v>
      </c>
      <c r="CH17" s="61" t="s">
        <v>2</v>
      </c>
      <c r="CI17" s="55" t="s">
        <v>109</v>
      </c>
      <c r="CJ17" s="58" t="s">
        <v>104</v>
      </c>
      <c r="CK17" s="58" t="s">
        <v>104</v>
      </c>
      <c r="CL17" s="58" t="s">
        <v>104</v>
      </c>
      <c r="CM17" s="69" t="s">
        <v>108</v>
      </c>
      <c r="CN17" s="61" t="s">
        <v>2</v>
      </c>
      <c r="CO17" s="55" t="s">
        <v>109</v>
      </c>
      <c r="CP17" s="55" t="s">
        <v>109</v>
      </c>
      <c r="CQ17" s="55" t="s">
        <v>109</v>
      </c>
      <c r="CR17" s="61" t="s">
        <v>2</v>
      </c>
      <c r="CS17" s="69" t="s">
        <v>108</v>
      </c>
      <c r="CT17" s="61" t="s">
        <v>2</v>
      </c>
      <c r="CU17" s="62" t="s">
        <v>117</v>
      </c>
      <c r="CV17" s="69" t="s">
        <v>108</v>
      </c>
      <c r="CW17" s="69" t="s">
        <v>108</v>
      </c>
      <c r="CX17" s="69" t="s">
        <v>108</v>
      </c>
      <c r="CY17" s="69" t="s">
        <v>108</v>
      </c>
      <c r="CZ17" s="69" t="s">
        <v>108</v>
      </c>
      <c r="DA17" s="61" t="s">
        <v>2</v>
      </c>
      <c r="DB17" s="61" t="s">
        <v>2</v>
      </c>
      <c r="DC17" s="69" t="s">
        <v>114</v>
      </c>
      <c r="DD17" s="69" t="s">
        <v>114</v>
      </c>
      <c r="DE17" s="69" t="s">
        <v>114</v>
      </c>
      <c r="DF17" s="69" t="s">
        <v>114</v>
      </c>
      <c r="DG17" s="63" t="s">
        <v>113</v>
      </c>
      <c r="DH17" s="61" t="s">
        <v>2</v>
      </c>
      <c r="DI17" s="61" t="s">
        <v>2</v>
      </c>
      <c r="DJ17" s="111" t="s">
        <v>113</v>
      </c>
      <c r="DK17" s="111" t="s">
        <v>113</v>
      </c>
      <c r="DL17" s="111" t="s">
        <v>113</v>
      </c>
      <c r="DM17" s="111" t="s">
        <v>113</v>
      </c>
      <c r="DN17" s="111" t="s">
        <v>113</v>
      </c>
      <c r="DO17" s="74" t="s">
        <v>2</v>
      </c>
      <c r="DP17" s="74" t="s">
        <v>2</v>
      </c>
      <c r="DQ17" s="55" t="s">
        <v>118</v>
      </c>
      <c r="DR17" s="55" t="s">
        <v>118</v>
      </c>
      <c r="DS17" s="55" t="s">
        <v>118</v>
      </c>
      <c r="DT17" s="55" t="s">
        <v>118</v>
      </c>
      <c r="DU17" s="55" t="s">
        <v>118</v>
      </c>
      <c r="DV17" s="61" t="s">
        <v>2</v>
      </c>
      <c r="DW17" s="61" t="s">
        <v>2</v>
      </c>
      <c r="DX17" s="61" t="s">
        <v>2</v>
      </c>
      <c r="DY17" s="65" t="s">
        <v>7</v>
      </c>
      <c r="DZ17" s="65" t="s">
        <v>7</v>
      </c>
      <c r="EA17" s="65" t="s">
        <v>7</v>
      </c>
      <c r="EB17" s="65" t="s">
        <v>7</v>
      </c>
      <c r="EC17" s="65" t="s">
        <v>7</v>
      </c>
      <c r="ED17" s="61" t="s">
        <v>2</v>
      </c>
      <c r="EE17" s="69" t="s">
        <v>114</v>
      </c>
      <c r="EF17" s="69" t="s">
        <v>114</v>
      </c>
      <c r="EG17" s="69" t="s">
        <v>114</v>
      </c>
      <c r="EH17" s="62" t="s">
        <v>117</v>
      </c>
      <c r="EI17" s="63" t="s">
        <v>113</v>
      </c>
      <c r="EJ17" s="61" t="s">
        <v>2</v>
      </c>
      <c r="EK17" s="61" t="s">
        <v>2</v>
      </c>
      <c r="EL17" s="58" t="s">
        <v>11</v>
      </c>
      <c r="EM17" s="58" t="s">
        <v>11</v>
      </c>
      <c r="EN17" s="58" t="s">
        <v>11</v>
      </c>
      <c r="EO17" s="61" t="s">
        <v>2</v>
      </c>
      <c r="EP17" s="58" t="s">
        <v>11</v>
      </c>
      <c r="EQ17" s="61" t="s">
        <v>2</v>
      </c>
      <c r="ER17" s="70" t="s">
        <v>117</v>
      </c>
      <c r="ES17" s="55" t="s">
        <v>118</v>
      </c>
      <c r="ET17" s="55" t="s">
        <v>118</v>
      </c>
      <c r="EU17" s="55" t="s">
        <v>118</v>
      </c>
      <c r="EV17" s="61" t="s">
        <v>2</v>
      </c>
      <c r="EW17" s="61" t="s">
        <v>2</v>
      </c>
      <c r="EX17" s="55" t="s">
        <v>118</v>
      </c>
      <c r="EY17" s="65" t="s">
        <v>115</v>
      </c>
      <c r="EZ17" s="87" t="s">
        <v>114</v>
      </c>
      <c r="FA17" s="87" t="s">
        <v>114</v>
      </c>
      <c r="FB17" s="72" t="s">
        <v>2</v>
      </c>
      <c r="FC17" s="72" t="s">
        <v>2</v>
      </c>
      <c r="FD17" s="87" t="s">
        <v>114</v>
      </c>
      <c r="FE17" s="87" t="s">
        <v>114</v>
      </c>
      <c r="FF17" s="88" t="s">
        <v>117</v>
      </c>
      <c r="FG17" s="118" t="s">
        <v>2</v>
      </c>
      <c r="FH17" s="55" t="s">
        <v>118</v>
      </c>
      <c r="FI17" s="55" t="s">
        <v>118</v>
      </c>
      <c r="FJ17" s="73" t="s">
        <v>7</v>
      </c>
      <c r="FK17" s="73" t="s">
        <v>7</v>
      </c>
      <c r="FL17" s="73" t="s">
        <v>7</v>
      </c>
      <c r="FM17" s="118" t="s">
        <v>2</v>
      </c>
      <c r="FN17" s="89" t="s">
        <v>113</v>
      </c>
      <c r="FO17" s="89" t="s">
        <v>113</v>
      </c>
      <c r="FP17" s="89" t="s">
        <v>113</v>
      </c>
      <c r="FQ17" s="89" t="s">
        <v>113</v>
      </c>
      <c r="FR17" s="89" t="s">
        <v>113</v>
      </c>
      <c r="FS17" s="118" t="s">
        <v>2</v>
      </c>
      <c r="FT17" s="118" t="s">
        <v>2</v>
      </c>
      <c r="FU17" s="74" t="s">
        <v>2</v>
      </c>
      <c r="FV17" s="77" t="s">
        <v>118</v>
      </c>
      <c r="FW17" s="77" t="s">
        <v>118</v>
      </c>
      <c r="FX17" s="77" t="s">
        <v>118</v>
      </c>
      <c r="FY17" s="78" t="s">
        <v>12</v>
      </c>
      <c r="FZ17" s="74" t="s">
        <v>2</v>
      </c>
      <c r="GA17" s="76" t="s">
        <v>115</v>
      </c>
      <c r="GB17" s="100" t="s">
        <v>11</v>
      </c>
      <c r="GC17" s="100" t="s">
        <v>11</v>
      </c>
      <c r="GD17" s="100" t="s">
        <v>11</v>
      </c>
      <c r="GE17" s="76" t="s">
        <v>7</v>
      </c>
      <c r="GF17" s="74" t="s">
        <v>2</v>
      </c>
      <c r="GG17" s="74" t="s">
        <v>2</v>
      </c>
      <c r="GH17" s="76" t="s">
        <v>7</v>
      </c>
      <c r="GI17" s="54" t="s">
        <v>128</v>
      </c>
      <c r="GJ17" s="58" t="s">
        <v>67</v>
      </c>
      <c r="GK17" s="54" t="s">
        <v>128</v>
      </c>
      <c r="GL17" s="54" t="s">
        <v>123</v>
      </c>
      <c r="GM17" s="55" t="s">
        <v>124</v>
      </c>
      <c r="GN17" s="56" t="s">
        <v>2</v>
      </c>
      <c r="GO17" s="56" t="s">
        <v>2</v>
      </c>
      <c r="GP17" s="55" t="s">
        <v>124</v>
      </c>
      <c r="GQ17" s="56" t="s">
        <v>2</v>
      </c>
      <c r="GR17" s="56" t="s">
        <v>2</v>
      </c>
      <c r="GS17" s="55" t="s">
        <v>124</v>
      </c>
      <c r="GT17" s="54" t="s">
        <v>123</v>
      </c>
      <c r="GU17" s="54" t="s">
        <v>123</v>
      </c>
      <c r="GV17" s="54" t="s">
        <v>123</v>
      </c>
      <c r="GW17" s="80" t="s">
        <v>120</v>
      </c>
      <c r="GX17" s="56" t="s">
        <v>2</v>
      </c>
      <c r="GY17" s="56" t="s">
        <v>2</v>
      </c>
      <c r="GZ17" s="80" t="s">
        <v>120</v>
      </c>
      <c r="HA17" s="54" t="s">
        <v>123</v>
      </c>
      <c r="HB17" s="54" t="s">
        <v>169</v>
      </c>
      <c r="HC17" s="54" t="s">
        <v>169</v>
      </c>
      <c r="HD17" s="56" t="s">
        <v>2</v>
      </c>
      <c r="HE17" s="81" t="s">
        <v>122</v>
      </c>
      <c r="HF17" s="54" t="s">
        <v>123</v>
      </c>
      <c r="HG17" s="54" t="s">
        <v>123</v>
      </c>
      <c r="HH17" s="56" t="s">
        <v>2</v>
      </c>
      <c r="HI17" s="80" t="s">
        <v>121</v>
      </c>
      <c r="HJ17" s="54" t="s">
        <v>123</v>
      </c>
      <c r="HK17" s="61" t="s">
        <v>2</v>
      </c>
      <c r="HL17" s="80" t="s">
        <v>120</v>
      </c>
      <c r="HM17" s="80" t="s">
        <v>189</v>
      </c>
      <c r="HN17" s="80" t="s">
        <v>189</v>
      </c>
      <c r="HO17" s="82" t="s">
        <v>45</v>
      </c>
      <c r="HP17" s="80" t="s">
        <v>163</v>
      </c>
      <c r="HQ17" s="61" t="s">
        <v>2</v>
      </c>
      <c r="HR17" s="65" t="s">
        <v>54</v>
      </c>
      <c r="HS17" s="65" t="s">
        <v>54</v>
      </c>
      <c r="HT17" s="65" t="s">
        <v>54</v>
      </c>
      <c r="HU17" s="65" t="s">
        <v>54</v>
      </c>
      <c r="HV17" s="65" t="s">
        <v>54</v>
      </c>
      <c r="HW17" s="61" t="s">
        <v>2</v>
      </c>
      <c r="HX17" s="61" t="s">
        <v>2</v>
      </c>
      <c r="HY17" s="58" t="s">
        <v>67</v>
      </c>
      <c r="HZ17" s="82" t="s">
        <v>146</v>
      </c>
      <c r="IA17" s="58" t="s">
        <v>67</v>
      </c>
      <c r="IB17" s="58" t="s">
        <v>67</v>
      </c>
      <c r="IC17" s="61" t="s">
        <v>127</v>
      </c>
      <c r="ID17" s="80" t="s">
        <v>119</v>
      </c>
      <c r="IE17" s="61" t="s">
        <v>127</v>
      </c>
      <c r="IF17" s="81" t="s">
        <v>129</v>
      </c>
      <c r="IG17" s="81" t="s">
        <v>129</v>
      </c>
      <c r="IH17" s="61" t="s">
        <v>2</v>
      </c>
      <c r="II17" s="61" t="s">
        <v>2</v>
      </c>
      <c r="IJ17" s="82" t="s">
        <v>45</v>
      </c>
      <c r="IK17" s="82" t="s">
        <v>45</v>
      </c>
      <c r="IL17" s="65" t="s">
        <v>128</v>
      </c>
      <c r="IM17" s="58" t="s">
        <v>67</v>
      </c>
      <c r="IN17" s="61" t="s">
        <v>2</v>
      </c>
      <c r="IO17" s="82" t="s">
        <v>45</v>
      </c>
      <c r="IP17" s="65" t="s">
        <v>128</v>
      </c>
      <c r="IQ17" s="61" t="s">
        <v>2</v>
      </c>
      <c r="IR17" s="55" t="s">
        <v>126</v>
      </c>
      <c r="IS17" s="65" t="s">
        <v>128</v>
      </c>
      <c r="IT17" s="56" t="s">
        <v>2</v>
      </c>
      <c r="IU17" s="55" t="s">
        <v>126</v>
      </c>
      <c r="IV17" s="55" t="s">
        <v>126</v>
      </c>
      <c r="IW17" s="55" t="s">
        <v>126</v>
      </c>
      <c r="IX17" s="55" t="s">
        <v>126</v>
      </c>
      <c r="IY17" s="55" t="s">
        <v>126</v>
      </c>
      <c r="IZ17" s="56" t="s">
        <v>2</v>
      </c>
      <c r="JA17" s="80" t="s">
        <v>119</v>
      </c>
      <c r="JB17" s="80" t="s">
        <v>119</v>
      </c>
      <c r="JC17" s="80" t="s">
        <v>119</v>
      </c>
      <c r="JD17" s="80" t="s">
        <v>119</v>
      </c>
      <c r="JE17" s="56" t="s">
        <v>130</v>
      </c>
      <c r="JF17" s="56" t="s">
        <v>2</v>
      </c>
      <c r="JG17" s="56" t="s">
        <v>2</v>
      </c>
      <c r="JH17" s="55" t="s">
        <v>126</v>
      </c>
      <c r="JI17" s="56" t="s">
        <v>2</v>
      </c>
      <c r="JJ17" s="82" t="s">
        <v>45</v>
      </c>
      <c r="JK17" s="82" t="s">
        <v>45</v>
      </c>
      <c r="JL17" s="56" t="s">
        <v>2</v>
      </c>
      <c r="JM17" s="55" t="s">
        <v>126</v>
      </c>
      <c r="JN17" s="54" t="s">
        <v>128</v>
      </c>
      <c r="JO17" s="80" t="s">
        <v>119</v>
      </c>
      <c r="JP17" s="80" t="s">
        <v>119</v>
      </c>
      <c r="JQ17" s="82" t="s">
        <v>45</v>
      </c>
      <c r="JR17" s="82" t="s">
        <v>45</v>
      </c>
      <c r="JS17" s="55" t="s">
        <v>126</v>
      </c>
      <c r="JT17" s="56" t="s">
        <v>2</v>
      </c>
      <c r="JU17" s="56" t="s">
        <v>2</v>
      </c>
      <c r="JV17" s="209" t="s">
        <v>146</v>
      </c>
      <c r="JW17" s="209" t="s">
        <v>146</v>
      </c>
      <c r="JX17" s="209" t="s">
        <v>146</v>
      </c>
      <c r="JY17" s="209" t="s">
        <v>146</v>
      </c>
      <c r="JZ17" s="209" t="s">
        <v>146</v>
      </c>
      <c r="KA17" s="129" t="s">
        <v>2</v>
      </c>
      <c r="KB17" s="129" t="s">
        <v>2</v>
      </c>
      <c r="KC17" s="98" t="s">
        <v>126</v>
      </c>
      <c r="KD17" s="98" t="s">
        <v>126</v>
      </c>
      <c r="KE17" s="98" t="s">
        <v>126</v>
      </c>
      <c r="KF17" s="98" t="s">
        <v>126</v>
      </c>
      <c r="KG17" s="98" t="s">
        <v>126</v>
      </c>
      <c r="KH17" s="129" t="s">
        <v>2</v>
      </c>
      <c r="KI17" s="129" t="s">
        <v>2</v>
      </c>
      <c r="KJ17" s="212" t="s">
        <v>45</v>
      </c>
      <c r="KK17" s="131" t="s">
        <v>67</v>
      </c>
      <c r="KL17" s="131" t="s">
        <v>67</v>
      </c>
      <c r="KM17" s="129" t="s">
        <v>2</v>
      </c>
      <c r="KN17" s="129" t="s">
        <v>2</v>
      </c>
      <c r="KO17" s="131" t="s">
        <v>67</v>
      </c>
      <c r="KP17" s="88" t="s">
        <v>149</v>
      </c>
      <c r="KQ17" s="141" t="s">
        <v>152</v>
      </c>
      <c r="KR17" s="129" t="s">
        <v>2</v>
      </c>
      <c r="KS17" s="129" t="s">
        <v>2</v>
      </c>
      <c r="KT17" s="131" t="s">
        <v>67</v>
      </c>
      <c r="KU17" s="131" t="s">
        <v>67</v>
      </c>
      <c r="KV17" s="131" t="s">
        <v>67</v>
      </c>
      <c r="KW17" s="141" t="s">
        <v>164</v>
      </c>
      <c r="KX17" s="141" t="s">
        <v>152</v>
      </c>
      <c r="KY17" s="129" t="s">
        <v>2</v>
      </c>
      <c r="KZ17" s="129" t="s">
        <v>2</v>
      </c>
      <c r="LA17" s="128" t="s">
        <v>128</v>
      </c>
      <c r="LB17" s="141" t="s">
        <v>119</v>
      </c>
      <c r="LC17" s="141" t="s">
        <v>119</v>
      </c>
      <c r="LD17" s="141" t="s">
        <v>164</v>
      </c>
      <c r="LE17" s="141" t="s">
        <v>152</v>
      </c>
      <c r="LF17" s="129" t="s">
        <v>2</v>
      </c>
      <c r="LG17" s="129" t="s">
        <v>2</v>
      </c>
      <c r="LH17" s="212" t="s">
        <v>45</v>
      </c>
      <c r="LI17" s="128" t="s">
        <v>128</v>
      </c>
      <c r="LJ17" s="128" t="s">
        <v>128</v>
      </c>
      <c r="LK17" s="128" t="s">
        <v>128</v>
      </c>
      <c r="LL17" s="141" t="s">
        <v>152</v>
      </c>
      <c r="LM17" s="129" t="s">
        <v>2</v>
      </c>
      <c r="LN17" s="129" t="s">
        <v>2</v>
      </c>
      <c r="LO17" s="212" t="s">
        <v>45</v>
      </c>
      <c r="LP17" s="128" t="s">
        <v>128</v>
      </c>
      <c r="LQ17" s="128" t="s">
        <v>128</v>
      </c>
      <c r="LR17" s="128" t="s">
        <v>128</v>
      </c>
      <c r="LS17" s="129" t="s">
        <v>2</v>
      </c>
      <c r="LT17" s="209" t="s">
        <v>146</v>
      </c>
      <c r="LU17" s="209" t="s">
        <v>146</v>
      </c>
      <c r="LV17" s="209" t="s">
        <v>146</v>
      </c>
      <c r="LW17" s="209" t="s">
        <v>146</v>
      </c>
      <c r="LX17" s="209" t="s">
        <v>146</v>
      </c>
      <c r="LY17" s="129" t="s">
        <v>2</v>
      </c>
      <c r="LZ17" s="128" t="s">
        <v>128</v>
      </c>
      <c r="MA17" s="128" t="s">
        <v>128</v>
      </c>
      <c r="MB17" s="141" t="s">
        <v>152</v>
      </c>
      <c r="MC17" s="141" t="s">
        <v>152</v>
      </c>
      <c r="MD17" s="129" t="s">
        <v>2</v>
      </c>
      <c r="ME17" s="129" t="s">
        <v>2</v>
      </c>
      <c r="MF17" s="88" t="s">
        <v>149</v>
      </c>
      <c r="MG17" s="141" t="s">
        <v>119</v>
      </c>
      <c r="MH17" s="141" t="s">
        <v>119</v>
      </c>
      <c r="MI17" s="129" t="s">
        <v>2</v>
      </c>
      <c r="MJ17" s="129" t="s">
        <v>2</v>
      </c>
      <c r="MK17" s="141" t="s">
        <v>119</v>
      </c>
      <c r="ML17" s="141" t="s">
        <v>119</v>
      </c>
      <c r="MM17" s="141" t="s">
        <v>164</v>
      </c>
    </row>
    <row r="18" spans="1:351" ht="15" thickBot="1">
      <c r="A18" s="518"/>
      <c r="B18" s="522"/>
      <c r="C18" s="473"/>
      <c r="D18" s="473"/>
      <c r="E18" s="508"/>
      <c r="F18" s="473"/>
      <c r="G18" s="473"/>
      <c r="H18" s="495"/>
      <c r="I18" s="515"/>
      <c r="J18" s="495"/>
      <c r="K18" s="518"/>
      <c r="L18" s="517"/>
      <c r="M18" s="511"/>
      <c r="N18" s="495">
        <v>4</v>
      </c>
      <c r="O18" s="504" t="s">
        <v>192</v>
      </c>
      <c r="P18" s="564"/>
      <c r="Q18" s="539"/>
      <c r="R18" s="539"/>
      <c r="S18" s="539"/>
      <c r="T18" s="539"/>
      <c r="U18" s="539"/>
      <c r="V18" s="549"/>
      <c r="W18" s="548"/>
      <c r="X18" s="539"/>
      <c r="Y18" s="539"/>
      <c r="Z18" s="539"/>
      <c r="AA18" s="539"/>
      <c r="AB18" s="539"/>
      <c r="AC18" s="549"/>
      <c r="AD18" s="548"/>
      <c r="AE18" s="539"/>
      <c r="AF18" s="539"/>
      <c r="AG18" s="539"/>
      <c r="AH18" s="539"/>
      <c r="AI18" s="539"/>
      <c r="AJ18" s="549"/>
      <c r="AK18" s="548"/>
      <c r="AL18" s="539"/>
      <c r="AM18" s="539"/>
      <c r="AN18" s="539"/>
      <c r="AO18" s="539"/>
      <c r="AP18" s="539"/>
      <c r="AQ18" s="549"/>
      <c r="AR18" s="559"/>
      <c r="AS18" s="546"/>
      <c r="AT18" s="546"/>
      <c r="AU18" s="546"/>
      <c r="AV18" s="546"/>
      <c r="AW18" s="546"/>
      <c r="AX18" s="547"/>
      <c r="AY18" s="559"/>
      <c r="AZ18" s="546"/>
      <c r="BA18" s="546"/>
      <c r="BB18" s="546"/>
      <c r="BC18" s="546"/>
      <c r="BD18" s="546"/>
      <c r="BE18" s="547"/>
      <c r="BF18" s="559"/>
      <c r="BG18" s="546"/>
      <c r="BH18" s="546"/>
      <c r="BI18" s="546"/>
      <c r="BJ18" s="546"/>
      <c r="BK18" s="546"/>
      <c r="BL18" s="547"/>
      <c r="BM18" s="58" t="s">
        <v>10</v>
      </c>
      <c r="BN18" s="58" t="s">
        <v>10</v>
      </c>
      <c r="BO18" s="58" t="s">
        <v>10</v>
      </c>
      <c r="BP18" s="58" t="s">
        <v>10</v>
      </c>
      <c r="BQ18" s="58" t="s">
        <v>104</v>
      </c>
      <c r="BR18" s="61" t="s">
        <v>2</v>
      </c>
      <c r="BS18" s="61" t="s">
        <v>2</v>
      </c>
      <c r="BT18" s="58" t="s">
        <v>10</v>
      </c>
      <c r="BU18" s="58" t="s">
        <v>10</v>
      </c>
      <c r="BV18" s="58" t="s">
        <v>10</v>
      </c>
      <c r="BW18" s="58" t="s">
        <v>10</v>
      </c>
      <c r="BX18" s="58" t="s">
        <v>104</v>
      </c>
      <c r="BY18" s="61" t="s">
        <v>2</v>
      </c>
      <c r="BZ18" s="61" t="s">
        <v>2</v>
      </c>
      <c r="CA18" s="106" t="s">
        <v>136</v>
      </c>
      <c r="CB18" s="106" t="s">
        <v>136</v>
      </c>
      <c r="CC18" s="106" t="s">
        <v>136</v>
      </c>
      <c r="CD18" s="67" t="s">
        <v>2</v>
      </c>
      <c r="CE18" s="67" t="s">
        <v>2</v>
      </c>
      <c r="CF18" s="86" t="s">
        <v>117</v>
      </c>
      <c r="CG18" s="86" t="s">
        <v>117</v>
      </c>
      <c r="CH18" s="63" t="s">
        <v>13</v>
      </c>
      <c r="CI18" s="63" t="s">
        <v>13</v>
      </c>
      <c r="CJ18" s="63" t="s">
        <v>13</v>
      </c>
      <c r="CK18" s="63" t="s">
        <v>13</v>
      </c>
      <c r="CL18" s="63" t="s">
        <v>13</v>
      </c>
      <c r="CM18" s="61" t="s">
        <v>2</v>
      </c>
      <c r="CN18" s="61" t="s">
        <v>2</v>
      </c>
      <c r="CO18" s="69" t="s">
        <v>108</v>
      </c>
      <c r="CP18" s="69" t="s">
        <v>108</v>
      </c>
      <c r="CQ18" s="69" t="s">
        <v>108</v>
      </c>
      <c r="CR18" s="69" t="s">
        <v>108</v>
      </c>
      <c r="CS18" s="69" t="s">
        <v>108</v>
      </c>
      <c r="CT18" s="61" t="s">
        <v>2</v>
      </c>
      <c r="CU18" s="61" t="s">
        <v>2</v>
      </c>
      <c r="CV18" s="65" t="s">
        <v>106</v>
      </c>
      <c r="CW18" s="61" t="s">
        <v>2</v>
      </c>
      <c r="CX18" s="65" t="s">
        <v>106</v>
      </c>
      <c r="CY18" s="65" t="s">
        <v>106</v>
      </c>
      <c r="CZ18" s="65" t="s">
        <v>106</v>
      </c>
      <c r="DA18" s="61" t="s">
        <v>2</v>
      </c>
      <c r="DB18" s="65" t="s">
        <v>107</v>
      </c>
      <c r="DC18" s="55" t="s">
        <v>118</v>
      </c>
      <c r="DD18" s="55" t="s">
        <v>118</v>
      </c>
      <c r="DE18" s="55" t="s">
        <v>118</v>
      </c>
      <c r="DF18" s="61" t="s">
        <v>2</v>
      </c>
      <c r="DG18" s="69" t="s">
        <v>114</v>
      </c>
      <c r="DH18" s="61" t="s">
        <v>2</v>
      </c>
      <c r="DI18" s="70" t="s">
        <v>117</v>
      </c>
      <c r="DJ18" s="75" t="s">
        <v>114</v>
      </c>
      <c r="DK18" s="75" t="s">
        <v>114</v>
      </c>
      <c r="DL18" s="75" t="s">
        <v>114</v>
      </c>
      <c r="DM18" s="75" t="s">
        <v>114</v>
      </c>
      <c r="DN18" s="75" t="s">
        <v>114</v>
      </c>
      <c r="DO18" s="74" t="s">
        <v>2</v>
      </c>
      <c r="DP18" s="74" t="s">
        <v>2</v>
      </c>
      <c r="DQ18" s="58" t="s">
        <v>11</v>
      </c>
      <c r="DR18" s="58" t="s">
        <v>11</v>
      </c>
      <c r="DS18" s="58" t="s">
        <v>11</v>
      </c>
      <c r="DT18" s="58" t="s">
        <v>11</v>
      </c>
      <c r="DU18" s="63" t="s">
        <v>12</v>
      </c>
      <c r="DV18" s="61" t="s">
        <v>2</v>
      </c>
      <c r="DW18" s="61" t="s">
        <v>2</v>
      </c>
      <c r="DX18" s="55" t="s">
        <v>118</v>
      </c>
      <c r="DY18" s="55" t="s">
        <v>118</v>
      </c>
      <c r="DZ18" s="55" t="s">
        <v>118</v>
      </c>
      <c r="EA18" s="61" t="s">
        <v>2</v>
      </c>
      <c r="EB18" s="95" t="s">
        <v>11</v>
      </c>
      <c r="EC18" s="55" t="s">
        <v>118</v>
      </c>
      <c r="ED18" s="61" t="s">
        <v>2</v>
      </c>
      <c r="EE18" s="55" t="s">
        <v>118</v>
      </c>
      <c r="EF18" s="65" t="s">
        <v>7</v>
      </c>
      <c r="EG18" s="65" t="s">
        <v>7</v>
      </c>
      <c r="EH18" s="65" t="s">
        <v>115</v>
      </c>
      <c r="EI18" s="63" t="s">
        <v>12</v>
      </c>
      <c r="EJ18" s="61" t="s">
        <v>2</v>
      </c>
      <c r="EK18" s="61" t="s">
        <v>2</v>
      </c>
      <c r="EL18" s="58" t="s">
        <v>11</v>
      </c>
      <c r="EM18" s="58" t="s">
        <v>11</v>
      </c>
      <c r="EN18" s="58" t="s">
        <v>11</v>
      </c>
      <c r="EO18" s="61" t="s">
        <v>2</v>
      </c>
      <c r="EP18" s="63" t="s">
        <v>113</v>
      </c>
      <c r="EQ18" s="63" t="s">
        <v>113</v>
      </c>
      <c r="ER18" s="61" t="s">
        <v>2</v>
      </c>
      <c r="ES18" s="61" t="s">
        <v>2</v>
      </c>
      <c r="ET18" s="69" t="s">
        <v>114</v>
      </c>
      <c r="EU18" s="69" t="s">
        <v>114</v>
      </c>
      <c r="EV18" s="61" t="s">
        <v>2</v>
      </c>
      <c r="EW18" s="69" t="s">
        <v>114</v>
      </c>
      <c r="EX18" s="69" t="s">
        <v>114</v>
      </c>
      <c r="EY18" s="69" t="s">
        <v>116</v>
      </c>
      <c r="EZ18" s="87" t="s">
        <v>114</v>
      </c>
      <c r="FA18" s="72" t="s">
        <v>2</v>
      </c>
      <c r="FB18" s="72" t="s">
        <v>2</v>
      </c>
      <c r="FC18" s="99" t="s">
        <v>7</v>
      </c>
      <c r="FD18" s="99" t="s">
        <v>7</v>
      </c>
      <c r="FE18" s="99" t="s">
        <v>7</v>
      </c>
      <c r="FF18" s="99" t="s">
        <v>115</v>
      </c>
      <c r="FG18" s="55" t="s">
        <v>118</v>
      </c>
      <c r="FH18" s="118" t="s">
        <v>2</v>
      </c>
      <c r="FI18" s="118" t="s">
        <v>2</v>
      </c>
      <c r="FJ18" s="55" t="s">
        <v>118</v>
      </c>
      <c r="FK18" s="55" t="s">
        <v>118</v>
      </c>
      <c r="FL18" s="55" t="s">
        <v>118</v>
      </c>
      <c r="FM18" s="73" t="s">
        <v>115</v>
      </c>
      <c r="FN18" s="100" t="s">
        <v>11</v>
      </c>
      <c r="FO18" s="118" t="s">
        <v>2</v>
      </c>
      <c r="FP18" s="118" t="s">
        <v>2</v>
      </c>
      <c r="FQ18" s="73" t="s">
        <v>7</v>
      </c>
      <c r="FR18" s="77" t="s">
        <v>118</v>
      </c>
      <c r="FS18" s="55" t="s">
        <v>118</v>
      </c>
      <c r="FT18" s="62" t="s">
        <v>117</v>
      </c>
      <c r="FU18" s="69" t="s">
        <v>114</v>
      </c>
      <c r="FV18" s="74" t="s">
        <v>2</v>
      </c>
      <c r="FW18" s="73" t="s">
        <v>7</v>
      </c>
      <c r="FX18" s="73" t="s">
        <v>7</v>
      </c>
      <c r="FY18" s="73" t="s">
        <v>7</v>
      </c>
      <c r="FZ18" s="73" t="s">
        <v>7</v>
      </c>
      <c r="GA18" s="74" t="s">
        <v>2</v>
      </c>
      <c r="GB18" s="76" t="s">
        <v>7</v>
      </c>
      <c r="GC18" s="76" t="s">
        <v>7</v>
      </c>
      <c r="GD18" s="76" t="s">
        <v>7</v>
      </c>
      <c r="GE18" s="74" t="s">
        <v>2</v>
      </c>
      <c r="GF18" s="76" t="s">
        <v>7</v>
      </c>
      <c r="GG18" s="76" t="s">
        <v>7</v>
      </c>
      <c r="GH18" s="74" t="s">
        <v>2</v>
      </c>
      <c r="GI18" s="58" t="s">
        <v>67</v>
      </c>
      <c r="GJ18" s="58" t="s">
        <v>67</v>
      </c>
      <c r="GK18" s="58" t="s">
        <v>67</v>
      </c>
      <c r="GL18" s="81" t="s">
        <v>122</v>
      </c>
      <c r="GM18" s="80" t="s">
        <v>120</v>
      </c>
      <c r="GN18" s="56" t="s">
        <v>2</v>
      </c>
      <c r="GO18" s="56" t="s">
        <v>2</v>
      </c>
      <c r="GP18" s="81" t="s">
        <v>122</v>
      </c>
      <c r="GQ18" s="82" t="s">
        <v>61</v>
      </c>
      <c r="GR18" s="56" t="s">
        <v>2</v>
      </c>
      <c r="GS18" s="56" t="s">
        <v>2</v>
      </c>
      <c r="GT18" s="55" t="s">
        <v>124</v>
      </c>
      <c r="GU18" s="55" t="s">
        <v>124</v>
      </c>
      <c r="GV18" s="54" t="s">
        <v>123</v>
      </c>
      <c r="GW18" s="102" t="s">
        <v>27</v>
      </c>
      <c r="GX18" s="102" t="s">
        <v>27</v>
      </c>
      <c r="GY18" s="102" t="s">
        <v>27</v>
      </c>
      <c r="GZ18" s="102" t="s">
        <v>27</v>
      </c>
      <c r="HA18" s="102" t="s">
        <v>27</v>
      </c>
      <c r="HB18" s="56" t="s">
        <v>2</v>
      </c>
      <c r="HC18" s="56" t="s">
        <v>2</v>
      </c>
      <c r="HD18" s="54" t="s">
        <v>169</v>
      </c>
      <c r="HE18" s="80" t="s">
        <v>120</v>
      </c>
      <c r="HF18" s="81" t="s">
        <v>122</v>
      </c>
      <c r="HG18" s="56" t="s">
        <v>2</v>
      </c>
      <c r="HH18" s="56" t="s">
        <v>2</v>
      </c>
      <c r="HI18" s="82" t="s">
        <v>61</v>
      </c>
      <c r="HJ18" s="58" t="s">
        <v>63</v>
      </c>
      <c r="HK18" s="65" t="s">
        <v>123</v>
      </c>
      <c r="HL18" s="61" t="s">
        <v>2</v>
      </c>
      <c r="HM18" s="61" t="s">
        <v>2</v>
      </c>
      <c r="HN18" s="55" t="s">
        <v>124</v>
      </c>
      <c r="HO18" s="65" t="s">
        <v>190</v>
      </c>
      <c r="HP18" s="65" t="s">
        <v>190</v>
      </c>
      <c r="HQ18" s="65" t="s">
        <v>160</v>
      </c>
      <c r="HR18" s="58" t="s">
        <v>45</v>
      </c>
      <c r="HS18" s="61" t="s">
        <v>2</v>
      </c>
      <c r="HT18" s="58" t="s">
        <v>45</v>
      </c>
      <c r="HU18" s="58" t="s">
        <v>45</v>
      </c>
      <c r="HV18" s="58" t="s">
        <v>45</v>
      </c>
      <c r="HW18" s="82" t="s">
        <v>146</v>
      </c>
      <c r="HX18" s="61" t="s">
        <v>2</v>
      </c>
      <c r="HY18" s="55" t="s">
        <v>126</v>
      </c>
      <c r="HZ18" s="55" t="s">
        <v>126</v>
      </c>
      <c r="IA18" s="55" t="s">
        <v>126</v>
      </c>
      <c r="IB18" s="55" t="s">
        <v>126</v>
      </c>
      <c r="IC18" s="80" t="s">
        <v>119</v>
      </c>
      <c r="ID18" s="61" t="s">
        <v>127</v>
      </c>
      <c r="IE18" s="61" t="s">
        <v>127</v>
      </c>
      <c r="IF18" s="80" t="s">
        <v>152</v>
      </c>
      <c r="IG18" s="80" t="s">
        <v>119</v>
      </c>
      <c r="IH18" s="82" t="s">
        <v>45</v>
      </c>
      <c r="II18" s="82" t="s">
        <v>45</v>
      </c>
      <c r="IJ18" s="61" t="s">
        <v>2</v>
      </c>
      <c r="IK18" s="55" t="s">
        <v>126</v>
      </c>
      <c r="IL18" s="61" t="s">
        <v>2</v>
      </c>
      <c r="IM18" s="61" t="s">
        <v>2</v>
      </c>
      <c r="IN18" s="58" t="s">
        <v>67</v>
      </c>
      <c r="IO18" s="82" t="s">
        <v>45</v>
      </c>
      <c r="IP18" s="82" t="s">
        <v>45</v>
      </c>
      <c r="IQ18" s="82" t="s">
        <v>45</v>
      </c>
      <c r="IR18" s="80" t="s">
        <v>119</v>
      </c>
      <c r="IS18" s="61" t="s">
        <v>2</v>
      </c>
      <c r="IT18" s="80" t="s">
        <v>119</v>
      </c>
      <c r="IU18" s="80" t="s">
        <v>119</v>
      </c>
      <c r="IV18" s="56" t="s">
        <v>2</v>
      </c>
      <c r="IW18" s="80" t="s">
        <v>119</v>
      </c>
      <c r="IX18" s="80" t="s">
        <v>119</v>
      </c>
      <c r="IY18" s="56" t="s">
        <v>2</v>
      </c>
      <c r="IZ18" s="54" t="s">
        <v>128</v>
      </c>
      <c r="JA18" s="55" t="s">
        <v>126</v>
      </c>
      <c r="JB18" s="55" t="s">
        <v>126</v>
      </c>
      <c r="JC18" s="55" t="s">
        <v>126</v>
      </c>
      <c r="JD18" s="55" t="s">
        <v>126</v>
      </c>
      <c r="JE18" s="55" t="s">
        <v>159</v>
      </c>
      <c r="JF18" s="56" t="s">
        <v>2</v>
      </c>
      <c r="JG18" s="56" t="s">
        <v>2</v>
      </c>
      <c r="JH18" s="56" t="s">
        <v>2</v>
      </c>
      <c r="JI18" s="56" t="s">
        <v>2</v>
      </c>
      <c r="JJ18" s="54" t="s">
        <v>128</v>
      </c>
      <c r="JK18" s="54" t="s">
        <v>128</v>
      </c>
      <c r="JL18" s="54" t="s">
        <v>128</v>
      </c>
      <c r="JM18" s="80" t="s">
        <v>163</v>
      </c>
      <c r="JN18" s="54" t="s">
        <v>51</v>
      </c>
      <c r="JO18" s="56" t="s">
        <v>2</v>
      </c>
      <c r="JP18" s="58" t="s">
        <v>67</v>
      </c>
      <c r="JQ18" s="58" t="s">
        <v>67</v>
      </c>
      <c r="JR18" s="58" t="s">
        <v>67</v>
      </c>
      <c r="JS18" s="58" t="s">
        <v>67</v>
      </c>
      <c r="JT18" s="55" t="s">
        <v>126</v>
      </c>
      <c r="JU18" s="56" t="s">
        <v>2</v>
      </c>
      <c r="JV18" s="212" t="s">
        <v>45</v>
      </c>
      <c r="JW18" s="212" t="s">
        <v>45</v>
      </c>
      <c r="JX18" s="212" t="s">
        <v>45</v>
      </c>
      <c r="JY18" s="209" t="s">
        <v>129</v>
      </c>
      <c r="JZ18" s="98" t="s">
        <v>126</v>
      </c>
      <c r="KA18" s="129" t="s">
        <v>2</v>
      </c>
      <c r="KB18" s="129" t="s">
        <v>2</v>
      </c>
      <c r="KC18" s="131" t="s">
        <v>67</v>
      </c>
      <c r="KD18" s="129" t="s">
        <v>2</v>
      </c>
      <c r="KE18" s="129" t="s">
        <v>2</v>
      </c>
      <c r="KF18" s="131" t="s">
        <v>67</v>
      </c>
      <c r="KG18" s="131" t="s">
        <v>67</v>
      </c>
      <c r="KH18" s="141" t="s">
        <v>119</v>
      </c>
      <c r="KI18" s="88" t="s">
        <v>149</v>
      </c>
      <c r="KJ18" s="141" t="s">
        <v>152</v>
      </c>
      <c r="KK18" s="129" t="s">
        <v>2</v>
      </c>
      <c r="KL18" s="129" t="s">
        <v>2</v>
      </c>
      <c r="KM18" s="131" t="s">
        <v>67</v>
      </c>
      <c r="KN18" s="131" t="s">
        <v>67</v>
      </c>
      <c r="KO18" s="141" t="s">
        <v>119</v>
      </c>
      <c r="KP18" s="141" t="s">
        <v>164</v>
      </c>
      <c r="KQ18" s="129" t="s">
        <v>2</v>
      </c>
      <c r="KR18" s="209" t="s">
        <v>146</v>
      </c>
      <c r="KS18" s="209" t="s">
        <v>146</v>
      </c>
      <c r="KT18" s="209" t="s">
        <v>146</v>
      </c>
      <c r="KU18" s="209" t="s">
        <v>146</v>
      </c>
      <c r="KV18" s="209" t="s">
        <v>146</v>
      </c>
      <c r="KW18" s="129" t="s">
        <v>2</v>
      </c>
      <c r="KX18" s="98" t="s">
        <v>126</v>
      </c>
      <c r="KY18" s="98" t="s">
        <v>126</v>
      </c>
      <c r="KZ18" s="98" t="s">
        <v>126</v>
      </c>
      <c r="LA18" s="98" t="s">
        <v>126</v>
      </c>
      <c r="LB18" s="98" t="s">
        <v>126</v>
      </c>
      <c r="LC18" s="129" t="s">
        <v>2</v>
      </c>
      <c r="LD18" s="129" t="s">
        <v>2</v>
      </c>
      <c r="LE18" s="128" t="s">
        <v>128</v>
      </c>
      <c r="LF18" s="128" t="s">
        <v>128</v>
      </c>
      <c r="LG18" s="212" t="s">
        <v>45</v>
      </c>
      <c r="LH18" s="129" t="s">
        <v>2</v>
      </c>
      <c r="LI18" s="129" t="s">
        <v>2</v>
      </c>
      <c r="LJ18" s="98" t="s">
        <v>126</v>
      </c>
      <c r="LK18" s="128" t="s">
        <v>128</v>
      </c>
      <c r="LL18" s="129" t="s">
        <v>2</v>
      </c>
      <c r="LM18" s="141" t="s">
        <v>152</v>
      </c>
      <c r="LN18" s="141" t="s">
        <v>119</v>
      </c>
      <c r="LO18" s="141" t="s">
        <v>152</v>
      </c>
      <c r="LP18" s="141" t="s">
        <v>152</v>
      </c>
      <c r="LQ18" s="141" t="s">
        <v>152</v>
      </c>
      <c r="LR18" s="129" t="s">
        <v>2</v>
      </c>
      <c r="LS18" s="98" t="s">
        <v>126</v>
      </c>
      <c r="LT18" s="98" t="s">
        <v>126</v>
      </c>
      <c r="LU18" s="98" t="s">
        <v>126</v>
      </c>
      <c r="LV18" s="98" t="s">
        <v>126</v>
      </c>
      <c r="LW18" s="98" t="s">
        <v>126</v>
      </c>
      <c r="LX18" s="129" t="s">
        <v>2</v>
      </c>
      <c r="LY18" s="129" t="s">
        <v>2</v>
      </c>
      <c r="LZ18" s="212" t="s">
        <v>45</v>
      </c>
      <c r="MA18" s="212" t="s">
        <v>45</v>
      </c>
      <c r="MB18" s="212" t="s">
        <v>45</v>
      </c>
      <c r="MC18" s="212" t="s">
        <v>45</v>
      </c>
      <c r="MD18" s="212" t="s">
        <v>45</v>
      </c>
      <c r="ME18" s="129" t="s">
        <v>2</v>
      </c>
      <c r="MF18" s="129" t="s">
        <v>2</v>
      </c>
    </row>
    <row r="19" spans="1:351" ht="15" thickBot="1">
      <c r="A19" s="515"/>
      <c r="B19" s="473"/>
      <c r="C19" s="473"/>
      <c r="D19" s="473"/>
      <c r="E19" s="473"/>
      <c r="F19" s="473"/>
      <c r="G19" s="473"/>
      <c r="H19" s="508"/>
      <c r="I19" s="508"/>
      <c r="J19" s="473"/>
      <c r="K19" s="510"/>
      <c r="L19" s="495"/>
      <c r="M19" s="518"/>
      <c r="N19" s="519">
        <v>3</v>
      </c>
      <c r="O19" s="534" t="s">
        <v>193</v>
      </c>
      <c r="P19" s="551"/>
      <c r="Q19" s="551"/>
      <c r="R19" s="551"/>
      <c r="S19" s="551"/>
      <c r="T19" s="551"/>
      <c r="U19" s="551"/>
      <c r="V19" s="552"/>
      <c r="W19" s="550"/>
      <c r="X19" s="551"/>
      <c r="Y19" s="551"/>
      <c r="Z19" s="551"/>
      <c r="AA19" s="551"/>
      <c r="AB19" s="551"/>
      <c r="AC19" s="552"/>
      <c r="AD19" s="550"/>
      <c r="AE19" s="551"/>
      <c r="AF19" s="551"/>
      <c r="AG19" s="551"/>
      <c r="AH19" s="551"/>
      <c r="AI19" s="551"/>
      <c r="AJ19" s="552"/>
      <c r="AK19" s="550"/>
      <c r="AL19" s="551"/>
      <c r="AM19" s="551"/>
      <c r="AN19" s="551"/>
      <c r="AO19" s="551"/>
      <c r="AP19" s="551"/>
      <c r="AQ19" s="552"/>
      <c r="AR19" s="550"/>
      <c r="AS19" s="551"/>
      <c r="AT19" s="551"/>
      <c r="AU19" s="551"/>
      <c r="AV19" s="551"/>
      <c r="AW19" s="551"/>
      <c r="AX19" s="552"/>
      <c r="AY19" s="550"/>
      <c r="AZ19" s="551"/>
      <c r="BA19" s="551"/>
      <c r="BB19" s="551"/>
      <c r="BC19" s="551"/>
      <c r="BD19" s="551"/>
      <c r="BE19" s="552"/>
      <c r="BF19" s="550"/>
      <c r="BG19" s="551"/>
      <c r="BH19" s="551"/>
      <c r="BI19" s="551"/>
      <c r="BJ19" s="551"/>
      <c r="BK19" s="551"/>
      <c r="BL19" s="552"/>
      <c r="BM19" s="558"/>
      <c r="BN19" s="554"/>
      <c r="BO19" s="554"/>
      <c r="BP19" s="554"/>
      <c r="BQ19" s="554"/>
      <c r="BR19" s="554"/>
      <c r="BS19" s="555"/>
      <c r="BT19" s="558"/>
      <c r="BU19" s="554"/>
      <c r="BV19" s="554"/>
      <c r="BW19" s="554"/>
      <c r="BX19" s="554"/>
      <c r="BY19" s="554"/>
      <c r="BZ19" s="555"/>
      <c r="CA19" s="558"/>
      <c r="CB19" s="554"/>
      <c r="CC19" s="554"/>
      <c r="CD19" s="554"/>
      <c r="CE19" s="554"/>
      <c r="CF19" s="554"/>
      <c r="CG19" s="555"/>
      <c r="CH19" s="558"/>
      <c r="CI19" s="554"/>
      <c r="CJ19" s="554"/>
      <c r="CK19" s="554"/>
      <c r="CL19" s="554"/>
      <c r="CM19" s="554"/>
      <c r="CN19" s="555"/>
      <c r="CO19" s="558"/>
      <c r="CP19" s="554"/>
      <c r="CQ19" s="554"/>
      <c r="CR19" s="554"/>
      <c r="CS19" s="554"/>
      <c r="CT19" s="554"/>
      <c r="CU19" s="555"/>
      <c r="CV19" s="558"/>
      <c r="CW19" s="554"/>
      <c r="CX19" s="554"/>
      <c r="CY19" s="554"/>
      <c r="CZ19" s="554"/>
      <c r="DA19" s="554"/>
      <c r="DB19" s="555"/>
      <c r="DC19" s="558"/>
      <c r="DD19" s="554"/>
      <c r="DE19" s="554"/>
      <c r="DF19" s="554"/>
      <c r="DG19" s="554"/>
      <c r="DH19" s="554"/>
      <c r="DI19" s="555"/>
      <c r="DJ19" s="558"/>
      <c r="DK19" s="554"/>
      <c r="DL19" s="554"/>
      <c r="DM19" s="554"/>
      <c r="DN19" s="554"/>
      <c r="DO19" s="554"/>
      <c r="DP19" s="555"/>
      <c r="DQ19" s="558"/>
      <c r="DR19" s="554"/>
      <c r="DS19" s="554"/>
      <c r="DT19" s="554"/>
      <c r="DU19" s="554"/>
      <c r="DV19" s="554"/>
      <c r="DW19" s="555"/>
      <c r="DX19" s="558"/>
      <c r="DY19" s="554"/>
      <c r="DZ19" s="554"/>
      <c r="EA19" s="554"/>
      <c r="EB19" s="554"/>
      <c r="EC19" s="554"/>
      <c r="ED19" s="555"/>
      <c r="EE19" s="58" t="s">
        <v>11</v>
      </c>
      <c r="EF19" s="58" t="s">
        <v>11</v>
      </c>
      <c r="EG19" s="58" t="s">
        <v>11</v>
      </c>
      <c r="EH19" s="58" t="s">
        <v>11</v>
      </c>
      <c r="EI19" s="58" t="s">
        <v>11</v>
      </c>
      <c r="EJ19" s="61" t="s">
        <v>2</v>
      </c>
      <c r="EK19" s="61" t="s">
        <v>2</v>
      </c>
      <c r="EL19" s="104" t="s">
        <v>11</v>
      </c>
      <c r="EM19" s="104" t="s">
        <v>11</v>
      </c>
      <c r="EN19" s="104" t="s">
        <v>11</v>
      </c>
      <c r="EO19" s="74" t="s">
        <v>130</v>
      </c>
      <c r="EP19" s="104" t="s">
        <v>11</v>
      </c>
      <c r="EQ19" s="74" t="s">
        <v>2</v>
      </c>
      <c r="ER19" s="74" t="s">
        <v>2</v>
      </c>
      <c r="ES19" s="63" t="s">
        <v>12</v>
      </c>
      <c r="ET19" s="63" t="s">
        <v>12</v>
      </c>
      <c r="EU19" s="63" t="s">
        <v>12</v>
      </c>
      <c r="EV19" s="63" t="s">
        <v>12</v>
      </c>
      <c r="EW19" s="63" t="s">
        <v>12</v>
      </c>
      <c r="EX19" s="74" t="s">
        <v>2</v>
      </c>
      <c r="EY19" s="74" t="s">
        <v>2</v>
      </c>
      <c r="EZ19" s="122" t="s">
        <v>12</v>
      </c>
      <c r="FA19" s="122" t="s">
        <v>12</v>
      </c>
      <c r="FB19" s="122" t="s">
        <v>12</v>
      </c>
      <c r="FC19" s="122" t="s">
        <v>12</v>
      </c>
      <c r="FD19" s="122" t="s">
        <v>12</v>
      </c>
      <c r="FE19" s="113" t="s">
        <v>2</v>
      </c>
      <c r="FF19" s="113" t="s">
        <v>2</v>
      </c>
      <c r="FG19" s="104" t="s">
        <v>11</v>
      </c>
      <c r="FH19" s="104" t="s">
        <v>11</v>
      </c>
      <c r="FI19" s="104" t="s">
        <v>11</v>
      </c>
      <c r="FJ19" s="104" t="s">
        <v>11</v>
      </c>
      <c r="FK19" s="104" t="s">
        <v>11</v>
      </c>
      <c r="FL19" s="74" t="s">
        <v>2</v>
      </c>
      <c r="FM19" s="74" t="s">
        <v>2</v>
      </c>
      <c r="FN19" s="78" t="s">
        <v>12</v>
      </c>
      <c r="FO19" s="78" t="s">
        <v>12</v>
      </c>
      <c r="FP19" s="78" t="s">
        <v>12</v>
      </c>
      <c r="FQ19" s="78" t="s">
        <v>12</v>
      </c>
      <c r="FR19" s="78" t="s">
        <v>12</v>
      </c>
      <c r="FS19" s="118" t="s">
        <v>2</v>
      </c>
      <c r="FT19" s="101" t="s">
        <v>2</v>
      </c>
      <c r="FU19" s="78" t="s">
        <v>12</v>
      </c>
      <c r="FV19" s="78" t="s">
        <v>12</v>
      </c>
      <c r="FW19" s="78" t="s">
        <v>12</v>
      </c>
      <c r="FX19" s="78" t="s">
        <v>12</v>
      </c>
      <c r="FY19" s="101" t="s">
        <v>2</v>
      </c>
      <c r="FZ19" s="101" t="s">
        <v>2</v>
      </c>
      <c r="GA19" s="123" t="s">
        <v>117</v>
      </c>
      <c r="GB19" s="75" t="s">
        <v>114</v>
      </c>
      <c r="GC19" s="75" t="s">
        <v>114</v>
      </c>
      <c r="GD19" s="75" t="s">
        <v>114</v>
      </c>
      <c r="GE19" s="75" t="s">
        <v>114</v>
      </c>
      <c r="GF19" s="89" t="s">
        <v>12</v>
      </c>
      <c r="GG19" s="74" t="s">
        <v>2</v>
      </c>
      <c r="GH19" s="74" t="s">
        <v>2</v>
      </c>
      <c r="GI19" s="56" t="s">
        <v>2</v>
      </c>
      <c r="GJ19" s="56" t="s">
        <v>2</v>
      </c>
      <c r="GK19" s="58" t="s">
        <v>67</v>
      </c>
      <c r="GL19" s="82" t="s">
        <v>61</v>
      </c>
      <c r="GM19" s="54" t="s">
        <v>123</v>
      </c>
      <c r="GN19" s="54" t="s">
        <v>123</v>
      </c>
      <c r="GO19" s="54" t="s">
        <v>123</v>
      </c>
      <c r="GP19" s="56" t="s">
        <v>2</v>
      </c>
      <c r="GQ19" s="80" t="s">
        <v>120</v>
      </c>
      <c r="GR19" s="81" t="s">
        <v>122</v>
      </c>
      <c r="GS19" s="80" t="s">
        <v>121</v>
      </c>
      <c r="GT19" s="80" t="s">
        <v>121</v>
      </c>
      <c r="GU19" s="80" t="s">
        <v>121</v>
      </c>
      <c r="GV19" s="56" t="s">
        <v>2</v>
      </c>
      <c r="GW19" s="58" t="s">
        <v>63</v>
      </c>
      <c r="GX19" s="58" t="s">
        <v>63</v>
      </c>
      <c r="GY19" s="58" t="s">
        <v>63</v>
      </c>
      <c r="GZ19" s="54" t="s">
        <v>123</v>
      </c>
      <c r="HA19" s="80" t="s">
        <v>120</v>
      </c>
      <c r="HB19" s="56" t="s">
        <v>2</v>
      </c>
      <c r="HC19" s="56" t="s">
        <v>2</v>
      </c>
      <c r="HD19" s="81" t="s">
        <v>122</v>
      </c>
      <c r="HE19" s="81" t="s">
        <v>122</v>
      </c>
      <c r="HF19" s="80" t="s">
        <v>120</v>
      </c>
      <c r="HG19" s="80" t="s">
        <v>120</v>
      </c>
      <c r="HH19" s="80" t="s">
        <v>120</v>
      </c>
      <c r="HI19" s="56" t="s">
        <v>2</v>
      </c>
      <c r="HJ19" s="56" t="s">
        <v>2</v>
      </c>
      <c r="HK19" s="81" t="s">
        <v>122</v>
      </c>
      <c r="HL19" s="81" t="s">
        <v>122</v>
      </c>
      <c r="HM19" s="55" t="s">
        <v>124</v>
      </c>
      <c r="HN19" s="55" t="s">
        <v>124</v>
      </c>
      <c r="HO19" s="81" t="s">
        <v>194</v>
      </c>
      <c r="HP19" s="61" t="s">
        <v>2</v>
      </c>
      <c r="HQ19" s="61" t="s">
        <v>2</v>
      </c>
      <c r="HR19" s="90" t="s">
        <v>195</v>
      </c>
      <c r="HS19" s="55" t="s">
        <v>162</v>
      </c>
      <c r="HT19" s="55" t="s">
        <v>162</v>
      </c>
      <c r="HU19" s="55" t="s">
        <v>162</v>
      </c>
      <c r="HV19" s="55" t="s">
        <v>162</v>
      </c>
      <c r="HW19" s="61" t="s">
        <v>2</v>
      </c>
      <c r="HX19" s="61" t="s">
        <v>2</v>
      </c>
      <c r="HY19" s="80" t="s">
        <v>119</v>
      </c>
      <c r="HZ19" s="80" t="s">
        <v>119</v>
      </c>
      <c r="IA19" s="80" t="s">
        <v>119</v>
      </c>
      <c r="IB19" s="80" t="s">
        <v>119</v>
      </c>
      <c r="IC19" s="55" t="s">
        <v>126</v>
      </c>
      <c r="ID19" s="61" t="s">
        <v>127</v>
      </c>
      <c r="IE19" s="61" t="s">
        <v>127</v>
      </c>
      <c r="IF19" s="80" t="s">
        <v>119</v>
      </c>
      <c r="IG19" s="58" t="s">
        <v>67</v>
      </c>
      <c r="IH19" s="58" t="s">
        <v>67</v>
      </c>
      <c r="II19" s="58" t="s">
        <v>67</v>
      </c>
      <c r="IJ19" s="58" t="s">
        <v>67</v>
      </c>
      <c r="IK19" s="61" t="s">
        <v>2</v>
      </c>
      <c r="IL19" s="61" t="s">
        <v>2</v>
      </c>
      <c r="IM19" s="81" t="s">
        <v>129</v>
      </c>
      <c r="IN19" s="81" t="s">
        <v>129</v>
      </c>
      <c r="IO19" s="81" t="s">
        <v>129</v>
      </c>
      <c r="IP19" s="81" t="s">
        <v>129</v>
      </c>
      <c r="IQ19" s="65" t="s">
        <v>128</v>
      </c>
      <c r="IR19" s="61" t="s">
        <v>2</v>
      </c>
      <c r="IS19" s="61" t="s">
        <v>2</v>
      </c>
      <c r="IT19" s="55" t="s">
        <v>126</v>
      </c>
      <c r="IU19" s="55" t="s">
        <v>126</v>
      </c>
      <c r="IV19" s="55" t="s">
        <v>126</v>
      </c>
      <c r="IW19" s="55" t="s">
        <v>126</v>
      </c>
      <c r="IX19" s="55" t="s">
        <v>126</v>
      </c>
      <c r="IY19" s="56" t="s">
        <v>2</v>
      </c>
      <c r="IZ19" s="56" t="s">
        <v>2</v>
      </c>
      <c r="JA19" s="55" t="s">
        <v>126</v>
      </c>
      <c r="JB19" s="56" t="s">
        <v>2</v>
      </c>
      <c r="JC19" s="82" t="s">
        <v>59</v>
      </c>
      <c r="JD19" s="82" t="s">
        <v>59</v>
      </c>
      <c r="JE19" s="56" t="s">
        <v>2</v>
      </c>
      <c r="JF19" s="55" t="s">
        <v>126</v>
      </c>
      <c r="JG19" s="54" t="s">
        <v>128</v>
      </c>
      <c r="JH19" s="58" t="s">
        <v>67</v>
      </c>
      <c r="JI19" s="54" t="s">
        <v>128</v>
      </c>
      <c r="JJ19" s="82" t="s">
        <v>45</v>
      </c>
      <c r="JK19" s="58" t="s">
        <v>67</v>
      </c>
      <c r="JL19" s="54" t="s">
        <v>128</v>
      </c>
      <c r="JM19" s="56" t="s">
        <v>2</v>
      </c>
      <c r="JN19" s="56" t="s">
        <v>2</v>
      </c>
      <c r="JO19" s="58" t="s">
        <v>187</v>
      </c>
      <c r="JP19" s="56" t="s">
        <v>2</v>
      </c>
      <c r="JQ19" s="82" t="s">
        <v>59</v>
      </c>
      <c r="JR19" s="56" t="s">
        <v>2</v>
      </c>
      <c r="JS19" s="81" t="s">
        <v>129</v>
      </c>
      <c r="JT19" s="82" t="s">
        <v>45</v>
      </c>
      <c r="JU19" s="54" t="s">
        <v>128</v>
      </c>
      <c r="JV19" s="128" t="s">
        <v>128</v>
      </c>
      <c r="JW19" s="128" t="s">
        <v>128</v>
      </c>
      <c r="JX19" s="129" t="s">
        <v>2</v>
      </c>
      <c r="JY19" s="129" t="s">
        <v>2</v>
      </c>
      <c r="JZ19" s="128" t="s">
        <v>128</v>
      </c>
      <c r="KA19" s="98" t="s">
        <v>126</v>
      </c>
      <c r="KB19" s="128" t="s">
        <v>128</v>
      </c>
      <c r="KC19" s="141" t="s">
        <v>152</v>
      </c>
      <c r="KD19" s="129" t="s">
        <v>2</v>
      </c>
      <c r="KE19" s="129" t="s">
        <v>2</v>
      </c>
      <c r="KF19" s="128" t="s">
        <v>128</v>
      </c>
      <c r="KG19" s="128" t="s">
        <v>128</v>
      </c>
      <c r="KH19" s="128" t="s">
        <v>128</v>
      </c>
      <c r="KI19" s="128" t="s">
        <v>128</v>
      </c>
      <c r="KJ19" s="129" t="s">
        <v>2</v>
      </c>
      <c r="KK19" s="212" t="s">
        <v>45</v>
      </c>
      <c r="KL19" s="212" t="s">
        <v>45</v>
      </c>
      <c r="KM19" s="212" t="s">
        <v>45</v>
      </c>
      <c r="KN19" s="212" t="s">
        <v>45</v>
      </c>
      <c r="KO19" s="212" t="s">
        <v>45</v>
      </c>
      <c r="KP19" s="129" t="s">
        <v>2</v>
      </c>
      <c r="KQ19" s="98" t="s">
        <v>126</v>
      </c>
      <c r="KR19" s="98" t="s">
        <v>126</v>
      </c>
      <c r="KS19" s="98" t="s">
        <v>126</v>
      </c>
      <c r="KT19" s="98" t="s">
        <v>126</v>
      </c>
      <c r="KU19" s="98" t="s">
        <v>126</v>
      </c>
      <c r="KV19" s="129" t="s">
        <v>2</v>
      </c>
      <c r="KW19" s="129" t="s">
        <v>2</v>
      </c>
      <c r="KX19" s="98" t="s">
        <v>126</v>
      </c>
      <c r="KY19" s="98" t="s">
        <v>126</v>
      </c>
      <c r="KZ19" s="98" t="s">
        <v>126</v>
      </c>
      <c r="LA19" s="98" t="s">
        <v>126</v>
      </c>
      <c r="LB19" s="98" t="s">
        <v>126</v>
      </c>
      <c r="LC19" s="129" t="s">
        <v>2</v>
      </c>
      <c r="LD19" s="129" t="s">
        <v>2</v>
      </c>
      <c r="LE19" s="129" t="s">
        <v>2</v>
      </c>
      <c r="LF19" s="209" t="s">
        <v>146</v>
      </c>
      <c r="LG19" s="209" t="s">
        <v>146</v>
      </c>
      <c r="LH19" s="209" t="s">
        <v>146</v>
      </c>
      <c r="LI19" s="209" t="s">
        <v>146</v>
      </c>
      <c r="LJ19" s="209" t="s">
        <v>146</v>
      </c>
      <c r="LK19" s="129" t="s">
        <v>2</v>
      </c>
      <c r="LL19" s="98" t="s">
        <v>126</v>
      </c>
      <c r="LM19" s="128" t="s">
        <v>128</v>
      </c>
      <c r="LN19" s="128" t="s">
        <v>128</v>
      </c>
      <c r="LO19" s="129" t="s">
        <v>2</v>
      </c>
      <c r="LP19" s="129" t="s">
        <v>2</v>
      </c>
      <c r="LQ19" s="212" t="s">
        <v>45</v>
      </c>
      <c r="LR19" s="88" t="s">
        <v>149</v>
      </c>
      <c r="LS19" s="212" t="s">
        <v>45</v>
      </c>
      <c r="LT19" s="128" t="s">
        <v>128</v>
      </c>
      <c r="LU19" s="128" t="s">
        <v>128</v>
      </c>
      <c r="LV19" s="129" t="s">
        <v>2</v>
      </c>
      <c r="LW19" s="129" t="s">
        <v>2</v>
      </c>
      <c r="LX19" s="212" t="s">
        <v>45</v>
      </c>
      <c r="LY19" s="88" t="s">
        <v>149</v>
      </c>
      <c r="LZ19" s="129" t="s">
        <v>2</v>
      </c>
      <c r="MA19" s="141" t="s">
        <v>152</v>
      </c>
      <c r="MB19" s="141" t="s">
        <v>119</v>
      </c>
      <c r="MC19" s="141" t="s">
        <v>119</v>
      </c>
      <c r="MD19" s="141" t="s">
        <v>152</v>
      </c>
      <c r="ME19" s="141" t="s">
        <v>152</v>
      </c>
      <c r="MF19" s="129" t="s">
        <v>2</v>
      </c>
      <c r="MG19" s="212" t="s">
        <v>45</v>
      </c>
      <c r="MH19" s="212" t="s">
        <v>45</v>
      </c>
      <c r="MI19" s="212" t="s">
        <v>45</v>
      </c>
      <c r="MJ19" s="212" t="s">
        <v>45</v>
      </c>
      <c r="MK19" s="212" t="s">
        <v>45</v>
      </c>
      <c r="ML19" s="129" t="s">
        <v>2</v>
      </c>
      <c r="MM19" s="129" t="s">
        <v>2</v>
      </c>
    </row>
    <row r="20" spans="1:351" ht="14.5" hidden="1">
      <c r="M20" s="521"/>
      <c r="O20" s="503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  <c r="BA20" s="124"/>
      <c r="BB20" s="124"/>
      <c r="BC20" s="124"/>
      <c r="BD20" s="124"/>
      <c r="BE20" s="124"/>
      <c r="BF20" s="125"/>
      <c r="BG20" s="125"/>
      <c r="BH20" s="125"/>
      <c r="BI20" s="125"/>
      <c r="BJ20" s="125"/>
      <c r="BK20" s="125"/>
      <c r="BL20" s="125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3"/>
      <c r="CP20" s="43"/>
      <c r="CQ20" s="43"/>
      <c r="CR20" s="43"/>
      <c r="CS20" s="43"/>
      <c r="CT20" s="43"/>
      <c r="CU20" s="43"/>
      <c r="CV20" s="42"/>
      <c r="CW20" s="42"/>
      <c r="CX20" s="42"/>
      <c r="CY20" s="42"/>
      <c r="CZ20" s="42"/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  <c r="DL20" s="42"/>
      <c r="DM20" s="42"/>
      <c r="DN20" s="42"/>
      <c r="DO20" s="42"/>
      <c r="DP20" s="42"/>
      <c r="DQ20" s="42"/>
      <c r="DR20" s="42"/>
      <c r="DS20" s="42"/>
      <c r="DT20" s="42"/>
      <c r="DU20" s="42"/>
      <c r="DV20" s="42"/>
      <c r="DW20" s="42"/>
      <c r="DX20" s="42"/>
      <c r="DY20" s="42"/>
      <c r="DZ20" s="42"/>
      <c r="EA20" s="42"/>
      <c r="EB20" s="42"/>
      <c r="EC20" s="42"/>
      <c r="ED20" s="42"/>
      <c r="EE20" s="42"/>
      <c r="EF20" s="42"/>
      <c r="EG20" s="42"/>
      <c r="EH20" s="42"/>
      <c r="EI20" s="42"/>
      <c r="EJ20" s="42"/>
      <c r="EK20" s="42"/>
      <c r="EL20" s="42"/>
      <c r="EM20" s="42"/>
      <c r="EN20" s="42"/>
      <c r="EO20" s="42"/>
      <c r="EP20" s="42"/>
      <c r="EQ20" s="42"/>
      <c r="ER20" s="42"/>
      <c r="ES20" s="42"/>
      <c r="ET20" s="42"/>
      <c r="EU20" s="42"/>
      <c r="EV20" s="42"/>
      <c r="EW20" s="42"/>
      <c r="EX20" s="42"/>
      <c r="EY20" s="42"/>
      <c r="EZ20" s="42"/>
      <c r="FA20" s="42"/>
      <c r="FB20" s="42"/>
      <c r="FC20" s="42"/>
      <c r="FD20" s="42"/>
      <c r="FE20" s="42"/>
      <c r="FF20" s="42"/>
      <c r="FG20" s="42"/>
      <c r="FH20" s="42"/>
      <c r="FI20" s="42"/>
      <c r="FJ20" s="42"/>
      <c r="FK20" s="42"/>
      <c r="FL20" s="42"/>
      <c r="FM20" s="42"/>
      <c r="FN20" s="42"/>
      <c r="FO20" s="42"/>
      <c r="FP20" s="42"/>
      <c r="FQ20" s="42"/>
      <c r="FR20" s="42"/>
      <c r="FS20" s="42"/>
      <c r="FT20" s="42"/>
      <c r="FU20" s="42"/>
      <c r="FV20" s="42"/>
      <c r="FW20" s="42"/>
      <c r="FX20" s="42"/>
      <c r="FY20" s="42"/>
      <c r="FZ20" s="42"/>
      <c r="GA20" s="42"/>
      <c r="GB20" s="42"/>
      <c r="GC20" s="42"/>
      <c r="GD20" s="42"/>
      <c r="GE20" s="42"/>
      <c r="GF20" s="42"/>
      <c r="GG20" s="42"/>
      <c r="GH20" s="42"/>
      <c r="GI20" s="42"/>
      <c r="GJ20" s="42"/>
      <c r="GK20" s="42"/>
      <c r="GL20" s="42"/>
      <c r="GM20" s="42"/>
      <c r="GN20" s="42"/>
      <c r="GO20" s="42"/>
      <c r="GP20" s="42"/>
      <c r="GQ20" s="42"/>
      <c r="GR20" s="42"/>
      <c r="GS20" s="42"/>
      <c r="GT20" s="42"/>
      <c r="GU20" s="42"/>
      <c r="GV20" s="42"/>
      <c r="GW20" s="42"/>
      <c r="GX20" s="42"/>
      <c r="GY20" s="42"/>
      <c r="GZ20" s="42"/>
      <c r="HA20" s="42"/>
      <c r="HB20" s="42"/>
      <c r="HC20" s="42"/>
      <c r="HD20" s="42"/>
      <c r="HE20" s="42"/>
      <c r="HF20" s="42"/>
      <c r="HG20" s="42"/>
      <c r="HH20" s="42"/>
      <c r="HI20" s="42"/>
      <c r="HJ20" s="42"/>
      <c r="HK20" s="42"/>
      <c r="HL20" s="42"/>
      <c r="HM20" s="42"/>
      <c r="HN20" s="42"/>
      <c r="HO20" s="42"/>
      <c r="HP20" s="42"/>
      <c r="HQ20" s="42"/>
      <c r="HR20" s="124"/>
      <c r="HS20" s="124"/>
      <c r="HT20" s="124"/>
      <c r="HU20" s="124"/>
      <c r="HV20" s="124"/>
      <c r="HW20" s="124"/>
      <c r="HX20" s="124"/>
      <c r="HY20" s="124"/>
      <c r="HZ20" s="124"/>
      <c r="IA20" s="124"/>
      <c r="IB20" s="124"/>
      <c r="IC20" s="124"/>
      <c r="ID20" s="124"/>
      <c r="IE20" s="124"/>
      <c r="IF20" s="124"/>
      <c r="IG20" s="124"/>
      <c r="IH20" s="124"/>
      <c r="II20" s="124"/>
      <c r="IJ20" s="124"/>
      <c r="IK20" s="124"/>
      <c r="IL20" s="124"/>
      <c r="IM20" s="124"/>
      <c r="IN20" s="124"/>
      <c r="IO20" s="124"/>
      <c r="IP20" s="124"/>
      <c r="IQ20" s="124"/>
      <c r="IR20" s="124"/>
      <c r="IS20" s="124"/>
      <c r="IT20" s="124"/>
      <c r="IU20" s="124"/>
      <c r="IV20" s="124"/>
      <c r="IW20" s="124"/>
      <c r="IX20" s="124"/>
      <c r="IY20" s="124"/>
      <c r="IZ20" s="124"/>
      <c r="JA20" s="124"/>
      <c r="JB20" s="124"/>
      <c r="JC20" s="124"/>
      <c r="JD20" s="124"/>
      <c r="JE20" s="124"/>
      <c r="JF20" s="124"/>
      <c r="JG20" s="124"/>
      <c r="JH20" s="124"/>
      <c r="JI20" s="124"/>
      <c r="JJ20" s="124"/>
      <c r="JK20" s="124"/>
      <c r="JL20" s="124"/>
      <c r="JM20" s="124"/>
      <c r="JN20" s="124"/>
      <c r="JO20" s="124"/>
      <c r="JP20" s="124"/>
      <c r="JQ20" s="124"/>
      <c r="JR20" s="124"/>
      <c r="JS20" s="124"/>
      <c r="JT20" s="124"/>
      <c r="JU20" s="124"/>
    </row>
    <row r="21" spans="1:351" ht="13" hidden="1">
      <c r="M21" s="495"/>
      <c r="O21" s="48" t="s">
        <v>102</v>
      </c>
      <c r="P21" s="535"/>
      <c r="Q21" s="536"/>
      <c r="R21" s="536"/>
      <c r="S21" s="536"/>
      <c r="T21" s="536"/>
      <c r="U21" s="536"/>
      <c r="V21" s="537"/>
      <c r="W21" s="126" t="s">
        <v>127</v>
      </c>
      <c r="X21" s="126" t="s">
        <v>127</v>
      </c>
      <c r="Y21" s="127" t="s">
        <v>196</v>
      </c>
      <c r="Z21" s="127" t="s">
        <v>197</v>
      </c>
      <c r="AA21" s="127" t="s">
        <v>196</v>
      </c>
      <c r="AB21" s="127" t="s">
        <v>197</v>
      </c>
      <c r="AC21" s="127" t="s">
        <v>196</v>
      </c>
      <c r="AD21" s="128" t="s">
        <v>198</v>
      </c>
      <c r="AE21" s="128" t="s">
        <v>198</v>
      </c>
      <c r="AF21" s="128" t="s">
        <v>199</v>
      </c>
      <c r="AG21" s="98" t="s">
        <v>200</v>
      </c>
      <c r="AH21" s="129" t="s">
        <v>127</v>
      </c>
      <c r="AI21" s="129" t="s">
        <v>127</v>
      </c>
      <c r="AJ21" s="130"/>
      <c r="AK21" s="128" t="s">
        <v>199</v>
      </c>
      <c r="AL21" s="128" t="s">
        <v>198</v>
      </c>
      <c r="AM21" s="129" t="s">
        <v>127</v>
      </c>
      <c r="AN21" s="129" t="s">
        <v>127</v>
      </c>
      <c r="AO21" s="98" t="s">
        <v>200</v>
      </c>
      <c r="AP21" s="98" t="s">
        <v>201</v>
      </c>
      <c r="AQ21" s="130"/>
      <c r="AR21" s="131" t="s">
        <v>202</v>
      </c>
      <c r="AS21" s="131" t="s">
        <v>202</v>
      </c>
      <c r="AT21" s="131" t="s">
        <v>203</v>
      </c>
      <c r="AU21" s="98" t="s">
        <v>200</v>
      </c>
      <c r="AV21" s="98" t="s">
        <v>198</v>
      </c>
      <c r="AW21" s="129" t="s">
        <v>127</v>
      </c>
      <c r="AX21" s="129"/>
      <c r="AY21" s="129" t="s">
        <v>127</v>
      </c>
      <c r="AZ21" s="132" t="s">
        <v>204</v>
      </c>
      <c r="BA21" s="132" t="s">
        <v>205</v>
      </c>
      <c r="BB21" s="133" t="s">
        <v>203</v>
      </c>
      <c r="BC21" s="131" t="s">
        <v>203</v>
      </c>
      <c r="BD21" s="131" t="s">
        <v>203</v>
      </c>
      <c r="BE21" s="129" t="s">
        <v>127</v>
      </c>
      <c r="BF21" s="131" t="s">
        <v>202</v>
      </c>
      <c r="BG21" s="131" t="s">
        <v>203</v>
      </c>
      <c r="BH21" s="131" t="s">
        <v>202</v>
      </c>
      <c r="BI21" s="131" t="s">
        <v>196</v>
      </c>
      <c r="BJ21" s="72" t="s">
        <v>127</v>
      </c>
      <c r="BK21" s="72" t="s">
        <v>127</v>
      </c>
      <c r="BL21" s="88" t="s">
        <v>127</v>
      </c>
      <c r="BM21" s="114" t="s">
        <v>196</v>
      </c>
      <c r="BN21" s="114" t="s">
        <v>196</v>
      </c>
      <c r="BO21" s="114" t="s">
        <v>196</v>
      </c>
      <c r="BP21" s="72" t="s">
        <v>127</v>
      </c>
      <c r="BQ21" s="72" t="s">
        <v>127</v>
      </c>
      <c r="BR21" s="134" t="s">
        <v>198</v>
      </c>
      <c r="BS21" s="99"/>
      <c r="BT21" s="98" t="s">
        <v>200</v>
      </c>
      <c r="BU21" s="98" t="s">
        <v>200</v>
      </c>
      <c r="BV21" s="98" t="s">
        <v>200</v>
      </c>
      <c r="BW21" s="72" t="s">
        <v>127</v>
      </c>
      <c r="BX21" s="72" t="s">
        <v>127</v>
      </c>
      <c r="BY21" s="98" t="s">
        <v>200</v>
      </c>
      <c r="BZ21" s="99" t="s">
        <v>199</v>
      </c>
      <c r="CA21" s="135" t="s">
        <v>206</v>
      </c>
      <c r="CB21" s="135" t="s">
        <v>204</v>
      </c>
      <c r="CC21" s="135" t="s">
        <v>206</v>
      </c>
      <c r="CD21" s="135" t="s">
        <v>204</v>
      </c>
      <c r="CE21" s="135" t="s">
        <v>206</v>
      </c>
      <c r="CF21" s="136" t="s">
        <v>127</v>
      </c>
      <c r="CG21" s="136" t="s">
        <v>127</v>
      </c>
      <c r="CH21" s="98" t="s">
        <v>198</v>
      </c>
      <c r="CI21" s="98" t="s">
        <v>200</v>
      </c>
      <c r="CJ21" s="98" t="s">
        <v>198</v>
      </c>
      <c r="CK21" s="98" t="s">
        <v>198</v>
      </c>
      <c r="CL21" s="98" t="s">
        <v>200</v>
      </c>
      <c r="CM21" s="72" t="s">
        <v>127</v>
      </c>
      <c r="CN21" s="72"/>
      <c r="CO21" s="99" t="s">
        <v>202</v>
      </c>
      <c r="CP21" s="99" t="s">
        <v>199</v>
      </c>
      <c r="CQ21" s="137" t="s">
        <v>27</v>
      </c>
      <c r="CR21" s="137" t="s">
        <v>27</v>
      </c>
      <c r="CS21" s="137" t="s">
        <v>27</v>
      </c>
      <c r="CT21" s="72" t="s">
        <v>127</v>
      </c>
      <c r="CU21" s="72" t="s">
        <v>127</v>
      </c>
      <c r="CV21" s="137" t="s">
        <v>27</v>
      </c>
      <c r="CW21" s="137" t="s">
        <v>110</v>
      </c>
      <c r="CX21" s="72" t="s">
        <v>127</v>
      </c>
      <c r="CY21" s="72" t="s">
        <v>127</v>
      </c>
      <c r="CZ21" s="99" t="s">
        <v>199</v>
      </c>
      <c r="DA21" s="87" t="s">
        <v>206</v>
      </c>
      <c r="DB21" s="87"/>
      <c r="DC21" s="114" t="s">
        <v>197</v>
      </c>
      <c r="DD21" s="114" t="s">
        <v>197</v>
      </c>
      <c r="DE21" s="87" t="s">
        <v>206</v>
      </c>
      <c r="DF21" s="87" t="s">
        <v>204</v>
      </c>
      <c r="DG21" s="72" t="s">
        <v>127</v>
      </c>
      <c r="DH21" s="87" t="s">
        <v>204</v>
      </c>
      <c r="DI21" s="72"/>
      <c r="DJ21" s="99" t="s">
        <v>199</v>
      </c>
      <c r="DK21" s="99" t="s">
        <v>199</v>
      </c>
      <c r="DL21" s="99" t="s">
        <v>199</v>
      </c>
      <c r="DM21" s="72" t="s">
        <v>127</v>
      </c>
      <c r="DN21" s="72" t="s">
        <v>127</v>
      </c>
      <c r="DO21" s="99" t="s">
        <v>199</v>
      </c>
      <c r="DP21" s="99" t="s">
        <v>203</v>
      </c>
      <c r="DQ21" s="131" t="s">
        <v>203</v>
      </c>
      <c r="DR21" s="131" t="s">
        <v>203</v>
      </c>
      <c r="DS21" s="131" t="s">
        <v>203</v>
      </c>
      <c r="DT21" s="72" t="s">
        <v>127</v>
      </c>
      <c r="DU21" s="72" t="s">
        <v>127</v>
      </c>
      <c r="DV21" s="131" t="s">
        <v>203</v>
      </c>
      <c r="DW21" s="87"/>
      <c r="DX21" s="87" t="s">
        <v>206</v>
      </c>
      <c r="DY21" s="87" t="s">
        <v>204</v>
      </c>
      <c r="DZ21" s="87" t="s">
        <v>204</v>
      </c>
      <c r="EA21" s="114" t="s">
        <v>206</v>
      </c>
      <c r="EB21" s="87" t="s">
        <v>204</v>
      </c>
      <c r="EC21" s="72" t="s">
        <v>127</v>
      </c>
      <c r="ED21" s="72" t="s">
        <v>127</v>
      </c>
      <c r="EE21" s="99" t="s">
        <v>199</v>
      </c>
      <c r="EF21" s="99" t="s">
        <v>199</v>
      </c>
      <c r="EG21" s="99" t="s">
        <v>199</v>
      </c>
      <c r="EH21" s="72" t="s">
        <v>127</v>
      </c>
      <c r="EI21" s="99" t="s">
        <v>199</v>
      </c>
      <c r="EJ21" s="99" t="s">
        <v>199</v>
      </c>
      <c r="EK21" s="72" t="s">
        <v>127</v>
      </c>
      <c r="EL21" s="72" t="s">
        <v>127</v>
      </c>
      <c r="EM21" s="99" t="s">
        <v>202</v>
      </c>
      <c r="EN21" s="99" t="s">
        <v>199</v>
      </c>
      <c r="EO21" s="72" t="s">
        <v>202</v>
      </c>
      <c r="EP21" s="99" t="s">
        <v>202</v>
      </c>
      <c r="EQ21" s="99" t="s">
        <v>202</v>
      </c>
      <c r="ER21" s="88" t="s">
        <v>196</v>
      </c>
      <c r="ES21" s="87" t="s">
        <v>207</v>
      </c>
      <c r="ET21" s="87" t="s">
        <v>206</v>
      </c>
      <c r="EU21" s="72" t="s">
        <v>127</v>
      </c>
      <c r="EV21" s="98" t="s">
        <v>200</v>
      </c>
      <c r="EW21" s="98" t="s">
        <v>200</v>
      </c>
      <c r="EX21" s="98" t="s">
        <v>200</v>
      </c>
      <c r="EY21" s="72" t="s">
        <v>127</v>
      </c>
      <c r="EZ21" s="71" t="s">
        <v>203</v>
      </c>
      <c r="FA21" s="71" t="s">
        <v>203</v>
      </c>
      <c r="FB21" s="71" t="s">
        <v>203</v>
      </c>
      <c r="FC21" s="71" t="s">
        <v>203</v>
      </c>
      <c r="FD21" s="71" t="s">
        <v>206</v>
      </c>
      <c r="FE21" s="72" t="s">
        <v>127</v>
      </c>
      <c r="FF21" s="72" t="s">
        <v>127</v>
      </c>
      <c r="FG21" s="99"/>
      <c r="FH21" s="99"/>
      <c r="FI21" s="99" t="s">
        <v>208</v>
      </c>
      <c r="FJ21" s="72" t="s">
        <v>2</v>
      </c>
      <c r="FK21" s="99" t="s">
        <v>208</v>
      </c>
      <c r="FL21" s="98" t="s">
        <v>209</v>
      </c>
      <c r="FM21" s="113" t="s">
        <v>2</v>
      </c>
      <c r="FN21" s="116" t="s">
        <v>210</v>
      </c>
      <c r="FO21" s="113" t="s">
        <v>127</v>
      </c>
      <c r="FP21" s="116" t="s">
        <v>206</v>
      </c>
      <c r="FQ21" s="116" t="s">
        <v>204</v>
      </c>
      <c r="FR21" s="116" t="s">
        <v>204</v>
      </c>
      <c r="FS21" s="87" t="s">
        <v>206</v>
      </c>
      <c r="FT21" s="113"/>
      <c r="FU21" s="138" t="s">
        <v>199</v>
      </c>
      <c r="FV21" s="138" t="s">
        <v>202</v>
      </c>
      <c r="FW21" s="72" t="s">
        <v>127</v>
      </c>
      <c r="FX21" s="72" t="s">
        <v>127</v>
      </c>
      <c r="FY21" s="138" t="s">
        <v>199</v>
      </c>
      <c r="FZ21" s="139" t="s">
        <v>200</v>
      </c>
      <c r="GA21" s="138"/>
      <c r="GB21" s="113" t="s">
        <v>127</v>
      </c>
      <c r="GC21" s="122" t="s">
        <v>197</v>
      </c>
      <c r="GD21" s="122" t="s">
        <v>197</v>
      </c>
      <c r="GE21" s="122" t="s">
        <v>197</v>
      </c>
      <c r="GF21" s="122" t="s">
        <v>197</v>
      </c>
      <c r="GG21" s="140" t="s">
        <v>197</v>
      </c>
      <c r="GH21" s="113" t="s">
        <v>127</v>
      </c>
      <c r="GI21" s="80" t="s">
        <v>211</v>
      </c>
      <c r="GJ21" s="141" t="s">
        <v>212</v>
      </c>
      <c r="GK21" s="141" t="s">
        <v>213</v>
      </c>
      <c r="GL21" s="535"/>
      <c r="GM21" s="546"/>
      <c r="GN21" s="546"/>
      <c r="GO21" s="547"/>
      <c r="GP21" s="535"/>
      <c r="GQ21" s="546"/>
      <c r="GR21" s="546"/>
      <c r="GS21" s="546"/>
      <c r="GT21" s="546"/>
      <c r="GU21" s="546"/>
      <c r="GV21" s="547"/>
      <c r="GW21" s="535"/>
      <c r="GX21" s="546"/>
      <c r="GY21" s="546"/>
      <c r="GZ21" s="546"/>
      <c r="HA21" s="546"/>
      <c r="HB21" s="546"/>
      <c r="HC21" s="547"/>
      <c r="HD21" s="535"/>
      <c r="HE21" s="546"/>
      <c r="HF21" s="546"/>
      <c r="HG21" s="546"/>
      <c r="HH21" s="546"/>
      <c r="HI21" s="546"/>
      <c r="HJ21" s="547"/>
      <c r="HK21" s="535"/>
      <c r="HL21" s="546"/>
      <c r="HM21" s="546"/>
      <c r="HN21" s="546"/>
      <c r="HO21" s="546"/>
      <c r="HP21" s="546"/>
      <c r="HQ21" s="547"/>
      <c r="HR21" s="65" t="s">
        <v>199</v>
      </c>
      <c r="HS21" s="65" t="s">
        <v>202</v>
      </c>
      <c r="HT21" s="61" t="s">
        <v>127</v>
      </c>
      <c r="HU21" s="61" t="s">
        <v>127</v>
      </c>
      <c r="HV21" s="65" t="s">
        <v>202</v>
      </c>
      <c r="HW21" s="65" t="s">
        <v>199</v>
      </c>
      <c r="HX21" s="142"/>
      <c r="HY21" s="55" t="s">
        <v>201</v>
      </c>
      <c r="HZ21" s="58" t="s">
        <v>201</v>
      </c>
      <c r="IA21" s="82" t="s">
        <v>200</v>
      </c>
      <c r="IB21" s="82" t="s">
        <v>201</v>
      </c>
      <c r="IC21" s="82" t="s">
        <v>201</v>
      </c>
      <c r="ID21" s="61" t="s">
        <v>127</v>
      </c>
      <c r="IE21" s="61" t="s">
        <v>127</v>
      </c>
      <c r="IF21" s="61" t="s">
        <v>2</v>
      </c>
      <c r="IG21" s="61" t="s">
        <v>2</v>
      </c>
      <c r="IH21" s="80" t="s">
        <v>205</v>
      </c>
      <c r="II21" s="80" t="s">
        <v>205</v>
      </c>
      <c r="IJ21" s="80" t="s">
        <v>205</v>
      </c>
      <c r="IK21" s="82" t="s">
        <v>203</v>
      </c>
      <c r="IL21" s="65"/>
      <c r="IM21" s="65" t="s">
        <v>199</v>
      </c>
      <c r="IN21" s="65" t="s">
        <v>199</v>
      </c>
      <c r="IO21" s="61" t="s">
        <v>2</v>
      </c>
      <c r="IP21" s="61" t="s">
        <v>2</v>
      </c>
      <c r="IQ21" s="65" t="s">
        <v>199</v>
      </c>
      <c r="IR21" s="82" t="s">
        <v>203</v>
      </c>
      <c r="IS21" s="65"/>
      <c r="IT21" s="81" t="s">
        <v>197</v>
      </c>
      <c r="IU21" s="81" t="s">
        <v>197</v>
      </c>
      <c r="IV21" s="82" t="s">
        <v>196</v>
      </c>
      <c r="IW21" s="56" t="s">
        <v>2</v>
      </c>
      <c r="IX21" s="82" t="s">
        <v>203</v>
      </c>
      <c r="IY21" s="82" t="s">
        <v>203</v>
      </c>
      <c r="IZ21" s="56" t="s">
        <v>2</v>
      </c>
      <c r="JA21" s="54" t="s">
        <v>198</v>
      </c>
      <c r="JB21" s="54" t="s">
        <v>199</v>
      </c>
      <c r="JC21" s="54" t="s">
        <v>199</v>
      </c>
      <c r="JD21" s="54" t="s">
        <v>199</v>
      </c>
      <c r="JE21" s="56" t="s">
        <v>130</v>
      </c>
      <c r="JF21" s="56" t="s">
        <v>2</v>
      </c>
      <c r="JG21" s="56" t="s">
        <v>2</v>
      </c>
      <c r="JH21" s="58" t="s">
        <v>199</v>
      </c>
      <c r="JI21" s="58" t="s">
        <v>202</v>
      </c>
      <c r="JJ21" s="58" t="s">
        <v>202</v>
      </c>
      <c r="JK21" s="58" t="s">
        <v>202</v>
      </c>
      <c r="JL21" s="55" t="s">
        <v>201</v>
      </c>
      <c r="JM21" s="56" t="s">
        <v>2</v>
      </c>
      <c r="JN21" s="56" t="s">
        <v>2</v>
      </c>
      <c r="JO21" s="56" t="s">
        <v>2</v>
      </c>
      <c r="JP21" s="54" t="s">
        <v>199</v>
      </c>
      <c r="JQ21" s="56" t="s">
        <v>2</v>
      </c>
      <c r="JR21" s="80" t="s">
        <v>204</v>
      </c>
      <c r="JS21" s="80" t="s">
        <v>204</v>
      </c>
      <c r="JT21" s="80" t="s">
        <v>204</v>
      </c>
      <c r="JU21" s="54" t="s">
        <v>200</v>
      </c>
    </row>
    <row r="22" spans="1:351" ht="13" hidden="1">
      <c r="M22" s="495"/>
      <c r="O22" s="83" t="s">
        <v>131</v>
      </c>
      <c r="P22" s="538"/>
      <c r="Q22" s="539"/>
      <c r="R22" s="539"/>
      <c r="S22" s="539"/>
      <c r="T22" s="539"/>
      <c r="U22" s="539"/>
      <c r="V22" s="540"/>
      <c r="W22" s="143" t="s">
        <v>205</v>
      </c>
      <c r="X22" s="143" t="s">
        <v>205</v>
      </c>
      <c r="Y22" s="143" t="s">
        <v>204</v>
      </c>
      <c r="Z22" s="143" t="s">
        <v>204</v>
      </c>
      <c r="AA22" s="126" t="s">
        <v>127</v>
      </c>
      <c r="AB22" s="126" t="s">
        <v>127</v>
      </c>
      <c r="AC22" s="144" t="s">
        <v>205</v>
      </c>
      <c r="AD22" s="145" t="s">
        <v>204</v>
      </c>
      <c r="AE22" s="129" t="s">
        <v>127</v>
      </c>
      <c r="AF22" s="129" t="s">
        <v>127</v>
      </c>
      <c r="AG22" s="145" t="s">
        <v>205</v>
      </c>
      <c r="AH22" s="145" t="s">
        <v>205</v>
      </c>
      <c r="AI22" s="145" t="s">
        <v>205</v>
      </c>
      <c r="AJ22" s="130"/>
      <c r="AK22" s="129" t="s">
        <v>127</v>
      </c>
      <c r="AL22" s="98" t="s">
        <v>200</v>
      </c>
      <c r="AM22" s="98" t="s">
        <v>200</v>
      </c>
      <c r="AN22" s="98" t="s">
        <v>200</v>
      </c>
      <c r="AO22" s="128" t="s">
        <v>198</v>
      </c>
      <c r="AP22" s="129" t="s">
        <v>127</v>
      </c>
      <c r="AQ22" s="130"/>
      <c r="AR22" s="98" t="s">
        <v>196</v>
      </c>
      <c r="AS22" s="98" t="s">
        <v>196</v>
      </c>
      <c r="AT22" s="129" t="s">
        <v>127</v>
      </c>
      <c r="AU22" s="129" t="s">
        <v>127</v>
      </c>
      <c r="AV22" s="98" t="s">
        <v>196</v>
      </c>
      <c r="AW22" s="98" t="s">
        <v>196</v>
      </c>
      <c r="AX22" s="88"/>
      <c r="AY22" s="114" t="s">
        <v>196</v>
      </c>
      <c r="AZ22" s="129" t="s">
        <v>127</v>
      </c>
      <c r="BA22" s="129" t="s">
        <v>127</v>
      </c>
      <c r="BB22" s="133" t="s">
        <v>196</v>
      </c>
      <c r="BC22" s="114" t="s">
        <v>196</v>
      </c>
      <c r="BD22" s="114" t="s">
        <v>196</v>
      </c>
      <c r="BE22" s="88"/>
      <c r="BF22" s="72" t="s">
        <v>127</v>
      </c>
      <c r="BG22" s="72" t="s">
        <v>127</v>
      </c>
      <c r="BH22" s="134" t="s">
        <v>198</v>
      </c>
      <c r="BI22" s="134" t="s">
        <v>198</v>
      </c>
      <c r="BJ22" s="131" t="s">
        <v>202</v>
      </c>
      <c r="BK22" s="131" t="s">
        <v>196</v>
      </c>
      <c r="BL22" s="88"/>
      <c r="BM22" s="87" t="s">
        <v>204</v>
      </c>
      <c r="BN22" s="72" t="s">
        <v>127</v>
      </c>
      <c r="BO22" s="134" t="s">
        <v>198</v>
      </c>
      <c r="BP22" s="134" t="s">
        <v>198</v>
      </c>
      <c r="BQ22" s="98" t="s">
        <v>200</v>
      </c>
      <c r="BR22" s="72" t="s">
        <v>127</v>
      </c>
      <c r="BS22" s="88" t="s">
        <v>214</v>
      </c>
      <c r="BT22" s="114" t="s">
        <v>196</v>
      </c>
      <c r="BU22" s="114" t="s">
        <v>196</v>
      </c>
      <c r="BV22" s="114" t="s">
        <v>196</v>
      </c>
      <c r="BW22" s="114" t="s">
        <v>196</v>
      </c>
      <c r="BX22" s="72" t="s">
        <v>127</v>
      </c>
      <c r="BY22" s="72" t="s">
        <v>127</v>
      </c>
      <c r="BZ22" s="88" t="s">
        <v>214</v>
      </c>
      <c r="CA22" s="135" t="s">
        <v>204</v>
      </c>
      <c r="CB22" s="135" t="s">
        <v>206</v>
      </c>
      <c r="CC22" s="135" t="s">
        <v>204</v>
      </c>
      <c r="CD22" s="136" t="s">
        <v>127</v>
      </c>
      <c r="CE22" s="136" t="s">
        <v>127</v>
      </c>
      <c r="CF22" s="146" t="s">
        <v>214</v>
      </c>
      <c r="CG22" s="146" t="s">
        <v>214</v>
      </c>
      <c r="CH22" s="99" t="s">
        <v>199</v>
      </c>
      <c r="CI22" s="99" t="s">
        <v>199</v>
      </c>
      <c r="CJ22" s="99" t="s">
        <v>202</v>
      </c>
      <c r="CK22" s="131" t="s">
        <v>203</v>
      </c>
      <c r="CL22" s="72" t="s">
        <v>127</v>
      </c>
      <c r="CM22" s="72" t="s">
        <v>127</v>
      </c>
      <c r="CN22" s="88"/>
      <c r="CO22" s="87" t="s">
        <v>207</v>
      </c>
      <c r="CP22" s="88" t="s">
        <v>214</v>
      </c>
      <c r="CQ22" s="87" t="s">
        <v>206</v>
      </c>
      <c r="CR22" s="87" t="s">
        <v>204</v>
      </c>
      <c r="CS22" s="72" t="s">
        <v>127</v>
      </c>
      <c r="CT22" s="72" t="s">
        <v>127</v>
      </c>
      <c r="CU22" s="88"/>
      <c r="CV22" s="114" t="s">
        <v>197</v>
      </c>
      <c r="CW22" s="114" t="s">
        <v>196</v>
      </c>
      <c r="CX22" s="114" t="s">
        <v>197</v>
      </c>
      <c r="CY22" s="114" t="s">
        <v>197</v>
      </c>
      <c r="CZ22" s="72" t="s">
        <v>127</v>
      </c>
      <c r="DA22" s="72" t="s">
        <v>127</v>
      </c>
      <c r="DB22" s="88"/>
      <c r="DC22" s="87" t="s">
        <v>204</v>
      </c>
      <c r="DD22" s="87" t="s">
        <v>206</v>
      </c>
      <c r="DE22" s="87" t="s">
        <v>206</v>
      </c>
      <c r="DF22" s="114" t="s">
        <v>197</v>
      </c>
      <c r="DG22" s="72" t="s">
        <v>127</v>
      </c>
      <c r="DH22" s="72" t="s">
        <v>127</v>
      </c>
      <c r="DI22" s="88"/>
      <c r="DJ22" s="114" t="s">
        <v>197</v>
      </c>
      <c r="DK22" s="114" t="s">
        <v>197</v>
      </c>
      <c r="DL22" s="99" t="s">
        <v>202</v>
      </c>
      <c r="DM22" s="99" t="s">
        <v>199</v>
      </c>
      <c r="DN22" s="72" t="s">
        <v>127</v>
      </c>
      <c r="DO22" s="72" t="s">
        <v>127</v>
      </c>
      <c r="DP22" s="88" t="s">
        <v>205</v>
      </c>
      <c r="DQ22" s="114" t="s">
        <v>196</v>
      </c>
      <c r="DR22" s="114" t="s">
        <v>196</v>
      </c>
      <c r="DS22" s="87" t="s">
        <v>197</v>
      </c>
      <c r="DT22" s="87" t="s">
        <v>204</v>
      </c>
      <c r="DU22" s="137" t="s">
        <v>27</v>
      </c>
      <c r="DV22" s="72" t="s">
        <v>127</v>
      </c>
      <c r="DW22" s="72" t="s">
        <v>127</v>
      </c>
      <c r="DX22" s="137" t="s">
        <v>215</v>
      </c>
      <c r="DY22" s="114" t="s">
        <v>197</v>
      </c>
      <c r="DZ22" s="114" t="s">
        <v>197</v>
      </c>
      <c r="EA22" s="87" t="s">
        <v>197</v>
      </c>
      <c r="EB22" s="72" t="s">
        <v>127</v>
      </c>
      <c r="EC22" s="72" t="s">
        <v>127</v>
      </c>
      <c r="ED22" s="88" t="s">
        <v>214</v>
      </c>
      <c r="EE22" s="98" t="s">
        <v>198</v>
      </c>
      <c r="EF22" s="98" t="s">
        <v>198</v>
      </c>
      <c r="EG22" s="98" t="s">
        <v>198</v>
      </c>
      <c r="EH22" s="88" t="s">
        <v>214</v>
      </c>
      <c r="EI22" s="72" t="s">
        <v>127</v>
      </c>
      <c r="EJ22" s="72" t="s">
        <v>127</v>
      </c>
      <c r="EK22" s="88" t="s">
        <v>214</v>
      </c>
      <c r="EL22" s="114" t="s">
        <v>197</v>
      </c>
      <c r="EM22" s="87" t="s">
        <v>207</v>
      </c>
      <c r="EN22" s="114" t="s">
        <v>216</v>
      </c>
      <c r="EO22" s="72" t="s">
        <v>214</v>
      </c>
      <c r="EP22" s="72" t="s">
        <v>127</v>
      </c>
      <c r="EQ22" s="87" t="s">
        <v>204</v>
      </c>
      <c r="ER22" s="88" t="s">
        <v>214</v>
      </c>
      <c r="ES22" s="99" t="s">
        <v>199</v>
      </c>
      <c r="ET22" s="99" t="s">
        <v>199</v>
      </c>
      <c r="EU22" s="99" t="s">
        <v>199</v>
      </c>
      <c r="EV22" s="99" t="s">
        <v>199</v>
      </c>
      <c r="EW22" s="72" t="s">
        <v>127</v>
      </c>
      <c r="EX22" s="72" t="s">
        <v>127</v>
      </c>
      <c r="EY22" s="88" t="s">
        <v>214</v>
      </c>
      <c r="EZ22" s="87" t="s">
        <v>207</v>
      </c>
      <c r="FA22" s="87" t="s">
        <v>206</v>
      </c>
      <c r="FB22" s="87" t="s">
        <v>204</v>
      </c>
      <c r="FC22" s="87" t="s">
        <v>206</v>
      </c>
      <c r="FD22" s="72" t="s">
        <v>127</v>
      </c>
      <c r="FE22" s="72" t="s">
        <v>127</v>
      </c>
      <c r="FF22" s="88" t="s">
        <v>214</v>
      </c>
      <c r="FG22" s="114"/>
      <c r="FH22" s="114"/>
      <c r="FI22" s="114" t="s">
        <v>217</v>
      </c>
      <c r="FJ22" s="114" t="s">
        <v>217</v>
      </c>
      <c r="FK22" s="72" t="s">
        <v>2</v>
      </c>
      <c r="FL22" s="72" t="s">
        <v>2</v>
      </c>
      <c r="FM22" s="88" t="s">
        <v>214</v>
      </c>
      <c r="FN22" s="87" t="s">
        <v>218</v>
      </c>
      <c r="FO22" s="87" t="s">
        <v>207</v>
      </c>
      <c r="FP22" s="87" t="s">
        <v>204</v>
      </c>
      <c r="FQ22" s="87" t="s">
        <v>206</v>
      </c>
      <c r="FR22" s="72" t="s">
        <v>127</v>
      </c>
      <c r="FS22" s="72" t="s">
        <v>127</v>
      </c>
      <c r="FT22" s="88"/>
      <c r="FU22" s="114" t="s">
        <v>197</v>
      </c>
      <c r="FV22" s="114" t="s">
        <v>197</v>
      </c>
      <c r="FW22" s="114" t="s">
        <v>197</v>
      </c>
      <c r="FX22" s="87" t="s">
        <v>206</v>
      </c>
      <c r="FY22" s="72" t="s">
        <v>127</v>
      </c>
      <c r="FZ22" s="72" t="s">
        <v>127</v>
      </c>
      <c r="GA22" s="88"/>
      <c r="GB22" s="99" t="s">
        <v>199</v>
      </c>
      <c r="GC22" s="99" t="s">
        <v>199</v>
      </c>
      <c r="GD22" s="99" t="s">
        <v>202</v>
      </c>
      <c r="GE22" s="114" t="s">
        <v>197</v>
      </c>
      <c r="GF22" s="72" t="s">
        <v>127</v>
      </c>
      <c r="GG22" s="72" t="s">
        <v>127</v>
      </c>
      <c r="GH22" s="88"/>
      <c r="GI22" s="82" t="s">
        <v>219</v>
      </c>
      <c r="GJ22" s="131" t="s">
        <v>220</v>
      </c>
      <c r="GK22" s="131" t="s">
        <v>220</v>
      </c>
      <c r="GL22" s="548"/>
      <c r="GM22" s="539"/>
      <c r="GN22" s="539"/>
      <c r="GO22" s="549"/>
      <c r="GP22" s="548"/>
      <c r="GQ22" s="539"/>
      <c r="GR22" s="539"/>
      <c r="GS22" s="539"/>
      <c r="GT22" s="539"/>
      <c r="GU22" s="539"/>
      <c r="GV22" s="549"/>
      <c r="GW22" s="548"/>
      <c r="GX22" s="539"/>
      <c r="GY22" s="539"/>
      <c r="GZ22" s="539"/>
      <c r="HA22" s="539"/>
      <c r="HB22" s="539"/>
      <c r="HC22" s="549"/>
      <c r="HD22" s="548"/>
      <c r="HE22" s="539"/>
      <c r="HF22" s="539"/>
      <c r="HG22" s="539"/>
      <c r="HH22" s="539"/>
      <c r="HI22" s="539"/>
      <c r="HJ22" s="549"/>
      <c r="HK22" s="548"/>
      <c r="HL22" s="539"/>
      <c r="HM22" s="539"/>
      <c r="HN22" s="539"/>
      <c r="HO22" s="539"/>
      <c r="HP22" s="539"/>
      <c r="HQ22" s="549"/>
      <c r="HR22" s="82" t="s">
        <v>196</v>
      </c>
      <c r="HS22" s="82" t="s">
        <v>196</v>
      </c>
      <c r="HT22" s="80" t="s">
        <v>204</v>
      </c>
      <c r="HU22" s="90" t="s">
        <v>204</v>
      </c>
      <c r="HV22" s="61" t="s">
        <v>127</v>
      </c>
      <c r="HW22" s="61" t="s">
        <v>127</v>
      </c>
      <c r="HX22" s="142"/>
      <c r="HY22" s="82" t="s">
        <v>196</v>
      </c>
      <c r="HZ22" s="82" t="s">
        <v>196</v>
      </c>
      <c r="IA22" s="80" t="s">
        <v>205</v>
      </c>
      <c r="IB22" s="80" t="s">
        <v>204</v>
      </c>
      <c r="IC22" s="61" t="s">
        <v>127</v>
      </c>
      <c r="ID22" s="61" t="s">
        <v>127</v>
      </c>
      <c r="IE22" s="62"/>
      <c r="IF22" s="62" t="s">
        <v>216</v>
      </c>
      <c r="IG22" s="82" t="s">
        <v>196</v>
      </c>
      <c r="IH22" s="80" t="s">
        <v>205</v>
      </c>
      <c r="II22" s="80" t="s">
        <v>205</v>
      </c>
      <c r="IJ22" s="61" t="s">
        <v>2</v>
      </c>
      <c r="IK22" s="61" t="s">
        <v>2</v>
      </c>
      <c r="IL22" s="62" t="s">
        <v>149</v>
      </c>
      <c r="IM22" s="82" t="s">
        <v>203</v>
      </c>
      <c r="IN22" s="82" t="s">
        <v>196</v>
      </c>
      <c r="IO22" s="80" t="s">
        <v>216</v>
      </c>
      <c r="IP22" s="80" t="s">
        <v>216</v>
      </c>
      <c r="IQ22" s="61" t="s">
        <v>2</v>
      </c>
      <c r="IR22" s="61" t="s">
        <v>2</v>
      </c>
      <c r="IS22" s="62" t="s">
        <v>149</v>
      </c>
      <c r="IT22" s="82" t="s">
        <v>203</v>
      </c>
      <c r="IU22" s="82" t="s">
        <v>203</v>
      </c>
      <c r="IV22" s="80" t="s">
        <v>205</v>
      </c>
      <c r="IW22" s="80" t="s">
        <v>205</v>
      </c>
      <c r="IX22" s="56" t="s">
        <v>2</v>
      </c>
      <c r="IY22" s="56" t="s">
        <v>2</v>
      </c>
      <c r="IZ22" s="62" t="s">
        <v>205</v>
      </c>
      <c r="JA22" s="82" t="s">
        <v>196</v>
      </c>
      <c r="JB22" s="82" t="s">
        <v>203</v>
      </c>
      <c r="JC22" s="56" t="s">
        <v>2</v>
      </c>
      <c r="JD22" s="80" t="s">
        <v>216</v>
      </c>
      <c r="JE22" s="56" t="s">
        <v>130</v>
      </c>
      <c r="JF22" s="56" t="s">
        <v>2</v>
      </c>
      <c r="JG22" s="62" t="s">
        <v>216</v>
      </c>
      <c r="JH22" s="82" t="s">
        <v>196</v>
      </c>
      <c r="JI22" s="82" t="s">
        <v>203</v>
      </c>
      <c r="JJ22" s="80" t="s">
        <v>205</v>
      </c>
      <c r="JK22" s="80" t="s">
        <v>205</v>
      </c>
      <c r="JL22" s="56" t="s">
        <v>2</v>
      </c>
      <c r="JM22" s="56" t="s">
        <v>2</v>
      </c>
      <c r="JN22" s="62" t="s">
        <v>205</v>
      </c>
      <c r="JO22" s="147" t="s">
        <v>196</v>
      </c>
      <c r="JP22" s="82" t="s">
        <v>196</v>
      </c>
      <c r="JQ22" s="82" t="s">
        <v>203</v>
      </c>
      <c r="JR22" s="80" t="s">
        <v>205</v>
      </c>
      <c r="JS22" s="56" t="s">
        <v>2</v>
      </c>
      <c r="JT22" s="56" t="s">
        <v>2</v>
      </c>
      <c r="JU22" s="62" t="s">
        <v>216</v>
      </c>
    </row>
    <row r="23" spans="1:351" ht="13" hidden="1">
      <c r="M23" s="495"/>
      <c r="O23" s="48" t="s">
        <v>154</v>
      </c>
      <c r="P23" s="548"/>
      <c r="Q23" s="539"/>
      <c r="R23" s="539"/>
      <c r="S23" s="539"/>
      <c r="T23" s="539"/>
      <c r="U23" s="539"/>
      <c r="V23" s="549"/>
      <c r="W23" s="148" t="s">
        <v>196</v>
      </c>
      <c r="X23" s="126" t="s">
        <v>127</v>
      </c>
      <c r="Y23" s="126" t="s">
        <v>127</v>
      </c>
      <c r="Z23" s="149" t="s">
        <v>200</v>
      </c>
      <c r="AA23" s="149" t="s">
        <v>200</v>
      </c>
      <c r="AB23" s="149" t="s">
        <v>200</v>
      </c>
      <c r="AC23" s="150" t="s">
        <v>199</v>
      </c>
      <c r="AD23" s="151" t="s">
        <v>202</v>
      </c>
      <c r="AE23" s="151" t="s">
        <v>202</v>
      </c>
      <c r="AF23" s="129" t="s">
        <v>127</v>
      </c>
      <c r="AG23" s="98" t="s">
        <v>201</v>
      </c>
      <c r="AH23" s="98" t="s">
        <v>201</v>
      </c>
      <c r="AI23" s="98" t="s">
        <v>200</v>
      </c>
      <c r="AJ23" s="129"/>
      <c r="AK23" s="145" t="s">
        <v>205</v>
      </c>
      <c r="AL23" s="129" t="s">
        <v>127</v>
      </c>
      <c r="AM23" s="129" t="s">
        <v>127</v>
      </c>
      <c r="AN23" s="145" t="s">
        <v>205</v>
      </c>
      <c r="AO23" s="145" t="s">
        <v>205</v>
      </c>
      <c r="AP23" s="145" t="s">
        <v>205</v>
      </c>
      <c r="AQ23" s="130"/>
      <c r="AR23" s="132" t="s">
        <v>204</v>
      </c>
      <c r="AS23" s="129" t="s">
        <v>127</v>
      </c>
      <c r="AT23" s="98" t="s">
        <v>201</v>
      </c>
      <c r="AU23" s="152" t="s">
        <v>199</v>
      </c>
      <c r="AV23" s="128" t="s">
        <v>198</v>
      </c>
      <c r="AW23" s="129" t="s">
        <v>127</v>
      </c>
      <c r="AX23" s="132"/>
      <c r="AY23" s="114" t="s">
        <v>196</v>
      </c>
      <c r="AZ23" s="114" t="s">
        <v>196</v>
      </c>
      <c r="BA23" s="129" t="s">
        <v>127</v>
      </c>
      <c r="BB23" s="129" t="s">
        <v>127</v>
      </c>
      <c r="BC23" s="132" t="s">
        <v>205</v>
      </c>
      <c r="BD23" s="134" t="s">
        <v>198</v>
      </c>
      <c r="BE23" s="128"/>
      <c r="BF23" s="134" t="s">
        <v>199</v>
      </c>
      <c r="BG23" s="134" t="s">
        <v>199</v>
      </c>
      <c r="BH23" s="72" t="s">
        <v>127</v>
      </c>
      <c r="BI23" s="72" t="s">
        <v>127</v>
      </c>
      <c r="BJ23" s="134" t="s">
        <v>198</v>
      </c>
      <c r="BK23" s="152" t="s">
        <v>198</v>
      </c>
      <c r="BL23" s="99"/>
      <c r="BM23" s="98" t="s">
        <v>200</v>
      </c>
      <c r="BN23" s="98" t="s">
        <v>200</v>
      </c>
      <c r="BO23" s="72" t="s">
        <v>127</v>
      </c>
      <c r="BP23" s="98" t="s">
        <v>200</v>
      </c>
      <c r="BQ23" s="131" t="s">
        <v>196</v>
      </c>
      <c r="BR23" s="98" t="s">
        <v>201</v>
      </c>
      <c r="BS23" s="72" t="s">
        <v>127</v>
      </c>
      <c r="BT23" s="72" t="s">
        <v>127</v>
      </c>
      <c r="BU23" s="72" t="s">
        <v>127</v>
      </c>
      <c r="BV23" s="87" t="s">
        <v>205</v>
      </c>
      <c r="BW23" s="87" t="s">
        <v>204</v>
      </c>
      <c r="BX23" s="87" t="s">
        <v>205</v>
      </c>
      <c r="BY23" s="131" t="s">
        <v>196</v>
      </c>
      <c r="BZ23" s="88" t="s">
        <v>214</v>
      </c>
      <c r="CA23" s="136" t="s">
        <v>127</v>
      </c>
      <c r="CB23" s="136" t="s">
        <v>127</v>
      </c>
      <c r="CC23" s="153" t="s">
        <v>202</v>
      </c>
      <c r="CD23" s="135" t="s">
        <v>206</v>
      </c>
      <c r="CE23" s="135" t="s">
        <v>204</v>
      </c>
      <c r="CF23" s="135" t="s">
        <v>206</v>
      </c>
      <c r="CG23" s="135"/>
      <c r="CH23" s="152" t="s">
        <v>203</v>
      </c>
      <c r="CI23" s="72" t="s">
        <v>127</v>
      </c>
      <c r="CJ23" s="72" t="s">
        <v>127</v>
      </c>
      <c r="CK23" s="99" t="s">
        <v>199</v>
      </c>
      <c r="CL23" s="99" t="s">
        <v>199</v>
      </c>
      <c r="CM23" s="99" t="s">
        <v>199</v>
      </c>
      <c r="CN23" s="88"/>
      <c r="CO23" s="131" t="s">
        <v>203</v>
      </c>
      <c r="CP23" s="72" t="s">
        <v>127</v>
      </c>
      <c r="CQ23" s="72" t="s">
        <v>127</v>
      </c>
      <c r="CR23" s="114" t="s">
        <v>197</v>
      </c>
      <c r="CS23" s="114" t="s">
        <v>197</v>
      </c>
      <c r="CT23" s="87" t="s">
        <v>206</v>
      </c>
      <c r="CU23" s="87"/>
      <c r="CV23" s="87" t="s">
        <v>206</v>
      </c>
      <c r="CW23" s="137" t="s">
        <v>110</v>
      </c>
      <c r="CX23" s="72" t="s">
        <v>127</v>
      </c>
      <c r="CY23" s="98" t="s">
        <v>198</v>
      </c>
      <c r="CZ23" s="98" t="s">
        <v>200</v>
      </c>
      <c r="DA23" s="98" t="s">
        <v>198</v>
      </c>
      <c r="DB23" s="72"/>
      <c r="DC23" s="99" t="s">
        <v>202</v>
      </c>
      <c r="DD23" s="99" t="s">
        <v>202</v>
      </c>
      <c r="DE23" s="72" t="s">
        <v>127</v>
      </c>
      <c r="DF23" s="72" t="s">
        <v>127</v>
      </c>
      <c r="DG23" s="98" t="s">
        <v>200</v>
      </c>
      <c r="DH23" s="98" t="s">
        <v>198</v>
      </c>
      <c r="DI23" s="88"/>
      <c r="DJ23" s="154" t="s">
        <v>203</v>
      </c>
      <c r="DK23" s="131" t="s">
        <v>203</v>
      </c>
      <c r="DL23" s="72" t="s">
        <v>127</v>
      </c>
      <c r="DM23" s="72" t="s">
        <v>127</v>
      </c>
      <c r="DN23" s="114" t="s">
        <v>197</v>
      </c>
      <c r="DO23" s="87" t="s">
        <v>204</v>
      </c>
      <c r="DP23" s="87" t="s">
        <v>204</v>
      </c>
      <c r="DQ23" s="87" t="s">
        <v>204</v>
      </c>
      <c r="DR23" s="72" t="s">
        <v>127</v>
      </c>
      <c r="DS23" s="72" t="s">
        <v>127</v>
      </c>
      <c r="DT23" s="131" t="s">
        <v>203</v>
      </c>
      <c r="DU23" s="87" t="s">
        <v>206</v>
      </c>
      <c r="DV23" s="87" t="s">
        <v>204</v>
      </c>
      <c r="DW23" s="88" t="s">
        <v>214</v>
      </c>
      <c r="DX23" s="87" t="s">
        <v>207</v>
      </c>
      <c r="DY23" s="72" t="s">
        <v>127</v>
      </c>
      <c r="DZ23" s="72" t="s">
        <v>127</v>
      </c>
      <c r="EA23" s="98" t="s">
        <v>198</v>
      </c>
      <c r="EB23" s="98" t="s">
        <v>198</v>
      </c>
      <c r="EC23" s="98" t="s">
        <v>200</v>
      </c>
      <c r="ED23" s="99"/>
      <c r="EE23" s="87" t="s">
        <v>206</v>
      </c>
      <c r="EF23" s="87" t="s">
        <v>206</v>
      </c>
      <c r="EG23" s="72" t="s">
        <v>127</v>
      </c>
      <c r="EH23" s="72" t="s">
        <v>127</v>
      </c>
      <c r="EI23" s="154" t="s">
        <v>204</v>
      </c>
      <c r="EJ23" s="87" t="s">
        <v>204</v>
      </c>
      <c r="EK23" s="88" t="s">
        <v>214</v>
      </c>
      <c r="EL23" s="87" t="s">
        <v>206</v>
      </c>
      <c r="EM23" s="72" t="s">
        <v>127</v>
      </c>
      <c r="EN23" s="72" t="s">
        <v>127</v>
      </c>
      <c r="EO23" s="99" t="s">
        <v>127</v>
      </c>
      <c r="EP23" s="98" t="s">
        <v>198</v>
      </c>
      <c r="EQ23" s="98" t="s">
        <v>198</v>
      </c>
      <c r="ER23" s="99" t="s">
        <v>199</v>
      </c>
      <c r="ES23" s="137" t="s">
        <v>215</v>
      </c>
      <c r="ET23" s="137" t="s">
        <v>215</v>
      </c>
      <c r="EU23" s="137" t="s">
        <v>215</v>
      </c>
      <c r="EV23" s="137" t="s">
        <v>215</v>
      </c>
      <c r="EW23" s="137" t="s">
        <v>215</v>
      </c>
      <c r="EX23" s="72" t="s">
        <v>127</v>
      </c>
      <c r="EY23" s="72" t="s">
        <v>127</v>
      </c>
      <c r="EZ23" s="98" t="s">
        <v>200</v>
      </c>
      <c r="FA23" s="98" t="s">
        <v>200</v>
      </c>
      <c r="FB23" s="72" t="s">
        <v>127</v>
      </c>
      <c r="FC23" s="72" t="s">
        <v>127</v>
      </c>
      <c r="FD23" s="98" t="s">
        <v>198</v>
      </c>
      <c r="FE23" s="98" t="s">
        <v>200</v>
      </c>
      <c r="FF23" s="99" t="s">
        <v>202</v>
      </c>
      <c r="FG23" s="87"/>
      <c r="FH23" s="87"/>
      <c r="FI23" s="72" t="s">
        <v>2</v>
      </c>
      <c r="FJ23" s="72" t="s">
        <v>2</v>
      </c>
      <c r="FK23" s="87" t="s">
        <v>218</v>
      </c>
      <c r="FL23" s="87" t="s">
        <v>218</v>
      </c>
      <c r="FM23" s="88" t="s">
        <v>214</v>
      </c>
      <c r="FN23" s="87" t="s">
        <v>221</v>
      </c>
      <c r="FO23" s="87" t="s">
        <v>206</v>
      </c>
      <c r="FP23" s="72" t="s">
        <v>127</v>
      </c>
      <c r="FQ23" s="72" t="s">
        <v>127</v>
      </c>
      <c r="FR23" s="99" t="s">
        <v>202</v>
      </c>
      <c r="FS23" s="98" t="s">
        <v>200</v>
      </c>
      <c r="FT23" s="99"/>
      <c r="FU23" s="99" t="s">
        <v>197</v>
      </c>
      <c r="FV23" s="99" t="s">
        <v>199</v>
      </c>
      <c r="FW23" s="72" t="s">
        <v>127</v>
      </c>
      <c r="FX23" s="72" t="s">
        <v>127</v>
      </c>
      <c r="FY23" s="139" t="s">
        <v>198</v>
      </c>
      <c r="FZ23" s="139" t="s">
        <v>198</v>
      </c>
      <c r="GA23" s="116"/>
      <c r="GB23" s="116" t="s">
        <v>207</v>
      </c>
      <c r="GC23" s="116" t="s">
        <v>206</v>
      </c>
      <c r="GD23" s="113" t="s">
        <v>127</v>
      </c>
      <c r="GE23" s="113" t="s">
        <v>203</v>
      </c>
      <c r="GF23" s="154" t="s">
        <v>204</v>
      </c>
      <c r="GG23" s="116" t="s">
        <v>207</v>
      </c>
      <c r="GH23" s="87"/>
      <c r="GI23" s="54" t="s">
        <v>209</v>
      </c>
      <c r="GJ23" s="128" t="s">
        <v>222</v>
      </c>
      <c r="GK23" s="129" t="s">
        <v>2</v>
      </c>
      <c r="GL23" s="548"/>
      <c r="GM23" s="539"/>
      <c r="GN23" s="539"/>
      <c r="GO23" s="549"/>
      <c r="GP23" s="548"/>
      <c r="GQ23" s="539"/>
      <c r="GR23" s="539"/>
      <c r="GS23" s="539"/>
      <c r="GT23" s="539"/>
      <c r="GU23" s="539"/>
      <c r="GV23" s="549"/>
      <c r="GW23" s="548"/>
      <c r="GX23" s="539"/>
      <c r="GY23" s="539"/>
      <c r="GZ23" s="539"/>
      <c r="HA23" s="539"/>
      <c r="HB23" s="539"/>
      <c r="HC23" s="549"/>
      <c r="HD23" s="548"/>
      <c r="HE23" s="539"/>
      <c r="HF23" s="539"/>
      <c r="HG23" s="539"/>
      <c r="HH23" s="539"/>
      <c r="HI23" s="539"/>
      <c r="HJ23" s="549"/>
      <c r="HK23" s="548"/>
      <c r="HL23" s="539"/>
      <c r="HM23" s="539"/>
      <c r="HN23" s="539"/>
      <c r="HO23" s="539"/>
      <c r="HP23" s="539"/>
      <c r="HQ23" s="549"/>
      <c r="HR23" s="81" t="s">
        <v>197</v>
      </c>
      <c r="HS23" s="81" t="s">
        <v>197</v>
      </c>
      <c r="HT23" s="61" t="s">
        <v>127</v>
      </c>
      <c r="HU23" s="61" t="s">
        <v>127</v>
      </c>
      <c r="HV23" s="82" t="s">
        <v>197</v>
      </c>
      <c r="HW23" s="55" t="s">
        <v>200</v>
      </c>
      <c r="HX23" s="142"/>
      <c r="HY23" s="80" t="s">
        <v>205</v>
      </c>
      <c r="HZ23" s="80" t="s">
        <v>204</v>
      </c>
      <c r="IA23" s="61" t="s">
        <v>127</v>
      </c>
      <c r="IB23" s="61" t="s">
        <v>127</v>
      </c>
      <c r="IC23" s="80" t="s">
        <v>204</v>
      </c>
      <c r="ID23" s="80" t="s">
        <v>205</v>
      </c>
      <c r="IE23" s="80"/>
      <c r="IF23" s="65" t="s">
        <v>199</v>
      </c>
      <c r="IG23" s="65" t="s">
        <v>199</v>
      </c>
      <c r="IH23" s="61" t="s">
        <v>2</v>
      </c>
      <c r="II23" s="61" t="s">
        <v>2</v>
      </c>
      <c r="IJ23" s="65" t="s">
        <v>199</v>
      </c>
      <c r="IK23" s="65" t="s">
        <v>198</v>
      </c>
      <c r="IL23" s="65"/>
      <c r="IM23" s="80" t="s">
        <v>205</v>
      </c>
      <c r="IN23" s="80" t="s">
        <v>205</v>
      </c>
      <c r="IO23" s="61" t="s">
        <v>2</v>
      </c>
      <c r="IP23" s="61" t="s">
        <v>2</v>
      </c>
      <c r="IQ23" s="80" t="s">
        <v>205</v>
      </c>
      <c r="IR23" s="80" t="s">
        <v>205</v>
      </c>
      <c r="IS23" s="80"/>
      <c r="IT23" s="80" t="s">
        <v>205</v>
      </c>
      <c r="IU23" s="80" t="s">
        <v>205</v>
      </c>
      <c r="IV23" s="56" t="s">
        <v>2</v>
      </c>
      <c r="IW23" s="56" t="s">
        <v>2</v>
      </c>
      <c r="IX23" s="80" t="s">
        <v>205</v>
      </c>
      <c r="IY23" s="80" t="s">
        <v>205</v>
      </c>
      <c r="IZ23" s="80" t="s">
        <v>216</v>
      </c>
      <c r="JA23" s="80" t="s">
        <v>216</v>
      </c>
      <c r="JB23" s="80" t="s">
        <v>216</v>
      </c>
      <c r="JC23" s="56" t="s">
        <v>2</v>
      </c>
      <c r="JD23" s="56" t="s">
        <v>2</v>
      </c>
      <c r="JE23" s="56" t="s">
        <v>130</v>
      </c>
      <c r="JF23" s="80" t="s">
        <v>216</v>
      </c>
      <c r="JG23" s="80" t="s">
        <v>205</v>
      </c>
      <c r="JH23" s="80" t="s">
        <v>216</v>
      </c>
      <c r="JI23" s="80" t="s">
        <v>216</v>
      </c>
      <c r="JJ23" s="56" t="s">
        <v>2</v>
      </c>
      <c r="JK23" s="56" t="s">
        <v>2</v>
      </c>
      <c r="JL23" s="80" t="s">
        <v>205</v>
      </c>
      <c r="JM23" s="80" t="s">
        <v>205</v>
      </c>
      <c r="JN23" s="80" t="s">
        <v>216</v>
      </c>
      <c r="JO23" s="147" t="s">
        <v>203</v>
      </c>
      <c r="JP23" s="82" t="s">
        <v>203</v>
      </c>
      <c r="JQ23" s="82" t="s">
        <v>203</v>
      </c>
      <c r="JR23" s="82" t="s">
        <v>203</v>
      </c>
      <c r="JS23" s="82" t="s">
        <v>203</v>
      </c>
      <c r="JT23" s="56" t="s">
        <v>2</v>
      </c>
      <c r="JU23" s="56" t="s">
        <v>2</v>
      </c>
    </row>
    <row r="24" spans="1:351" ht="13" hidden="1">
      <c r="M24" s="495"/>
      <c r="O24" s="48" t="s">
        <v>166</v>
      </c>
      <c r="P24" s="548"/>
      <c r="Q24" s="539"/>
      <c r="R24" s="539"/>
      <c r="S24" s="539"/>
      <c r="T24" s="539"/>
      <c r="U24" s="539"/>
      <c r="V24" s="549"/>
      <c r="W24" s="149" t="s">
        <v>200</v>
      </c>
      <c r="X24" s="149" t="s">
        <v>200</v>
      </c>
      <c r="Y24" s="149" t="s">
        <v>200</v>
      </c>
      <c r="Z24" s="126" t="s">
        <v>127</v>
      </c>
      <c r="AA24" s="126" t="s">
        <v>127</v>
      </c>
      <c r="AB24" s="149" t="s">
        <v>201</v>
      </c>
      <c r="AC24" s="150" t="s">
        <v>199</v>
      </c>
      <c r="AD24" s="145" t="s">
        <v>205</v>
      </c>
      <c r="AE24" s="151" t="s">
        <v>203</v>
      </c>
      <c r="AF24" s="128" t="s">
        <v>199</v>
      </c>
      <c r="AG24" s="128" t="s">
        <v>199</v>
      </c>
      <c r="AH24" s="128" t="s">
        <v>199</v>
      </c>
      <c r="AI24" s="129" t="s">
        <v>127</v>
      </c>
      <c r="AJ24" s="129"/>
      <c r="AK24" s="151" t="s">
        <v>203</v>
      </c>
      <c r="AL24" s="129" t="s">
        <v>127</v>
      </c>
      <c r="AM24" s="151" t="s">
        <v>196</v>
      </c>
      <c r="AN24" s="128" t="s">
        <v>198</v>
      </c>
      <c r="AO24" s="145" t="s">
        <v>204</v>
      </c>
      <c r="AP24" s="129" t="s">
        <v>127</v>
      </c>
      <c r="AQ24" s="145"/>
      <c r="AR24" s="98" t="s">
        <v>200</v>
      </c>
      <c r="AS24" s="98" t="s">
        <v>200</v>
      </c>
      <c r="AT24" s="128" t="s">
        <v>199</v>
      </c>
      <c r="AU24" s="98" t="s">
        <v>201</v>
      </c>
      <c r="AV24" s="98" t="s">
        <v>200</v>
      </c>
      <c r="AW24" s="129" t="s">
        <v>127</v>
      </c>
      <c r="AX24" s="129"/>
      <c r="AY24" s="132" t="s">
        <v>205</v>
      </c>
      <c r="AZ24" s="129" t="s">
        <v>127</v>
      </c>
      <c r="BA24" s="154" t="s">
        <v>198</v>
      </c>
      <c r="BB24" s="132" t="s">
        <v>205</v>
      </c>
      <c r="BC24" s="129" t="s">
        <v>127</v>
      </c>
      <c r="BD24" s="132" t="s">
        <v>205</v>
      </c>
      <c r="BE24" s="88"/>
      <c r="BF24" s="72" t="s">
        <v>127</v>
      </c>
      <c r="BG24" s="72" t="s">
        <v>127</v>
      </c>
      <c r="BH24" s="87" t="s">
        <v>205</v>
      </c>
      <c r="BI24" s="87" t="s">
        <v>204</v>
      </c>
      <c r="BJ24" s="87" t="s">
        <v>205</v>
      </c>
      <c r="BK24" s="87" t="s">
        <v>205</v>
      </c>
      <c r="BL24" s="87"/>
      <c r="BM24" s="72" t="s">
        <v>127</v>
      </c>
      <c r="BN24" s="114" t="s">
        <v>196</v>
      </c>
      <c r="BO24" s="134" t="s">
        <v>199</v>
      </c>
      <c r="BP24" s="134" t="s">
        <v>198</v>
      </c>
      <c r="BQ24" s="72" t="s">
        <v>127</v>
      </c>
      <c r="BR24" s="114" t="s">
        <v>196</v>
      </c>
      <c r="BS24" s="88" t="s">
        <v>214</v>
      </c>
      <c r="BT24" s="131" t="s">
        <v>196</v>
      </c>
      <c r="BU24" s="131" t="s">
        <v>196</v>
      </c>
      <c r="BV24" s="131" t="s">
        <v>196</v>
      </c>
      <c r="BW24" s="114" t="s">
        <v>196</v>
      </c>
      <c r="BX24" s="131" t="s">
        <v>196</v>
      </c>
      <c r="BY24" s="72" t="s">
        <v>127</v>
      </c>
      <c r="BZ24" s="72" t="s">
        <v>127</v>
      </c>
      <c r="CA24" s="136" t="s">
        <v>127</v>
      </c>
      <c r="CB24" s="136" t="s">
        <v>127</v>
      </c>
      <c r="CC24" s="150" t="s">
        <v>198</v>
      </c>
      <c r="CD24" s="150" t="s">
        <v>198</v>
      </c>
      <c r="CE24" s="150" t="s">
        <v>200</v>
      </c>
      <c r="CF24" s="150" t="s">
        <v>200</v>
      </c>
      <c r="CG24" s="150"/>
      <c r="CH24" s="72" t="s">
        <v>127</v>
      </c>
      <c r="CI24" s="72" t="s">
        <v>127</v>
      </c>
      <c r="CJ24" s="99" t="s">
        <v>199</v>
      </c>
      <c r="CK24" s="131" t="s">
        <v>203</v>
      </c>
      <c r="CL24" s="87" t="s">
        <v>206</v>
      </c>
      <c r="CM24" s="87" t="s">
        <v>204</v>
      </c>
      <c r="CN24" s="87"/>
      <c r="CO24" s="72" t="s">
        <v>127</v>
      </c>
      <c r="CP24" s="72" t="s">
        <v>127</v>
      </c>
      <c r="CQ24" s="98" t="s">
        <v>200</v>
      </c>
      <c r="CR24" s="98" t="s">
        <v>198</v>
      </c>
      <c r="CS24" s="98" t="s">
        <v>200</v>
      </c>
      <c r="CT24" s="98" t="s">
        <v>198</v>
      </c>
      <c r="CU24" s="99"/>
      <c r="CV24" s="72" t="s">
        <v>127</v>
      </c>
      <c r="CW24" s="87" t="s">
        <v>204</v>
      </c>
      <c r="CX24" s="87" t="s">
        <v>204</v>
      </c>
      <c r="CY24" s="87" t="s">
        <v>204</v>
      </c>
      <c r="CZ24" s="87" t="s">
        <v>204</v>
      </c>
      <c r="DA24" s="87" t="s">
        <v>204</v>
      </c>
      <c r="DB24" s="72"/>
      <c r="DC24" s="131" t="s">
        <v>203</v>
      </c>
      <c r="DD24" s="131" t="s">
        <v>202</v>
      </c>
      <c r="DE24" s="72" t="s">
        <v>127</v>
      </c>
      <c r="DF24" s="98" t="s">
        <v>198</v>
      </c>
      <c r="DG24" s="87" t="s">
        <v>204</v>
      </c>
      <c r="DH24" s="87" t="s">
        <v>206</v>
      </c>
      <c r="DI24" s="72"/>
      <c r="DJ24" s="87" t="s">
        <v>206</v>
      </c>
      <c r="DK24" s="87" t="s">
        <v>204</v>
      </c>
      <c r="DL24" s="87" t="s">
        <v>204</v>
      </c>
      <c r="DM24" s="87" t="s">
        <v>206</v>
      </c>
      <c r="DN24" s="87" t="s">
        <v>204</v>
      </c>
      <c r="DO24" s="72" t="s">
        <v>127</v>
      </c>
      <c r="DP24" s="72" t="s">
        <v>127</v>
      </c>
      <c r="DQ24" s="72" t="s">
        <v>127</v>
      </c>
      <c r="DR24" s="72" t="s">
        <v>127</v>
      </c>
      <c r="DS24" s="99" t="s">
        <v>202</v>
      </c>
      <c r="DT24" s="99" t="s">
        <v>199</v>
      </c>
      <c r="DU24" s="99" t="s">
        <v>199</v>
      </c>
      <c r="DV24" s="99" t="s">
        <v>199</v>
      </c>
      <c r="DW24" s="99"/>
      <c r="DX24" s="72" t="s">
        <v>127</v>
      </c>
      <c r="DY24" s="72" t="s">
        <v>127</v>
      </c>
      <c r="DZ24" s="87" t="s">
        <v>206</v>
      </c>
      <c r="EA24" s="87" t="s">
        <v>204</v>
      </c>
      <c r="EB24" s="87" t="s">
        <v>206</v>
      </c>
      <c r="EC24" s="87" t="s">
        <v>204</v>
      </c>
      <c r="ED24" s="88" t="s">
        <v>214</v>
      </c>
      <c r="EE24" s="72" t="s">
        <v>127</v>
      </c>
      <c r="EF24" s="99" t="s">
        <v>199</v>
      </c>
      <c r="EG24" s="99" t="s">
        <v>199</v>
      </c>
      <c r="EH24" s="72" t="s">
        <v>127</v>
      </c>
      <c r="EI24" s="99" t="s">
        <v>199</v>
      </c>
      <c r="EJ24" s="99" t="s">
        <v>199</v>
      </c>
      <c r="EK24" s="88" t="s">
        <v>214</v>
      </c>
      <c r="EL24" s="72" t="s">
        <v>127</v>
      </c>
      <c r="EM24" s="72" t="s">
        <v>127</v>
      </c>
      <c r="EN24" s="131" t="s">
        <v>203</v>
      </c>
      <c r="EO24" s="99" t="s">
        <v>203</v>
      </c>
      <c r="EP24" s="131" t="s">
        <v>203</v>
      </c>
      <c r="EQ24" s="131" t="s">
        <v>203</v>
      </c>
      <c r="ER24" s="87" t="s">
        <v>205</v>
      </c>
      <c r="ES24" s="87" t="s">
        <v>204</v>
      </c>
      <c r="ET24" s="72" t="s">
        <v>127</v>
      </c>
      <c r="EU24" s="87" t="s">
        <v>207</v>
      </c>
      <c r="EV24" s="87" t="s">
        <v>204</v>
      </c>
      <c r="EW24" s="87" t="s">
        <v>204</v>
      </c>
      <c r="EX24" s="87" t="s">
        <v>206</v>
      </c>
      <c r="EY24" s="72" t="s">
        <v>127</v>
      </c>
      <c r="EZ24" s="99" t="s">
        <v>202</v>
      </c>
      <c r="FA24" s="99" t="s">
        <v>199</v>
      </c>
      <c r="FB24" s="99" t="s">
        <v>198</v>
      </c>
      <c r="FC24" s="99" t="s">
        <v>199</v>
      </c>
      <c r="FD24" s="99" t="s">
        <v>199</v>
      </c>
      <c r="FE24" s="72" t="s">
        <v>127</v>
      </c>
      <c r="FF24" s="72" t="s">
        <v>127</v>
      </c>
      <c r="FG24" s="87"/>
      <c r="FH24" s="87"/>
      <c r="FI24" s="87" t="s">
        <v>223</v>
      </c>
      <c r="FJ24" s="87" t="s">
        <v>223</v>
      </c>
      <c r="FK24" s="113" t="s">
        <v>2</v>
      </c>
      <c r="FL24" s="113" t="s">
        <v>2</v>
      </c>
      <c r="FM24" s="99" t="s">
        <v>224</v>
      </c>
      <c r="FN24" s="99" t="s">
        <v>222</v>
      </c>
      <c r="FO24" s="87" t="s">
        <v>204</v>
      </c>
      <c r="FP24" s="87" t="s">
        <v>204</v>
      </c>
      <c r="FQ24" s="87" t="s">
        <v>206</v>
      </c>
      <c r="FR24" s="87" t="s">
        <v>206</v>
      </c>
      <c r="FS24" s="72" t="s">
        <v>127</v>
      </c>
      <c r="FT24" s="113"/>
      <c r="FU24" s="154" t="s">
        <v>198</v>
      </c>
      <c r="FV24" s="71" t="s">
        <v>203</v>
      </c>
      <c r="FW24" s="71" t="s">
        <v>203</v>
      </c>
      <c r="FX24" s="71" t="s">
        <v>203</v>
      </c>
      <c r="FY24" s="113" t="s">
        <v>127</v>
      </c>
      <c r="FZ24" s="113" t="s">
        <v>127</v>
      </c>
      <c r="GA24" s="138"/>
      <c r="GB24" s="116" t="s">
        <v>206</v>
      </c>
      <c r="GC24" s="113" t="s">
        <v>127</v>
      </c>
      <c r="GD24" s="113" t="s">
        <v>127</v>
      </c>
      <c r="GE24" s="138" t="s">
        <v>199</v>
      </c>
      <c r="GF24" s="138" t="s">
        <v>199</v>
      </c>
      <c r="GG24" s="138" t="s">
        <v>199</v>
      </c>
      <c r="GH24" s="88"/>
      <c r="GI24" s="56" t="s">
        <v>2</v>
      </c>
      <c r="GJ24" s="128" t="s">
        <v>224</v>
      </c>
      <c r="GK24" s="128" t="s">
        <v>222</v>
      </c>
      <c r="GL24" s="548"/>
      <c r="GM24" s="539"/>
      <c r="GN24" s="539"/>
      <c r="GO24" s="549"/>
      <c r="GP24" s="548"/>
      <c r="GQ24" s="539"/>
      <c r="GR24" s="539"/>
      <c r="GS24" s="539"/>
      <c r="GT24" s="539"/>
      <c r="GU24" s="539"/>
      <c r="GV24" s="549"/>
      <c r="GW24" s="548"/>
      <c r="GX24" s="539"/>
      <c r="GY24" s="539"/>
      <c r="GZ24" s="539"/>
      <c r="HA24" s="539"/>
      <c r="HB24" s="539"/>
      <c r="HC24" s="549"/>
      <c r="HD24" s="548"/>
      <c r="HE24" s="539"/>
      <c r="HF24" s="539"/>
      <c r="HG24" s="539"/>
      <c r="HH24" s="539"/>
      <c r="HI24" s="539"/>
      <c r="HJ24" s="549"/>
      <c r="HK24" s="548"/>
      <c r="HL24" s="539"/>
      <c r="HM24" s="539"/>
      <c r="HN24" s="539"/>
      <c r="HO24" s="539"/>
      <c r="HP24" s="539"/>
      <c r="HQ24" s="549"/>
      <c r="HR24" s="61" t="s">
        <v>203</v>
      </c>
      <c r="HS24" s="58" t="s">
        <v>127</v>
      </c>
      <c r="HT24" s="82" t="s">
        <v>196</v>
      </c>
      <c r="HU24" s="82" t="s">
        <v>204</v>
      </c>
      <c r="HV24" s="81" t="s">
        <v>205</v>
      </c>
      <c r="HW24" s="80" t="s">
        <v>204</v>
      </c>
      <c r="HX24" s="142"/>
      <c r="HY24" s="102" t="s">
        <v>27</v>
      </c>
      <c r="HZ24" s="102" t="s">
        <v>27</v>
      </c>
      <c r="IA24" s="102" t="s">
        <v>27</v>
      </c>
      <c r="IB24" s="102" t="s">
        <v>27</v>
      </c>
      <c r="IC24" s="102" t="s">
        <v>27</v>
      </c>
      <c r="ID24" s="61" t="s">
        <v>127</v>
      </c>
      <c r="IE24" s="61" t="s">
        <v>127</v>
      </c>
      <c r="IF24" s="65" t="s">
        <v>199</v>
      </c>
      <c r="IG24" s="65" t="s">
        <v>199</v>
      </c>
      <c r="IH24" s="65" t="s">
        <v>199</v>
      </c>
      <c r="II24" s="65" t="s">
        <v>199</v>
      </c>
      <c r="IJ24" s="65" t="s">
        <v>199</v>
      </c>
      <c r="IK24" s="61" t="s">
        <v>2</v>
      </c>
      <c r="IL24" s="61" t="s">
        <v>2</v>
      </c>
      <c r="IM24" s="55" t="s">
        <v>201</v>
      </c>
      <c r="IN24" s="55" t="s">
        <v>201</v>
      </c>
      <c r="IO24" s="55" t="s">
        <v>200</v>
      </c>
      <c r="IP24" s="55" t="s">
        <v>200</v>
      </c>
      <c r="IQ24" s="55" t="s">
        <v>200</v>
      </c>
      <c r="IR24" s="61" t="s">
        <v>2</v>
      </c>
      <c r="IS24" s="61" t="s">
        <v>2</v>
      </c>
      <c r="IT24" s="54" t="s">
        <v>199</v>
      </c>
      <c r="IU24" s="54" t="s">
        <v>199</v>
      </c>
      <c r="IV24" s="54" t="s">
        <v>199</v>
      </c>
      <c r="IW24" s="54" t="s">
        <v>199</v>
      </c>
      <c r="IX24" s="54" t="s">
        <v>199</v>
      </c>
      <c r="IY24" s="56" t="s">
        <v>2</v>
      </c>
      <c r="IZ24" s="56" t="s">
        <v>2</v>
      </c>
      <c r="JA24" s="54" t="s">
        <v>199</v>
      </c>
      <c r="JB24" s="54" t="s">
        <v>198</v>
      </c>
      <c r="JC24" s="80" t="s">
        <v>216</v>
      </c>
      <c r="JD24" s="56" t="s">
        <v>2</v>
      </c>
      <c r="JE24" s="56" t="s">
        <v>2</v>
      </c>
      <c r="JF24" s="82" t="s">
        <v>203</v>
      </c>
      <c r="JG24" s="54" t="s">
        <v>199</v>
      </c>
      <c r="JH24" s="56" t="s">
        <v>2</v>
      </c>
      <c r="JI24" s="55" t="s">
        <v>201</v>
      </c>
      <c r="JJ24" s="55" t="s">
        <v>200</v>
      </c>
      <c r="JK24" s="55" t="s">
        <v>200</v>
      </c>
      <c r="JL24" s="55" t="s">
        <v>200</v>
      </c>
      <c r="JM24" s="55" t="s">
        <v>201</v>
      </c>
      <c r="JN24" s="56" t="s">
        <v>2</v>
      </c>
      <c r="JO24" s="55" t="s">
        <v>201</v>
      </c>
      <c r="JP24" s="55" t="s">
        <v>200</v>
      </c>
      <c r="JQ24" s="55" t="s">
        <v>201</v>
      </c>
      <c r="JR24" s="55" t="s">
        <v>200</v>
      </c>
      <c r="JS24" s="55" t="s">
        <v>201</v>
      </c>
      <c r="JT24" s="56" t="s">
        <v>2</v>
      </c>
      <c r="JU24" s="56" t="s">
        <v>2</v>
      </c>
    </row>
    <row r="25" spans="1:351" ht="13" hidden="1">
      <c r="M25" s="495"/>
      <c r="O25" s="83" t="s">
        <v>170</v>
      </c>
      <c r="P25" s="548"/>
      <c r="Q25" s="539"/>
      <c r="R25" s="539"/>
      <c r="S25" s="539"/>
      <c r="T25" s="539"/>
      <c r="U25" s="539"/>
      <c r="V25" s="549"/>
      <c r="W25" s="143" t="s">
        <v>205</v>
      </c>
      <c r="X25" s="126" t="s">
        <v>127</v>
      </c>
      <c r="Y25" s="126" t="s">
        <v>127</v>
      </c>
      <c r="Z25" s="143" t="s">
        <v>205</v>
      </c>
      <c r="AA25" s="143" t="s">
        <v>205</v>
      </c>
      <c r="AB25" s="143" t="s">
        <v>204</v>
      </c>
      <c r="AC25" s="143" t="s">
        <v>204</v>
      </c>
      <c r="AD25" s="151" t="s">
        <v>203</v>
      </c>
      <c r="AE25" s="129" t="s">
        <v>127</v>
      </c>
      <c r="AF25" s="151" t="s">
        <v>203</v>
      </c>
      <c r="AG25" s="128" t="s">
        <v>198</v>
      </c>
      <c r="AH25" s="128" t="s">
        <v>199</v>
      </c>
      <c r="AI25" s="129" t="s">
        <v>127</v>
      </c>
      <c r="AJ25" s="145"/>
      <c r="AK25" s="145" t="s">
        <v>204</v>
      </c>
      <c r="AL25" s="151" t="s">
        <v>196</v>
      </c>
      <c r="AM25" s="128" t="s">
        <v>198</v>
      </c>
      <c r="AN25" s="128" t="s">
        <v>198</v>
      </c>
      <c r="AO25" s="128" t="s">
        <v>198</v>
      </c>
      <c r="AP25" s="129" t="s">
        <v>127</v>
      </c>
      <c r="AQ25" s="129"/>
      <c r="AR25" s="129" t="s">
        <v>127</v>
      </c>
      <c r="AS25" s="132" t="s">
        <v>205</v>
      </c>
      <c r="AT25" s="132" t="s">
        <v>205</v>
      </c>
      <c r="AU25" s="132" t="s">
        <v>204</v>
      </c>
      <c r="AV25" s="132" t="s">
        <v>204</v>
      </c>
      <c r="AW25" s="129" t="s">
        <v>127</v>
      </c>
      <c r="AX25" s="98"/>
      <c r="AY25" s="131" t="s">
        <v>202</v>
      </c>
      <c r="AZ25" s="131" t="s">
        <v>196</v>
      </c>
      <c r="BA25" s="131" t="s">
        <v>196</v>
      </c>
      <c r="BB25" s="134" t="s">
        <v>198</v>
      </c>
      <c r="BC25" s="134" t="s">
        <v>198</v>
      </c>
      <c r="BD25" s="129" t="s">
        <v>127</v>
      </c>
      <c r="BE25" s="129" t="s">
        <v>127</v>
      </c>
      <c r="BF25" s="134" t="s">
        <v>198</v>
      </c>
      <c r="BG25" s="134" t="s">
        <v>198</v>
      </c>
      <c r="BH25" s="134" t="s">
        <v>199</v>
      </c>
      <c r="BI25" s="98" t="s">
        <v>200</v>
      </c>
      <c r="BJ25" s="72" t="s">
        <v>127</v>
      </c>
      <c r="BK25" s="72" t="s">
        <v>127</v>
      </c>
      <c r="BL25" s="99"/>
      <c r="BM25" s="131" t="s">
        <v>196</v>
      </c>
      <c r="BN25" s="131" t="s">
        <v>203</v>
      </c>
      <c r="BO25" s="131" t="s">
        <v>202</v>
      </c>
      <c r="BP25" s="131" t="s">
        <v>202</v>
      </c>
      <c r="BQ25" s="131" t="s">
        <v>202</v>
      </c>
      <c r="BR25" s="72" t="s">
        <v>127</v>
      </c>
      <c r="BS25" s="72" t="s">
        <v>127</v>
      </c>
      <c r="BT25" s="98" t="s">
        <v>200</v>
      </c>
      <c r="BU25" s="98" t="s">
        <v>200</v>
      </c>
      <c r="BV25" s="72" t="s">
        <v>127</v>
      </c>
      <c r="BW25" s="72" t="s">
        <v>127</v>
      </c>
      <c r="BX25" s="98" t="s">
        <v>200</v>
      </c>
      <c r="BY25" s="98" t="s">
        <v>200</v>
      </c>
      <c r="BZ25" s="99" t="s">
        <v>199</v>
      </c>
      <c r="CA25" s="150" t="s">
        <v>198</v>
      </c>
      <c r="CB25" s="136" t="s">
        <v>127</v>
      </c>
      <c r="CC25" s="136" t="s">
        <v>127</v>
      </c>
      <c r="CD25" s="155" t="s">
        <v>203</v>
      </c>
      <c r="CE25" s="153" t="s">
        <v>198</v>
      </c>
      <c r="CF25" s="150" t="s">
        <v>199</v>
      </c>
      <c r="CG25" s="153"/>
      <c r="CH25" s="98" t="s">
        <v>200</v>
      </c>
      <c r="CI25" s="72" t="s">
        <v>127</v>
      </c>
      <c r="CJ25" s="72" t="s">
        <v>127</v>
      </c>
      <c r="CK25" s="99" t="s">
        <v>202</v>
      </c>
      <c r="CL25" s="99" t="s">
        <v>202</v>
      </c>
      <c r="CM25" s="98" t="s">
        <v>198</v>
      </c>
      <c r="CN25" s="99"/>
      <c r="CO25" s="99" t="s">
        <v>199</v>
      </c>
      <c r="CP25" s="72" t="s">
        <v>127</v>
      </c>
      <c r="CQ25" s="72" t="s">
        <v>127</v>
      </c>
      <c r="CR25" s="87" t="s">
        <v>206</v>
      </c>
      <c r="CS25" s="87" t="s">
        <v>204</v>
      </c>
      <c r="CT25" s="87" t="s">
        <v>204</v>
      </c>
      <c r="CU25" s="88"/>
      <c r="CV25" s="87" t="s">
        <v>204</v>
      </c>
      <c r="CW25" s="137" t="s">
        <v>110</v>
      </c>
      <c r="CX25" s="87" t="s">
        <v>204</v>
      </c>
      <c r="CY25" s="87" t="s">
        <v>204</v>
      </c>
      <c r="CZ25" s="87" t="s">
        <v>206</v>
      </c>
      <c r="DA25" s="72" t="s">
        <v>127</v>
      </c>
      <c r="DB25" s="72"/>
      <c r="DC25" s="98" t="s">
        <v>200</v>
      </c>
      <c r="DD25" s="98" t="s">
        <v>200</v>
      </c>
      <c r="DE25" s="98" t="s">
        <v>200</v>
      </c>
      <c r="DF25" s="98" t="s">
        <v>198</v>
      </c>
      <c r="DG25" s="72" t="s">
        <v>127</v>
      </c>
      <c r="DH25" s="72" t="s">
        <v>127</v>
      </c>
      <c r="DI25" s="99"/>
      <c r="DJ25" s="99" t="s">
        <v>199</v>
      </c>
      <c r="DK25" s="99" t="s">
        <v>199</v>
      </c>
      <c r="DL25" s="114" t="s">
        <v>197</v>
      </c>
      <c r="DM25" s="114" t="s">
        <v>197</v>
      </c>
      <c r="DN25" s="99" t="s">
        <v>199</v>
      </c>
      <c r="DO25" s="72" t="s">
        <v>127</v>
      </c>
      <c r="DP25" s="72" t="s">
        <v>127</v>
      </c>
      <c r="DQ25" s="99" t="s">
        <v>199</v>
      </c>
      <c r="DR25" s="99" t="s">
        <v>198</v>
      </c>
      <c r="DS25" s="98" t="s">
        <v>200</v>
      </c>
      <c r="DT25" s="72" t="s">
        <v>127</v>
      </c>
      <c r="DU25" s="72" t="s">
        <v>127</v>
      </c>
      <c r="DV25" s="98" t="s">
        <v>200</v>
      </c>
      <c r="DW25" s="88" t="s">
        <v>214</v>
      </c>
      <c r="DX25" s="87" t="s">
        <v>204</v>
      </c>
      <c r="DY25" s="87" t="s">
        <v>204</v>
      </c>
      <c r="DZ25" s="72" t="s">
        <v>127</v>
      </c>
      <c r="EA25" s="72" t="s">
        <v>127</v>
      </c>
      <c r="EB25" s="99" t="s">
        <v>199</v>
      </c>
      <c r="EC25" s="99" t="s">
        <v>199</v>
      </c>
      <c r="ED25" s="99"/>
      <c r="EE25" s="99" t="s">
        <v>202</v>
      </c>
      <c r="EF25" s="131" t="s">
        <v>203</v>
      </c>
      <c r="EG25" s="72" t="s">
        <v>127</v>
      </c>
      <c r="EH25" s="99" t="s">
        <v>203</v>
      </c>
      <c r="EI25" s="98" t="s">
        <v>200</v>
      </c>
      <c r="EJ25" s="98" t="s">
        <v>198</v>
      </c>
      <c r="EK25" s="72" t="s">
        <v>127</v>
      </c>
      <c r="EL25" s="99" t="s">
        <v>199</v>
      </c>
      <c r="EM25" s="87" t="s">
        <v>206</v>
      </c>
      <c r="EN25" s="87" t="s">
        <v>207</v>
      </c>
      <c r="EO25" s="137" t="s">
        <v>214</v>
      </c>
      <c r="EP25" s="137" t="s">
        <v>215</v>
      </c>
      <c r="EQ25" s="72" t="s">
        <v>127</v>
      </c>
      <c r="ER25" s="72" t="s">
        <v>127</v>
      </c>
      <c r="ES25" s="72" t="s">
        <v>127</v>
      </c>
      <c r="ET25" s="72" t="s">
        <v>127</v>
      </c>
      <c r="EU25" s="71" t="s">
        <v>196</v>
      </c>
      <c r="EV25" s="71" t="s">
        <v>202</v>
      </c>
      <c r="EW25" s="71" t="s">
        <v>196</v>
      </c>
      <c r="EX25" s="71" t="s">
        <v>203</v>
      </c>
      <c r="EY25" s="88" t="s">
        <v>204</v>
      </c>
      <c r="EZ25" s="72" t="s">
        <v>127</v>
      </c>
      <c r="FA25" s="98" t="s">
        <v>200</v>
      </c>
      <c r="FB25" s="98" t="s">
        <v>198</v>
      </c>
      <c r="FC25" s="98" t="s">
        <v>198</v>
      </c>
      <c r="FD25" s="98" t="s">
        <v>200</v>
      </c>
      <c r="FE25" s="98" t="s">
        <v>198</v>
      </c>
      <c r="FF25" s="72" t="s">
        <v>127</v>
      </c>
      <c r="FG25" s="99"/>
      <c r="FH25" s="99"/>
      <c r="FI25" s="99" t="s">
        <v>224</v>
      </c>
      <c r="FJ25" s="99" t="s">
        <v>224</v>
      </c>
      <c r="FK25" s="99" t="s">
        <v>224</v>
      </c>
      <c r="FL25" s="113" t="s">
        <v>2</v>
      </c>
      <c r="FM25" s="113" t="s">
        <v>2</v>
      </c>
      <c r="FN25" s="113" t="s">
        <v>2</v>
      </c>
      <c r="FO25" s="138" t="s">
        <v>202</v>
      </c>
      <c r="FP25" s="138" t="s">
        <v>199</v>
      </c>
      <c r="FQ25" s="138" t="s">
        <v>202</v>
      </c>
      <c r="FR25" s="138" t="s">
        <v>199</v>
      </c>
      <c r="FS25" s="99" t="s">
        <v>199</v>
      </c>
      <c r="FT25" s="113"/>
      <c r="FU25" s="71" t="s">
        <v>203</v>
      </c>
      <c r="FV25" s="71" t="s">
        <v>203</v>
      </c>
      <c r="FW25" s="71" t="s">
        <v>203</v>
      </c>
      <c r="FX25" s="71" t="s">
        <v>203</v>
      </c>
      <c r="FY25" s="71" t="s">
        <v>203</v>
      </c>
      <c r="FZ25" s="113" t="s">
        <v>127</v>
      </c>
      <c r="GA25" s="113"/>
      <c r="GB25" s="139" t="s">
        <v>198</v>
      </c>
      <c r="GC25" s="139" t="s">
        <v>200</v>
      </c>
      <c r="GD25" s="139" t="s">
        <v>198</v>
      </c>
      <c r="GE25" s="113" t="s">
        <v>127</v>
      </c>
      <c r="GF25" s="113" t="s">
        <v>127</v>
      </c>
      <c r="GG25" s="139" t="s">
        <v>198</v>
      </c>
      <c r="GH25" s="138"/>
      <c r="GI25" s="54" t="s">
        <v>225</v>
      </c>
      <c r="GJ25" s="141" t="s">
        <v>213</v>
      </c>
      <c r="GK25" s="141" t="s">
        <v>212</v>
      </c>
      <c r="GL25" s="548"/>
      <c r="GM25" s="539"/>
      <c r="GN25" s="539"/>
      <c r="GO25" s="549"/>
      <c r="GP25" s="548"/>
      <c r="GQ25" s="539"/>
      <c r="GR25" s="539"/>
      <c r="GS25" s="539"/>
      <c r="GT25" s="539"/>
      <c r="GU25" s="539"/>
      <c r="GV25" s="549"/>
      <c r="GW25" s="548"/>
      <c r="GX25" s="539"/>
      <c r="GY25" s="539"/>
      <c r="GZ25" s="539"/>
      <c r="HA25" s="539"/>
      <c r="HB25" s="539"/>
      <c r="HC25" s="549"/>
      <c r="HD25" s="548"/>
      <c r="HE25" s="539"/>
      <c r="HF25" s="539"/>
      <c r="HG25" s="539"/>
      <c r="HH25" s="539"/>
      <c r="HI25" s="539"/>
      <c r="HJ25" s="549"/>
      <c r="HK25" s="548"/>
      <c r="HL25" s="539"/>
      <c r="HM25" s="539"/>
      <c r="HN25" s="539"/>
      <c r="HO25" s="539"/>
      <c r="HP25" s="539"/>
      <c r="HQ25" s="549"/>
      <c r="HR25" s="81" t="s">
        <v>197</v>
      </c>
      <c r="HS25" s="81" t="s">
        <v>197</v>
      </c>
      <c r="HT25" s="81" t="s">
        <v>197</v>
      </c>
      <c r="HU25" s="81" t="s">
        <v>205</v>
      </c>
      <c r="HV25" s="58" t="s">
        <v>196</v>
      </c>
      <c r="HW25" s="61" t="s">
        <v>127</v>
      </c>
      <c r="HX25" s="142"/>
      <c r="HY25" s="65" t="s">
        <v>199</v>
      </c>
      <c r="HZ25" s="65" t="s">
        <v>198</v>
      </c>
      <c r="IA25" s="61" t="s">
        <v>127</v>
      </c>
      <c r="IB25" s="61" t="s">
        <v>127</v>
      </c>
      <c r="IC25" s="65" t="s">
        <v>198</v>
      </c>
      <c r="ID25" s="65" t="s">
        <v>198</v>
      </c>
      <c r="IE25" s="65"/>
      <c r="IF25" s="82" t="s">
        <v>196</v>
      </c>
      <c r="IG25" s="80" t="s">
        <v>205</v>
      </c>
      <c r="IH25" s="61" t="s">
        <v>2</v>
      </c>
      <c r="II25" s="61" t="s">
        <v>2</v>
      </c>
      <c r="IJ25" s="80" t="s">
        <v>205</v>
      </c>
      <c r="IK25" s="80" t="s">
        <v>205</v>
      </c>
      <c r="IL25" s="80"/>
      <c r="IM25" s="58" t="s">
        <v>202</v>
      </c>
      <c r="IN25" s="58" t="s">
        <v>202</v>
      </c>
      <c r="IO25" s="58" t="s">
        <v>202</v>
      </c>
      <c r="IP25" s="58" t="s">
        <v>202</v>
      </c>
      <c r="IQ25" s="58" t="s">
        <v>202</v>
      </c>
      <c r="IR25" s="82" t="s">
        <v>196</v>
      </c>
      <c r="IS25" s="61" t="s">
        <v>2</v>
      </c>
      <c r="IT25" s="58" t="s">
        <v>202</v>
      </c>
      <c r="IU25" s="58" t="s">
        <v>202</v>
      </c>
      <c r="IV25" s="58" t="s">
        <v>202</v>
      </c>
      <c r="IW25" s="58" t="s">
        <v>202</v>
      </c>
      <c r="IX25" s="58" t="s">
        <v>202</v>
      </c>
      <c r="IY25" s="56" t="s">
        <v>2</v>
      </c>
      <c r="IZ25" s="56" t="s">
        <v>2</v>
      </c>
      <c r="JA25" s="58" t="s">
        <v>202</v>
      </c>
      <c r="JB25" s="82" t="s">
        <v>203</v>
      </c>
      <c r="JC25" s="82" t="s">
        <v>203</v>
      </c>
      <c r="JD25" s="56" t="s">
        <v>2</v>
      </c>
      <c r="JE25" s="56" t="s">
        <v>2</v>
      </c>
      <c r="JF25" s="54" t="s">
        <v>198</v>
      </c>
      <c r="JG25" s="54" t="s">
        <v>198</v>
      </c>
      <c r="JH25" s="81" t="s">
        <v>197</v>
      </c>
      <c r="JI25" s="81" t="s">
        <v>196</v>
      </c>
      <c r="JJ25" s="56" t="s">
        <v>2</v>
      </c>
      <c r="JK25" s="82" t="s">
        <v>196</v>
      </c>
      <c r="JL25" s="82" t="s">
        <v>203</v>
      </c>
      <c r="JM25" s="82" t="s">
        <v>196</v>
      </c>
      <c r="JN25" s="56" t="s">
        <v>2</v>
      </c>
      <c r="JO25" s="54" t="s">
        <v>198</v>
      </c>
      <c r="JP25" s="54" t="s">
        <v>198</v>
      </c>
      <c r="JQ25" s="54" t="s">
        <v>201</v>
      </c>
      <c r="JR25" s="54" t="s">
        <v>198</v>
      </c>
      <c r="JS25" s="54" t="s">
        <v>198</v>
      </c>
      <c r="JT25" s="56" t="s">
        <v>2</v>
      </c>
      <c r="JU25" s="56" t="s">
        <v>2</v>
      </c>
    </row>
    <row r="26" spans="1:351" ht="13" hidden="1">
      <c r="M26" s="495"/>
      <c r="O26" s="48" t="s">
        <v>173</v>
      </c>
      <c r="P26" s="548"/>
      <c r="Q26" s="539"/>
      <c r="R26" s="539"/>
      <c r="S26" s="539"/>
      <c r="T26" s="539"/>
      <c r="U26" s="539"/>
      <c r="V26" s="549"/>
      <c r="W26" s="149" t="s">
        <v>200</v>
      </c>
      <c r="X26" s="149" t="s">
        <v>200</v>
      </c>
      <c r="Y26" s="149" t="s">
        <v>200</v>
      </c>
      <c r="Z26" s="149" t="s">
        <v>201</v>
      </c>
      <c r="AA26" s="149" t="s">
        <v>200</v>
      </c>
      <c r="AB26" s="126" t="s">
        <v>127</v>
      </c>
      <c r="AC26" s="126" t="s">
        <v>127</v>
      </c>
      <c r="AD26" s="128" t="s">
        <v>198</v>
      </c>
      <c r="AE26" s="128" t="s">
        <v>198</v>
      </c>
      <c r="AF26" s="129" t="s">
        <v>127</v>
      </c>
      <c r="AG26" s="129" t="s">
        <v>127</v>
      </c>
      <c r="AH26" s="98" t="s">
        <v>198</v>
      </c>
      <c r="AI26" s="98" t="s">
        <v>201</v>
      </c>
      <c r="AJ26" s="130"/>
      <c r="AK26" s="129" t="s">
        <v>127</v>
      </c>
      <c r="AL26" s="145" t="s">
        <v>204</v>
      </c>
      <c r="AM26" s="145" t="s">
        <v>205</v>
      </c>
      <c r="AN26" s="151" t="s">
        <v>202</v>
      </c>
      <c r="AO26" s="151" t="s">
        <v>202</v>
      </c>
      <c r="AP26" s="151" t="s">
        <v>202</v>
      </c>
      <c r="AQ26" s="129"/>
      <c r="AR26" s="128" t="s">
        <v>198</v>
      </c>
      <c r="AS26" s="132" t="s">
        <v>204</v>
      </c>
      <c r="AT26" s="132" t="s">
        <v>204</v>
      </c>
      <c r="AU26" s="131" t="s">
        <v>203</v>
      </c>
      <c r="AV26" s="131" t="s">
        <v>196</v>
      </c>
      <c r="AW26" s="129" t="s">
        <v>127</v>
      </c>
      <c r="AX26" s="129"/>
      <c r="AY26" s="129" t="s">
        <v>127</v>
      </c>
      <c r="AZ26" s="129" t="s">
        <v>127</v>
      </c>
      <c r="BA26" s="134" t="s">
        <v>199</v>
      </c>
      <c r="BB26" s="134" t="s">
        <v>199</v>
      </c>
      <c r="BC26" s="134" t="s">
        <v>198</v>
      </c>
      <c r="BD26" s="132" t="s">
        <v>205</v>
      </c>
      <c r="BE26" s="132"/>
      <c r="BF26" s="72" t="s">
        <v>127</v>
      </c>
      <c r="BG26" s="72" t="s">
        <v>127</v>
      </c>
      <c r="BH26" s="156" t="s">
        <v>216</v>
      </c>
      <c r="BI26" s="156" t="s">
        <v>216</v>
      </c>
      <c r="BJ26" s="156" t="s">
        <v>216</v>
      </c>
      <c r="BK26" s="114" t="s">
        <v>196</v>
      </c>
      <c r="BL26" s="88"/>
      <c r="BM26" s="72" t="s">
        <v>127</v>
      </c>
      <c r="BN26" s="72" t="s">
        <v>127</v>
      </c>
      <c r="BO26" s="87" t="s">
        <v>205</v>
      </c>
      <c r="BP26" s="87" t="s">
        <v>204</v>
      </c>
      <c r="BQ26" s="87" t="s">
        <v>205</v>
      </c>
      <c r="BR26" s="87" t="s">
        <v>204</v>
      </c>
      <c r="BS26" s="87"/>
      <c r="BT26" s="72" t="s">
        <v>127</v>
      </c>
      <c r="BU26" s="72" t="s">
        <v>127</v>
      </c>
      <c r="BV26" s="98" t="s">
        <v>200</v>
      </c>
      <c r="BW26" s="98" t="s">
        <v>200</v>
      </c>
      <c r="BX26" s="98" t="s">
        <v>200</v>
      </c>
      <c r="BY26" s="134" t="s">
        <v>198</v>
      </c>
      <c r="BZ26" s="99" t="s">
        <v>199</v>
      </c>
      <c r="CA26" s="136" t="s">
        <v>127</v>
      </c>
      <c r="CB26" s="150" t="s">
        <v>200</v>
      </c>
      <c r="CC26" s="157" t="s">
        <v>196</v>
      </c>
      <c r="CD26" s="157" t="s">
        <v>197</v>
      </c>
      <c r="CE26" s="157" t="s">
        <v>203</v>
      </c>
      <c r="CF26" s="153" t="s">
        <v>204</v>
      </c>
      <c r="CG26" s="136" t="s">
        <v>127</v>
      </c>
      <c r="CH26" s="131" t="s">
        <v>203</v>
      </c>
      <c r="CI26" s="131" t="s">
        <v>203</v>
      </c>
      <c r="CJ26" s="131" t="s">
        <v>203</v>
      </c>
      <c r="CK26" s="72" t="s">
        <v>127</v>
      </c>
      <c r="CL26" s="131" t="s">
        <v>202</v>
      </c>
      <c r="CM26" s="99" t="s">
        <v>200</v>
      </c>
      <c r="CN26" s="72"/>
      <c r="CO26" s="99" t="s">
        <v>199</v>
      </c>
      <c r="CP26" s="99" t="s">
        <v>199</v>
      </c>
      <c r="CQ26" s="99" t="s">
        <v>199</v>
      </c>
      <c r="CR26" s="99" t="s">
        <v>199</v>
      </c>
      <c r="CS26" s="99" t="s">
        <v>199</v>
      </c>
      <c r="CT26" s="72" t="s">
        <v>127</v>
      </c>
      <c r="CU26" s="72" t="s">
        <v>127</v>
      </c>
      <c r="CV26" s="98" t="s">
        <v>198</v>
      </c>
      <c r="CW26" s="98" t="s">
        <v>198</v>
      </c>
      <c r="CX26" s="98" t="s">
        <v>200</v>
      </c>
      <c r="CY26" s="72" t="s">
        <v>127</v>
      </c>
      <c r="CZ26" s="72" t="s">
        <v>127</v>
      </c>
      <c r="DA26" s="98" t="s">
        <v>200</v>
      </c>
      <c r="DB26" s="88"/>
      <c r="DC26" s="87" t="s">
        <v>204</v>
      </c>
      <c r="DD26" s="87" t="s">
        <v>204</v>
      </c>
      <c r="DE26" s="114" t="s">
        <v>197</v>
      </c>
      <c r="DF26" s="87" t="s">
        <v>204</v>
      </c>
      <c r="DG26" s="131" t="s">
        <v>203</v>
      </c>
      <c r="DH26" s="72" t="s">
        <v>127</v>
      </c>
      <c r="DI26" s="72"/>
      <c r="DJ26" s="72" t="s">
        <v>127</v>
      </c>
      <c r="DK26" s="72" t="s">
        <v>127</v>
      </c>
      <c r="DL26" s="131" t="s">
        <v>203</v>
      </c>
      <c r="DM26" s="131" t="s">
        <v>203</v>
      </c>
      <c r="DN26" s="99" t="s">
        <v>199</v>
      </c>
      <c r="DO26" s="99" t="s">
        <v>199</v>
      </c>
      <c r="DP26" s="99" t="s">
        <v>202</v>
      </c>
      <c r="DQ26" s="98" t="s">
        <v>199</v>
      </c>
      <c r="DR26" s="98" t="s">
        <v>202</v>
      </c>
      <c r="DS26" s="72" t="s">
        <v>127</v>
      </c>
      <c r="DT26" s="98" t="s">
        <v>198</v>
      </c>
      <c r="DU26" s="98" t="s">
        <v>200</v>
      </c>
      <c r="DV26" s="98" t="s">
        <v>198</v>
      </c>
      <c r="DW26" s="72" t="s">
        <v>127</v>
      </c>
      <c r="DX26" s="99" t="s">
        <v>199</v>
      </c>
      <c r="DY26" s="87" t="s">
        <v>206</v>
      </c>
      <c r="DZ26" s="87" t="s">
        <v>204</v>
      </c>
      <c r="EA26" s="87" t="s">
        <v>204</v>
      </c>
      <c r="EB26" s="87" t="s">
        <v>206</v>
      </c>
      <c r="EC26" s="72" t="s">
        <v>127</v>
      </c>
      <c r="ED26" s="72" t="s">
        <v>127</v>
      </c>
      <c r="EE26" s="114" t="s">
        <v>197</v>
      </c>
      <c r="EF26" s="114" t="s">
        <v>197</v>
      </c>
      <c r="EG26" s="114" t="s">
        <v>197</v>
      </c>
      <c r="EH26" s="72" t="s">
        <v>127</v>
      </c>
      <c r="EI26" s="72" t="s">
        <v>203</v>
      </c>
      <c r="EJ26" s="114" t="s">
        <v>197</v>
      </c>
      <c r="EK26" s="87" t="s">
        <v>216</v>
      </c>
      <c r="EL26" s="72" t="s">
        <v>127</v>
      </c>
      <c r="EM26" s="99" t="s">
        <v>199</v>
      </c>
      <c r="EN26" s="99" t="s">
        <v>199</v>
      </c>
      <c r="EO26" s="72" t="s">
        <v>127</v>
      </c>
      <c r="EP26" s="99" t="s">
        <v>199</v>
      </c>
      <c r="EQ26" s="99" t="s">
        <v>199</v>
      </c>
      <c r="ER26" s="99" t="s">
        <v>202</v>
      </c>
      <c r="ES26" s="71" t="s">
        <v>203</v>
      </c>
      <c r="ET26" s="71" t="s">
        <v>203</v>
      </c>
      <c r="EU26" s="72" t="s">
        <v>127</v>
      </c>
      <c r="EV26" s="71" t="s">
        <v>203</v>
      </c>
      <c r="EW26" s="71" t="s">
        <v>202</v>
      </c>
      <c r="EX26" s="114" t="s">
        <v>197</v>
      </c>
      <c r="EY26" s="72" t="s">
        <v>127</v>
      </c>
      <c r="EZ26" s="99" t="s">
        <v>199</v>
      </c>
      <c r="FA26" s="99" t="s">
        <v>199</v>
      </c>
      <c r="FB26" s="99" t="s">
        <v>199</v>
      </c>
      <c r="FC26" s="99" t="s">
        <v>199</v>
      </c>
      <c r="FD26" s="99" t="s">
        <v>199</v>
      </c>
      <c r="FE26" s="72" t="s">
        <v>127</v>
      </c>
      <c r="FF26" s="72" t="s">
        <v>127</v>
      </c>
      <c r="FG26" s="113"/>
      <c r="FH26" s="113"/>
      <c r="FI26" s="87" t="s">
        <v>221</v>
      </c>
      <c r="FJ26" s="87" t="s">
        <v>221</v>
      </c>
      <c r="FK26" s="87" t="s">
        <v>221</v>
      </c>
      <c r="FL26" s="87" t="s">
        <v>223</v>
      </c>
      <c r="FM26" s="88" t="s">
        <v>214</v>
      </c>
      <c r="FN26" s="113" t="s">
        <v>2</v>
      </c>
      <c r="FO26" s="71" t="s">
        <v>203</v>
      </c>
      <c r="FP26" s="71" t="s">
        <v>203</v>
      </c>
      <c r="FQ26" s="71" t="s">
        <v>203</v>
      </c>
      <c r="FR26" s="71" t="s">
        <v>203</v>
      </c>
      <c r="FS26" s="114" t="s">
        <v>197</v>
      </c>
      <c r="FT26" s="113"/>
      <c r="FU26" s="139" t="s">
        <v>200</v>
      </c>
      <c r="FV26" s="139" t="s">
        <v>200</v>
      </c>
      <c r="FW26" s="139" t="s">
        <v>198</v>
      </c>
      <c r="FX26" s="139" t="s">
        <v>200</v>
      </c>
      <c r="FY26" s="122" t="s">
        <v>197</v>
      </c>
      <c r="FZ26" s="113" t="s">
        <v>127</v>
      </c>
      <c r="GA26" s="113"/>
      <c r="GB26" s="113" t="s">
        <v>127</v>
      </c>
      <c r="GC26" s="116" t="s">
        <v>204</v>
      </c>
      <c r="GD26" s="116" t="s">
        <v>204</v>
      </c>
      <c r="GE26" s="116" t="s">
        <v>206</v>
      </c>
      <c r="GF26" s="116" t="s">
        <v>204</v>
      </c>
      <c r="GG26" s="116" t="s">
        <v>206</v>
      </c>
      <c r="GH26" s="113" t="s">
        <v>127</v>
      </c>
      <c r="GI26" s="56" t="s">
        <v>2</v>
      </c>
      <c r="GJ26" s="158" t="s">
        <v>226</v>
      </c>
      <c r="GK26" s="158" t="s">
        <v>226</v>
      </c>
      <c r="GL26" s="548"/>
      <c r="GM26" s="539"/>
      <c r="GN26" s="539"/>
      <c r="GO26" s="549"/>
      <c r="GP26" s="548"/>
      <c r="GQ26" s="539"/>
      <c r="GR26" s="539"/>
      <c r="GS26" s="539"/>
      <c r="GT26" s="539"/>
      <c r="GU26" s="539"/>
      <c r="GV26" s="549"/>
      <c r="GW26" s="548"/>
      <c r="GX26" s="539"/>
      <c r="GY26" s="539"/>
      <c r="GZ26" s="539"/>
      <c r="HA26" s="539"/>
      <c r="HB26" s="539"/>
      <c r="HC26" s="549"/>
      <c r="HD26" s="548"/>
      <c r="HE26" s="539"/>
      <c r="HF26" s="539"/>
      <c r="HG26" s="539"/>
      <c r="HH26" s="539"/>
      <c r="HI26" s="539"/>
      <c r="HJ26" s="549"/>
      <c r="HK26" s="548"/>
      <c r="HL26" s="539"/>
      <c r="HM26" s="539"/>
      <c r="HN26" s="539"/>
      <c r="HO26" s="539"/>
      <c r="HP26" s="539"/>
      <c r="HQ26" s="549"/>
      <c r="HR26" s="58" t="s">
        <v>203</v>
      </c>
      <c r="HS26" s="61" t="s">
        <v>127</v>
      </c>
      <c r="HT26" s="82" t="s">
        <v>196</v>
      </c>
      <c r="HU26" s="82" t="s">
        <v>197</v>
      </c>
      <c r="HV26" s="61" t="s">
        <v>127</v>
      </c>
      <c r="HW26" s="55" t="s">
        <v>198</v>
      </c>
      <c r="HX26" s="142"/>
      <c r="HY26" s="61" t="s">
        <v>127</v>
      </c>
      <c r="HZ26" s="58" t="s">
        <v>202</v>
      </c>
      <c r="IA26" s="58" t="s">
        <v>202</v>
      </c>
      <c r="IB26" s="58" t="s">
        <v>199</v>
      </c>
      <c r="IC26" s="58" t="s">
        <v>202</v>
      </c>
      <c r="ID26" s="82" t="s">
        <v>196</v>
      </c>
      <c r="IE26" s="61" t="s">
        <v>127</v>
      </c>
      <c r="IF26" s="55" t="s">
        <v>200</v>
      </c>
      <c r="IG26" s="55" t="s">
        <v>201</v>
      </c>
      <c r="IH26" s="55" t="s">
        <v>200</v>
      </c>
      <c r="II26" s="55" t="s">
        <v>200</v>
      </c>
      <c r="IJ26" s="55" t="s">
        <v>200</v>
      </c>
      <c r="IK26" s="61" t="s">
        <v>2</v>
      </c>
      <c r="IL26" s="61" t="s">
        <v>2</v>
      </c>
      <c r="IM26" s="65" t="s">
        <v>199</v>
      </c>
      <c r="IN26" s="65" t="s">
        <v>199</v>
      </c>
      <c r="IO26" s="65" t="s">
        <v>198</v>
      </c>
      <c r="IP26" s="65" t="s">
        <v>198</v>
      </c>
      <c r="IQ26" s="81" t="s">
        <v>196</v>
      </c>
      <c r="IR26" s="61" t="s">
        <v>2</v>
      </c>
      <c r="IS26" s="61" t="s">
        <v>2</v>
      </c>
      <c r="IT26" s="56" t="s">
        <v>2</v>
      </c>
      <c r="IU26" s="58" t="s">
        <v>202</v>
      </c>
      <c r="IV26" s="58" t="s">
        <v>202</v>
      </c>
      <c r="IW26" s="58" t="s">
        <v>202</v>
      </c>
      <c r="IX26" s="82" t="s">
        <v>203</v>
      </c>
      <c r="IY26" s="80" t="s">
        <v>205</v>
      </c>
      <c r="IZ26" s="56" t="s">
        <v>2</v>
      </c>
      <c r="JA26" s="81" t="s">
        <v>196</v>
      </c>
      <c r="JB26" s="81" t="s">
        <v>196</v>
      </c>
      <c r="JC26" s="81" t="s">
        <v>197</v>
      </c>
      <c r="JD26" s="81" t="s">
        <v>197</v>
      </c>
      <c r="JE26" s="56" t="s">
        <v>130</v>
      </c>
      <c r="JF26" s="56" t="s">
        <v>2</v>
      </c>
      <c r="JG26" s="56" t="s">
        <v>2</v>
      </c>
      <c r="JH26" s="54" t="s">
        <v>199</v>
      </c>
      <c r="JI26" s="54" t="s">
        <v>198</v>
      </c>
      <c r="JJ26" s="56" t="s">
        <v>2</v>
      </c>
      <c r="JK26" s="56" t="s">
        <v>2</v>
      </c>
      <c r="JL26" s="81" t="s">
        <v>196</v>
      </c>
      <c r="JM26" s="82" t="s">
        <v>203</v>
      </c>
      <c r="JN26" s="54" t="s">
        <v>200</v>
      </c>
      <c r="JO26" s="54" t="s">
        <v>199</v>
      </c>
      <c r="JP26" s="56" t="s">
        <v>2</v>
      </c>
      <c r="JQ26" s="80" t="s">
        <v>205</v>
      </c>
      <c r="JR26" s="56" t="s">
        <v>2</v>
      </c>
      <c r="JS26" s="80" t="s">
        <v>205</v>
      </c>
      <c r="JT26" s="80" t="s">
        <v>205</v>
      </c>
      <c r="JU26" s="80" t="s">
        <v>205</v>
      </c>
    </row>
    <row r="27" spans="1:351" ht="13" hidden="1">
      <c r="M27" s="495"/>
      <c r="O27" s="83" t="s">
        <v>176</v>
      </c>
      <c r="P27" s="548"/>
      <c r="Q27" s="539"/>
      <c r="R27" s="539"/>
      <c r="S27" s="539"/>
      <c r="T27" s="539"/>
      <c r="U27" s="539"/>
      <c r="V27" s="549"/>
      <c r="W27" s="159" t="s">
        <v>198</v>
      </c>
      <c r="X27" s="159" t="s">
        <v>198</v>
      </c>
      <c r="Y27" s="159" t="s">
        <v>198</v>
      </c>
      <c r="Z27" s="159" t="s">
        <v>198</v>
      </c>
      <c r="AA27" s="126" t="s">
        <v>127</v>
      </c>
      <c r="AB27" s="126" t="s">
        <v>127</v>
      </c>
      <c r="AC27" s="144" t="s">
        <v>216</v>
      </c>
      <c r="AD27" s="151" t="s">
        <v>196</v>
      </c>
      <c r="AE27" s="151" t="s">
        <v>196</v>
      </c>
      <c r="AF27" s="151" t="s">
        <v>196</v>
      </c>
      <c r="AG27" s="151" t="s">
        <v>196</v>
      </c>
      <c r="AH27" s="129" t="s">
        <v>127</v>
      </c>
      <c r="AI27" s="151" t="s">
        <v>202</v>
      </c>
      <c r="AJ27" s="129"/>
      <c r="AK27" s="160" t="s">
        <v>196</v>
      </c>
      <c r="AL27" s="160" t="s">
        <v>196</v>
      </c>
      <c r="AM27" s="160" t="s">
        <v>197</v>
      </c>
      <c r="AN27" s="160" t="s">
        <v>196</v>
      </c>
      <c r="AO27" s="160" t="s">
        <v>202</v>
      </c>
      <c r="AP27" s="129" t="s">
        <v>127</v>
      </c>
      <c r="AQ27" s="129"/>
      <c r="AR27" s="129" t="s">
        <v>127</v>
      </c>
      <c r="AS27" s="128" t="s">
        <v>199</v>
      </c>
      <c r="AT27" s="128" t="s">
        <v>202</v>
      </c>
      <c r="AU27" s="128" t="s">
        <v>198</v>
      </c>
      <c r="AV27" s="129" t="s">
        <v>127</v>
      </c>
      <c r="AW27" s="131" t="s">
        <v>202</v>
      </c>
      <c r="AX27" s="88"/>
      <c r="AY27" s="132" t="s">
        <v>204</v>
      </c>
      <c r="AZ27" s="132" t="s">
        <v>205</v>
      </c>
      <c r="BA27" s="132" t="s">
        <v>205</v>
      </c>
      <c r="BB27" s="132" t="s">
        <v>205</v>
      </c>
      <c r="BC27" s="132" t="s">
        <v>205</v>
      </c>
      <c r="BD27" s="129" t="s">
        <v>127</v>
      </c>
      <c r="BE27" s="129" t="s">
        <v>127</v>
      </c>
      <c r="BF27" s="98" t="s">
        <v>200</v>
      </c>
      <c r="BG27" s="98" t="s">
        <v>200</v>
      </c>
      <c r="BH27" s="98" t="s">
        <v>200</v>
      </c>
      <c r="BI27" s="98" t="s">
        <v>200</v>
      </c>
      <c r="BJ27" s="72" t="s">
        <v>127</v>
      </c>
      <c r="BK27" s="98" t="s">
        <v>200</v>
      </c>
      <c r="BL27" s="72" t="s">
        <v>127</v>
      </c>
      <c r="BM27" s="134" t="s">
        <v>198</v>
      </c>
      <c r="BN27" s="134" t="s">
        <v>198</v>
      </c>
      <c r="BO27" s="98" t="s">
        <v>200</v>
      </c>
      <c r="BP27" s="98" t="s">
        <v>200</v>
      </c>
      <c r="BQ27" s="72" t="s">
        <v>127</v>
      </c>
      <c r="BR27" s="72" t="s">
        <v>127</v>
      </c>
      <c r="BS27" s="99"/>
      <c r="BT27" s="131" t="s">
        <v>196</v>
      </c>
      <c r="BU27" s="131" t="s">
        <v>196</v>
      </c>
      <c r="BV27" s="131" t="s">
        <v>203</v>
      </c>
      <c r="BW27" s="72" t="s">
        <v>127</v>
      </c>
      <c r="BX27" s="72" t="s">
        <v>127</v>
      </c>
      <c r="BY27" s="87" t="s">
        <v>205</v>
      </c>
      <c r="BZ27" s="87" t="s">
        <v>205</v>
      </c>
      <c r="CA27" s="155" t="s">
        <v>202</v>
      </c>
      <c r="CB27" s="155" t="s">
        <v>203</v>
      </c>
      <c r="CC27" s="155" t="s">
        <v>203</v>
      </c>
      <c r="CD27" s="155" t="s">
        <v>203</v>
      </c>
      <c r="CE27" s="155" t="s">
        <v>202</v>
      </c>
      <c r="CF27" s="136" t="s">
        <v>127</v>
      </c>
      <c r="CG27" s="136" t="s">
        <v>127</v>
      </c>
      <c r="CH27" s="98" t="s">
        <v>200</v>
      </c>
      <c r="CI27" s="98" t="s">
        <v>198</v>
      </c>
      <c r="CJ27" s="98" t="s">
        <v>200</v>
      </c>
      <c r="CK27" s="98" t="s">
        <v>200</v>
      </c>
      <c r="CL27" s="72" t="s">
        <v>127</v>
      </c>
      <c r="CM27" s="98" t="s">
        <v>198</v>
      </c>
      <c r="CN27" s="72"/>
      <c r="CO27" s="87" t="s">
        <v>204</v>
      </c>
      <c r="CP27" s="87" t="s">
        <v>204</v>
      </c>
      <c r="CQ27" s="87" t="s">
        <v>204</v>
      </c>
      <c r="CR27" s="131" t="s">
        <v>203</v>
      </c>
      <c r="CS27" s="131" t="s">
        <v>202</v>
      </c>
      <c r="CT27" s="72" t="s">
        <v>127</v>
      </c>
      <c r="CU27" s="72" t="s">
        <v>127</v>
      </c>
      <c r="CV27" s="99" t="s">
        <v>199</v>
      </c>
      <c r="CW27" s="99" t="s">
        <v>199</v>
      </c>
      <c r="CX27" s="72" t="s">
        <v>127</v>
      </c>
      <c r="CY27" s="72" t="s">
        <v>127</v>
      </c>
      <c r="CZ27" s="99" t="s">
        <v>202</v>
      </c>
      <c r="DA27" s="99" t="s">
        <v>199</v>
      </c>
      <c r="DB27" s="99"/>
      <c r="DC27" s="99" t="s">
        <v>199</v>
      </c>
      <c r="DD27" s="99" t="s">
        <v>199</v>
      </c>
      <c r="DE27" s="99" t="s">
        <v>199</v>
      </c>
      <c r="DF27" s="99" t="s">
        <v>202</v>
      </c>
      <c r="DG27" s="99" t="s">
        <v>199</v>
      </c>
      <c r="DH27" s="72" t="s">
        <v>127</v>
      </c>
      <c r="DI27" s="72"/>
      <c r="DJ27" s="99" t="s">
        <v>202</v>
      </c>
      <c r="DK27" s="87" t="s">
        <v>204</v>
      </c>
      <c r="DL27" s="72" t="s">
        <v>127</v>
      </c>
      <c r="DM27" s="72" t="s">
        <v>127</v>
      </c>
      <c r="DN27" s="131" t="s">
        <v>203</v>
      </c>
      <c r="DO27" s="122" t="s">
        <v>197</v>
      </c>
      <c r="DP27" s="88" t="s">
        <v>205</v>
      </c>
      <c r="DQ27" s="72" t="s">
        <v>127</v>
      </c>
      <c r="DR27" s="87" t="s">
        <v>204</v>
      </c>
      <c r="DS27" s="87" t="s">
        <v>204</v>
      </c>
      <c r="DT27" s="87" t="s">
        <v>204</v>
      </c>
      <c r="DU27" s="87" t="s">
        <v>204</v>
      </c>
      <c r="DV27" s="87" t="s">
        <v>206</v>
      </c>
      <c r="DW27" s="72" t="s">
        <v>127</v>
      </c>
      <c r="DX27" s="98" t="s">
        <v>198</v>
      </c>
      <c r="DY27" s="98" t="s">
        <v>198</v>
      </c>
      <c r="DZ27" s="98" t="s">
        <v>198</v>
      </c>
      <c r="EA27" s="98" t="s">
        <v>200</v>
      </c>
      <c r="EB27" s="161" t="s">
        <v>200</v>
      </c>
      <c r="EC27" s="72" t="s">
        <v>127</v>
      </c>
      <c r="ED27" s="72" t="s">
        <v>127</v>
      </c>
      <c r="EE27" s="131" t="s">
        <v>203</v>
      </c>
      <c r="EF27" s="131" t="s">
        <v>203</v>
      </c>
      <c r="EG27" s="131" t="s">
        <v>203</v>
      </c>
      <c r="EH27" s="88" t="s">
        <v>214</v>
      </c>
      <c r="EI27" s="131" t="s">
        <v>203</v>
      </c>
      <c r="EJ27" s="72" t="s">
        <v>127</v>
      </c>
      <c r="EK27" s="72" t="s">
        <v>127</v>
      </c>
      <c r="EL27" s="87" t="s">
        <v>207</v>
      </c>
      <c r="EM27" s="87" t="s">
        <v>206</v>
      </c>
      <c r="EN27" s="87" t="s">
        <v>206</v>
      </c>
      <c r="EO27" s="72" t="s">
        <v>205</v>
      </c>
      <c r="EP27" s="87" t="s">
        <v>204</v>
      </c>
      <c r="EQ27" s="87" t="s">
        <v>206</v>
      </c>
      <c r="ER27" s="72" t="s">
        <v>127</v>
      </c>
      <c r="ES27" s="99" t="s">
        <v>202</v>
      </c>
      <c r="ET27" s="99" t="s">
        <v>199</v>
      </c>
      <c r="EU27" s="87" t="s">
        <v>206</v>
      </c>
      <c r="EV27" s="72" t="s">
        <v>127</v>
      </c>
      <c r="EW27" s="72" t="s">
        <v>127</v>
      </c>
      <c r="EX27" s="99" t="s">
        <v>199</v>
      </c>
      <c r="EY27" s="99" t="s">
        <v>203</v>
      </c>
      <c r="EZ27" s="98" t="s">
        <v>198</v>
      </c>
      <c r="FA27" s="113" t="s">
        <v>127</v>
      </c>
      <c r="FB27" s="98" t="s">
        <v>200</v>
      </c>
      <c r="FC27" s="98" t="s">
        <v>198</v>
      </c>
      <c r="FD27" s="114" t="s">
        <v>197</v>
      </c>
      <c r="FE27" s="99" t="s">
        <v>199</v>
      </c>
      <c r="FF27" s="113" t="s">
        <v>127</v>
      </c>
      <c r="FG27" s="71"/>
      <c r="FH27" s="71"/>
      <c r="FI27" s="71" t="s">
        <v>227</v>
      </c>
      <c r="FJ27" s="131" t="s">
        <v>220</v>
      </c>
      <c r="FK27" s="71" t="s">
        <v>220</v>
      </c>
      <c r="FL27" s="113" t="s">
        <v>2</v>
      </c>
      <c r="FM27" s="113" t="s">
        <v>2</v>
      </c>
      <c r="FN27" s="139" t="s">
        <v>228</v>
      </c>
      <c r="FO27" s="139" t="s">
        <v>200</v>
      </c>
      <c r="FP27" s="139" t="s">
        <v>198</v>
      </c>
      <c r="FQ27" s="139" t="s">
        <v>200</v>
      </c>
      <c r="FR27" s="98" t="s">
        <v>198</v>
      </c>
      <c r="FS27" s="72" t="s">
        <v>127</v>
      </c>
      <c r="FT27" s="113"/>
      <c r="FU27" s="116" t="s">
        <v>206</v>
      </c>
      <c r="FV27" s="116" t="s">
        <v>204</v>
      </c>
      <c r="FW27" s="116" t="s">
        <v>204</v>
      </c>
      <c r="FX27" s="113" t="s">
        <v>127</v>
      </c>
      <c r="FY27" s="116" t="s">
        <v>206</v>
      </c>
      <c r="FZ27" s="116" t="s">
        <v>204</v>
      </c>
      <c r="GA27" s="113"/>
      <c r="GB27" s="139" t="s">
        <v>200</v>
      </c>
      <c r="GC27" s="139" t="s">
        <v>198</v>
      </c>
      <c r="GD27" s="139" t="s">
        <v>200</v>
      </c>
      <c r="GE27" s="139" t="s">
        <v>198</v>
      </c>
      <c r="GF27" s="98" t="s">
        <v>200</v>
      </c>
      <c r="GG27" s="113" t="s">
        <v>127</v>
      </c>
      <c r="GH27" s="113" t="s">
        <v>127</v>
      </c>
      <c r="GI27" s="54" t="s">
        <v>229</v>
      </c>
      <c r="GJ27" s="128" t="s">
        <v>227</v>
      </c>
      <c r="GK27" s="129" t="s">
        <v>2</v>
      </c>
      <c r="GL27" s="548"/>
      <c r="GM27" s="539"/>
      <c r="GN27" s="539"/>
      <c r="GO27" s="549"/>
      <c r="GP27" s="548"/>
      <c r="GQ27" s="539"/>
      <c r="GR27" s="539"/>
      <c r="GS27" s="539"/>
      <c r="GT27" s="539"/>
      <c r="GU27" s="539"/>
      <c r="GV27" s="549"/>
      <c r="GW27" s="548"/>
      <c r="GX27" s="539"/>
      <c r="GY27" s="539"/>
      <c r="GZ27" s="539"/>
      <c r="HA27" s="539"/>
      <c r="HB27" s="539"/>
      <c r="HC27" s="549"/>
      <c r="HD27" s="548"/>
      <c r="HE27" s="539"/>
      <c r="HF27" s="539"/>
      <c r="HG27" s="539"/>
      <c r="HH27" s="539"/>
      <c r="HI27" s="539"/>
      <c r="HJ27" s="549"/>
      <c r="HK27" s="548"/>
      <c r="HL27" s="539"/>
      <c r="HM27" s="539"/>
      <c r="HN27" s="539"/>
      <c r="HO27" s="539"/>
      <c r="HP27" s="539"/>
      <c r="HQ27" s="549"/>
      <c r="HR27" s="80" t="s">
        <v>204</v>
      </c>
      <c r="HS27" s="80" t="s">
        <v>204</v>
      </c>
      <c r="HT27" s="61" t="s">
        <v>127</v>
      </c>
      <c r="HU27" s="61" t="s">
        <v>127</v>
      </c>
      <c r="HV27" s="60" t="s">
        <v>204</v>
      </c>
      <c r="HW27" s="80" t="s">
        <v>204</v>
      </c>
      <c r="HX27" s="142"/>
      <c r="HY27" s="61" t="s">
        <v>127</v>
      </c>
      <c r="HZ27" s="55" t="s">
        <v>202</v>
      </c>
      <c r="IA27" s="55" t="s">
        <v>196</v>
      </c>
      <c r="IB27" s="55" t="s">
        <v>196</v>
      </c>
      <c r="IC27" s="55" t="s">
        <v>196</v>
      </c>
      <c r="ID27" s="55" t="s">
        <v>200</v>
      </c>
      <c r="IE27" s="61" t="s">
        <v>127</v>
      </c>
      <c r="IF27" s="55" t="s">
        <v>201</v>
      </c>
      <c r="IG27" s="58" t="s">
        <v>203</v>
      </c>
      <c r="IH27" s="58" t="s">
        <v>202</v>
      </c>
      <c r="II27" s="58" t="s">
        <v>202</v>
      </c>
      <c r="IJ27" s="58" t="s">
        <v>202</v>
      </c>
      <c r="IK27" s="61" t="s">
        <v>2</v>
      </c>
      <c r="IL27" s="61" t="s">
        <v>2</v>
      </c>
      <c r="IM27" s="81" t="s">
        <v>197</v>
      </c>
      <c r="IN27" s="81" t="s">
        <v>216</v>
      </c>
      <c r="IO27" s="61" t="s">
        <v>2</v>
      </c>
      <c r="IP27" s="61" t="s">
        <v>2</v>
      </c>
      <c r="IQ27" s="82" t="s">
        <v>196</v>
      </c>
      <c r="IR27" s="65" t="s">
        <v>198</v>
      </c>
      <c r="IS27" s="65"/>
      <c r="IT27" s="54" t="s">
        <v>198</v>
      </c>
      <c r="IU27" s="54" t="s">
        <v>198</v>
      </c>
      <c r="IV27" s="80" t="s">
        <v>205</v>
      </c>
      <c r="IW27" s="56" t="s">
        <v>2</v>
      </c>
      <c r="IX27" s="82" t="s">
        <v>196</v>
      </c>
      <c r="IY27" s="55" t="s">
        <v>200</v>
      </c>
      <c r="IZ27" s="56" t="s">
        <v>2</v>
      </c>
      <c r="JA27" s="58" t="s">
        <v>202</v>
      </c>
      <c r="JB27" s="58" t="s">
        <v>202</v>
      </c>
      <c r="JC27" s="58" t="s">
        <v>202</v>
      </c>
      <c r="JD27" s="55" t="s">
        <v>201</v>
      </c>
      <c r="JE27" s="56" t="s">
        <v>130</v>
      </c>
      <c r="JF27" s="56" t="s">
        <v>2</v>
      </c>
      <c r="JG27" s="56" t="s">
        <v>2</v>
      </c>
      <c r="JH27" s="102" t="s">
        <v>27</v>
      </c>
      <c r="JI27" s="102" t="s">
        <v>27</v>
      </c>
      <c r="JJ27" s="102" t="s">
        <v>27</v>
      </c>
      <c r="JK27" s="102" t="s">
        <v>27</v>
      </c>
      <c r="JL27" s="102" t="s">
        <v>27</v>
      </c>
      <c r="JM27" s="56" t="s">
        <v>2</v>
      </c>
      <c r="JN27" s="56" t="s">
        <v>2</v>
      </c>
      <c r="JO27" s="80" t="s">
        <v>216</v>
      </c>
      <c r="JP27" s="58" t="s">
        <v>202</v>
      </c>
      <c r="JQ27" s="56" t="s">
        <v>2</v>
      </c>
      <c r="JR27" s="56" t="s">
        <v>2</v>
      </c>
      <c r="JS27" s="54" t="s">
        <v>199</v>
      </c>
      <c r="JT27" s="54" t="s">
        <v>198</v>
      </c>
      <c r="JU27" s="54" t="s">
        <v>199</v>
      </c>
    </row>
    <row r="28" spans="1:351" ht="13" hidden="1">
      <c r="M28" s="495"/>
      <c r="O28" s="48" t="s">
        <v>178</v>
      </c>
      <c r="P28" s="548"/>
      <c r="Q28" s="539"/>
      <c r="R28" s="539"/>
      <c r="S28" s="539"/>
      <c r="T28" s="539"/>
      <c r="U28" s="539"/>
      <c r="V28" s="549"/>
      <c r="W28" s="126" t="s">
        <v>127</v>
      </c>
      <c r="X28" s="148" t="s">
        <v>196</v>
      </c>
      <c r="Y28" s="148" t="s">
        <v>202</v>
      </c>
      <c r="Z28" s="148" t="s">
        <v>202</v>
      </c>
      <c r="AA28" s="148" t="s">
        <v>203</v>
      </c>
      <c r="AB28" s="126" t="s">
        <v>127</v>
      </c>
      <c r="AC28" s="144" t="s">
        <v>216</v>
      </c>
      <c r="AD28" s="160" t="s">
        <v>196</v>
      </c>
      <c r="AE28" s="160" t="s">
        <v>196</v>
      </c>
      <c r="AF28" s="160" t="s">
        <v>196</v>
      </c>
      <c r="AG28" s="160" t="s">
        <v>196</v>
      </c>
      <c r="AH28" s="160" t="s">
        <v>196</v>
      </c>
      <c r="AI28" s="129" t="s">
        <v>127</v>
      </c>
      <c r="AJ28" s="129"/>
      <c r="AK28" s="98" t="s">
        <v>201</v>
      </c>
      <c r="AL28" s="98" t="s">
        <v>200</v>
      </c>
      <c r="AM28" s="98" t="s">
        <v>200</v>
      </c>
      <c r="AN28" s="129" t="s">
        <v>127</v>
      </c>
      <c r="AO28" s="129" t="s">
        <v>127</v>
      </c>
      <c r="AP28" s="128" t="s">
        <v>198</v>
      </c>
      <c r="AQ28" s="128"/>
      <c r="AR28" s="128" t="s">
        <v>198</v>
      </c>
      <c r="AS28" s="128" t="s">
        <v>198</v>
      </c>
      <c r="AT28" s="128" t="s">
        <v>198</v>
      </c>
      <c r="AU28" s="128" t="s">
        <v>198</v>
      </c>
      <c r="AV28" s="129" t="s">
        <v>127</v>
      </c>
      <c r="AW28" s="98" t="s">
        <v>200</v>
      </c>
      <c r="AX28" s="129"/>
      <c r="AY28" s="134" t="s">
        <v>198</v>
      </c>
      <c r="AZ28" s="134" t="s">
        <v>199</v>
      </c>
      <c r="BA28" s="129" t="s">
        <v>127</v>
      </c>
      <c r="BB28" s="129" t="s">
        <v>127</v>
      </c>
      <c r="BC28" s="98" t="s">
        <v>200</v>
      </c>
      <c r="BD28" s="98" t="s">
        <v>200</v>
      </c>
      <c r="BE28" s="114"/>
      <c r="BF28" s="87" t="s">
        <v>204</v>
      </c>
      <c r="BG28" s="87" t="s">
        <v>204</v>
      </c>
      <c r="BH28" s="72" t="s">
        <v>127</v>
      </c>
      <c r="BI28" s="72" t="s">
        <v>127</v>
      </c>
      <c r="BJ28" s="98" t="s">
        <v>200</v>
      </c>
      <c r="BK28" s="87" t="s">
        <v>205</v>
      </c>
      <c r="BL28" s="88"/>
      <c r="BM28" s="114" t="s">
        <v>196</v>
      </c>
      <c r="BN28" s="72" t="s">
        <v>127</v>
      </c>
      <c r="BO28" s="72" t="s">
        <v>127</v>
      </c>
      <c r="BP28" s="114" t="s">
        <v>196</v>
      </c>
      <c r="BQ28" s="134" t="s">
        <v>198</v>
      </c>
      <c r="BR28" s="134" t="s">
        <v>198</v>
      </c>
      <c r="BS28" s="99"/>
      <c r="BT28" s="87" t="s">
        <v>205</v>
      </c>
      <c r="BU28" s="87" t="s">
        <v>204</v>
      </c>
      <c r="BV28" s="134" t="s">
        <v>199</v>
      </c>
      <c r="BW28" s="134" t="s">
        <v>198</v>
      </c>
      <c r="BX28" s="131" t="s">
        <v>203</v>
      </c>
      <c r="BY28" s="72" t="s">
        <v>127</v>
      </c>
      <c r="BZ28" s="72" t="s">
        <v>127</v>
      </c>
      <c r="CA28" s="157" t="s">
        <v>203</v>
      </c>
      <c r="CB28" s="157" t="s">
        <v>196</v>
      </c>
      <c r="CC28" s="157" t="s">
        <v>197</v>
      </c>
      <c r="CD28" s="136" t="s">
        <v>127</v>
      </c>
      <c r="CE28" s="150" t="s">
        <v>200</v>
      </c>
      <c r="CF28" s="150" t="s">
        <v>200</v>
      </c>
      <c r="CG28" s="136" t="s">
        <v>127</v>
      </c>
      <c r="CH28" s="114" t="s">
        <v>203</v>
      </c>
      <c r="CI28" s="114" t="s">
        <v>203</v>
      </c>
      <c r="CJ28" s="87" t="s">
        <v>207</v>
      </c>
      <c r="CK28" s="87" t="s">
        <v>207</v>
      </c>
      <c r="CL28" s="87" t="s">
        <v>207</v>
      </c>
      <c r="CM28" s="72" t="s">
        <v>127</v>
      </c>
      <c r="CN28" s="72"/>
      <c r="CO28" s="114" t="s">
        <v>203</v>
      </c>
      <c r="CP28" s="114" t="s">
        <v>203</v>
      </c>
      <c r="CQ28" s="114" t="s">
        <v>197</v>
      </c>
      <c r="CR28" s="72" t="s">
        <v>127</v>
      </c>
      <c r="CS28" s="131" t="s">
        <v>203</v>
      </c>
      <c r="CT28" s="131" t="s">
        <v>203</v>
      </c>
      <c r="CU28" s="72" t="s">
        <v>127</v>
      </c>
      <c r="CV28" s="98" t="s">
        <v>200</v>
      </c>
      <c r="CW28" s="98" t="s">
        <v>198</v>
      </c>
      <c r="CX28" s="98" t="s">
        <v>198</v>
      </c>
      <c r="CY28" s="98" t="s">
        <v>200</v>
      </c>
      <c r="CZ28" s="98" t="s">
        <v>200</v>
      </c>
      <c r="DA28" s="72" t="s">
        <v>127</v>
      </c>
      <c r="DB28" s="72"/>
      <c r="DC28" s="72" t="s">
        <v>127</v>
      </c>
      <c r="DD28" s="72" t="s">
        <v>127</v>
      </c>
      <c r="DE28" s="99" t="s">
        <v>199</v>
      </c>
      <c r="DF28" s="99" t="s">
        <v>199</v>
      </c>
      <c r="DG28" s="99" t="s">
        <v>202</v>
      </c>
      <c r="DH28" s="99" t="s">
        <v>199</v>
      </c>
      <c r="DI28" s="99"/>
      <c r="DJ28" s="72" t="s">
        <v>127</v>
      </c>
      <c r="DK28" s="99" t="s">
        <v>202</v>
      </c>
      <c r="DL28" s="99" t="s">
        <v>199</v>
      </c>
      <c r="DM28" s="99" t="s">
        <v>202</v>
      </c>
      <c r="DN28" s="99" t="s">
        <v>202</v>
      </c>
      <c r="DO28" s="99" t="s">
        <v>202</v>
      </c>
      <c r="DP28" s="72" t="s">
        <v>127</v>
      </c>
      <c r="DQ28" s="87" t="s">
        <v>206</v>
      </c>
      <c r="DR28" s="87" t="s">
        <v>204</v>
      </c>
      <c r="DS28" s="87" t="s">
        <v>206</v>
      </c>
      <c r="DT28" s="87" t="s">
        <v>206</v>
      </c>
      <c r="DU28" s="87" t="s">
        <v>204</v>
      </c>
      <c r="DV28" s="72" t="s">
        <v>127</v>
      </c>
      <c r="DW28" s="72" t="s">
        <v>127</v>
      </c>
      <c r="DX28" s="154" t="s">
        <v>197</v>
      </c>
      <c r="DY28" s="162" t="s">
        <v>203</v>
      </c>
      <c r="DZ28" s="131" t="s">
        <v>203</v>
      </c>
      <c r="EA28" s="72" t="s">
        <v>127</v>
      </c>
      <c r="EB28" s="72" t="s">
        <v>127</v>
      </c>
      <c r="EC28" s="87" t="s">
        <v>206</v>
      </c>
      <c r="ED28" s="88" t="s">
        <v>214</v>
      </c>
      <c r="EE28" s="87" t="s">
        <v>206</v>
      </c>
      <c r="EF28" s="87" t="s">
        <v>204</v>
      </c>
      <c r="EG28" s="87" t="s">
        <v>206</v>
      </c>
      <c r="EH28" s="72" t="s">
        <v>127</v>
      </c>
      <c r="EI28" s="99" t="s">
        <v>202</v>
      </c>
      <c r="EJ28" s="99" t="s">
        <v>202</v>
      </c>
      <c r="EK28" s="72" t="s">
        <v>127</v>
      </c>
      <c r="EL28" s="72" t="s">
        <v>127</v>
      </c>
      <c r="EM28" s="72" t="s">
        <v>127</v>
      </c>
      <c r="EN28" s="87" t="s">
        <v>206</v>
      </c>
      <c r="EO28" s="88" t="s">
        <v>214</v>
      </c>
      <c r="EP28" s="87" t="s">
        <v>206</v>
      </c>
      <c r="EQ28" s="87" t="s">
        <v>207</v>
      </c>
      <c r="ER28" s="88" t="s">
        <v>214</v>
      </c>
      <c r="ES28" s="72" t="s">
        <v>127</v>
      </c>
      <c r="ET28" s="72" t="s">
        <v>127</v>
      </c>
      <c r="EU28" s="99" t="s">
        <v>199</v>
      </c>
      <c r="EV28" s="99" t="s">
        <v>202</v>
      </c>
      <c r="EW28" s="99" t="s">
        <v>198</v>
      </c>
      <c r="EX28" s="99" t="s">
        <v>202</v>
      </c>
      <c r="EY28" s="99" t="s">
        <v>202</v>
      </c>
      <c r="EZ28" s="72" t="s">
        <v>127</v>
      </c>
      <c r="FA28" s="71" t="s">
        <v>203</v>
      </c>
      <c r="FB28" s="116" t="s">
        <v>206</v>
      </c>
      <c r="FC28" s="116" t="s">
        <v>204</v>
      </c>
      <c r="FD28" s="116" t="s">
        <v>203</v>
      </c>
      <c r="FE28" s="116" t="s">
        <v>204</v>
      </c>
      <c r="FF28" s="72" t="s">
        <v>127</v>
      </c>
      <c r="FG28" s="98"/>
      <c r="FH28" s="98"/>
      <c r="FI28" s="98" t="s">
        <v>230</v>
      </c>
      <c r="FJ28" s="98" t="s">
        <v>230</v>
      </c>
      <c r="FK28" s="98" t="s">
        <v>230</v>
      </c>
      <c r="FL28" s="113" t="s">
        <v>2</v>
      </c>
      <c r="FM28" s="113" t="s">
        <v>2</v>
      </c>
      <c r="FN28" s="71" t="s">
        <v>231</v>
      </c>
      <c r="FO28" s="71" t="s">
        <v>203</v>
      </c>
      <c r="FP28" s="71" t="s">
        <v>203</v>
      </c>
      <c r="FQ28" s="71" t="s">
        <v>203</v>
      </c>
      <c r="FR28" s="71" t="s">
        <v>203</v>
      </c>
      <c r="FS28" s="72" t="s">
        <v>127</v>
      </c>
      <c r="FT28" s="113"/>
      <c r="FU28" s="138" t="s">
        <v>202</v>
      </c>
      <c r="FV28" s="138" t="s">
        <v>199</v>
      </c>
      <c r="FW28" s="99" t="s">
        <v>202</v>
      </c>
      <c r="FX28" s="99" t="s">
        <v>199</v>
      </c>
      <c r="FY28" s="139" t="s">
        <v>198</v>
      </c>
      <c r="FZ28" s="113" t="s">
        <v>127</v>
      </c>
      <c r="GA28" s="113"/>
      <c r="GB28" s="71" t="s">
        <v>203</v>
      </c>
      <c r="GC28" s="113" t="s">
        <v>127</v>
      </c>
      <c r="GD28" s="113" t="s">
        <v>127</v>
      </c>
      <c r="GE28" s="139" t="s">
        <v>200</v>
      </c>
      <c r="GF28" s="139" t="s">
        <v>198</v>
      </c>
      <c r="GG28" s="139" t="s">
        <v>200</v>
      </c>
      <c r="GH28" s="138"/>
      <c r="GI28" s="58" t="s">
        <v>232</v>
      </c>
      <c r="GJ28" s="56" t="s">
        <v>2</v>
      </c>
      <c r="GK28" s="141" t="s">
        <v>210</v>
      </c>
      <c r="GL28" s="548"/>
      <c r="GM28" s="539"/>
      <c r="GN28" s="539"/>
      <c r="GO28" s="549"/>
      <c r="GP28" s="548"/>
      <c r="GQ28" s="539"/>
      <c r="GR28" s="539"/>
      <c r="GS28" s="539"/>
      <c r="GT28" s="539"/>
      <c r="GU28" s="539"/>
      <c r="GV28" s="549"/>
      <c r="GW28" s="548"/>
      <c r="GX28" s="539"/>
      <c r="GY28" s="539"/>
      <c r="GZ28" s="539"/>
      <c r="HA28" s="539"/>
      <c r="HB28" s="539"/>
      <c r="HC28" s="549"/>
      <c r="HD28" s="548"/>
      <c r="HE28" s="539"/>
      <c r="HF28" s="539"/>
      <c r="HG28" s="539"/>
      <c r="HH28" s="539"/>
      <c r="HI28" s="539"/>
      <c r="HJ28" s="549"/>
      <c r="HK28" s="548"/>
      <c r="HL28" s="539"/>
      <c r="HM28" s="539"/>
      <c r="HN28" s="539"/>
      <c r="HO28" s="539"/>
      <c r="HP28" s="539"/>
      <c r="HQ28" s="549"/>
      <c r="HR28" s="61" t="s">
        <v>127</v>
      </c>
      <c r="HS28" s="58" t="s">
        <v>203</v>
      </c>
      <c r="HT28" s="58" t="s">
        <v>203</v>
      </c>
      <c r="HU28" s="58" t="s">
        <v>203</v>
      </c>
      <c r="HV28" s="58" t="s">
        <v>203</v>
      </c>
      <c r="HW28" s="82" t="s">
        <v>196</v>
      </c>
      <c r="HX28" s="142"/>
      <c r="HY28" s="65" t="s">
        <v>198</v>
      </c>
      <c r="HZ28" s="65" t="s">
        <v>199</v>
      </c>
      <c r="IA28" s="65" t="s">
        <v>198</v>
      </c>
      <c r="IB28" s="65" t="s">
        <v>198</v>
      </c>
      <c r="IC28" s="65" t="s">
        <v>198</v>
      </c>
      <c r="ID28" s="61" t="s">
        <v>127</v>
      </c>
      <c r="IE28" s="61" t="s">
        <v>127</v>
      </c>
      <c r="IF28" s="102" t="s">
        <v>27</v>
      </c>
      <c r="IG28" s="102" t="s">
        <v>27</v>
      </c>
      <c r="IH28" s="102" t="s">
        <v>27</v>
      </c>
      <c r="II28" s="102" t="s">
        <v>27</v>
      </c>
      <c r="IJ28" s="102" t="s">
        <v>27</v>
      </c>
      <c r="IK28" s="61" t="s">
        <v>2</v>
      </c>
      <c r="IL28" s="61" t="s">
        <v>2</v>
      </c>
      <c r="IM28" s="80" t="s">
        <v>204</v>
      </c>
      <c r="IN28" s="80" t="s">
        <v>204</v>
      </c>
      <c r="IO28" s="80" t="s">
        <v>204</v>
      </c>
      <c r="IP28" s="80" t="s">
        <v>204</v>
      </c>
      <c r="IQ28" s="80" t="s">
        <v>205</v>
      </c>
      <c r="IR28" s="61" t="s">
        <v>2</v>
      </c>
      <c r="IS28" s="61" t="s">
        <v>2</v>
      </c>
      <c r="IT28" s="58" t="s">
        <v>202</v>
      </c>
      <c r="IU28" s="56" t="s">
        <v>2</v>
      </c>
      <c r="IV28" s="56" t="s">
        <v>2</v>
      </c>
      <c r="IW28" s="82" t="s">
        <v>196</v>
      </c>
      <c r="IX28" s="54" t="s">
        <v>198</v>
      </c>
      <c r="IY28" s="54" t="s">
        <v>198</v>
      </c>
      <c r="IZ28" s="54" t="s">
        <v>199</v>
      </c>
      <c r="JA28" s="56" t="s">
        <v>2</v>
      </c>
      <c r="JB28" s="55" t="s">
        <v>200</v>
      </c>
      <c r="JC28" s="55" t="s">
        <v>201</v>
      </c>
      <c r="JD28" s="58" t="s">
        <v>202</v>
      </c>
      <c r="JE28" s="56" t="s">
        <v>130</v>
      </c>
      <c r="JF28" s="55" t="s">
        <v>200</v>
      </c>
      <c r="JG28" s="56" t="s">
        <v>2</v>
      </c>
      <c r="JH28" s="54" t="s">
        <v>198</v>
      </c>
      <c r="JI28" s="58" t="s">
        <v>202</v>
      </c>
      <c r="JJ28" s="58" t="s">
        <v>199</v>
      </c>
      <c r="JK28" s="56" t="s">
        <v>2</v>
      </c>
      <c r="JL28" s="82" t="s">
        <v>196</v>
      </c>
      <c r="JM28" s="54" t="s">
        <v>198</v>
      </c>
      <c r="JN28" s="56" t="s">
        <v>2</v>
      </c>
      <c r="JO28" s="55" t="s">
        <v>200</v>
      </c>
      <c r="JP28" s="55" t="s">
        <v>201</v>
      </c>
      <c r="JQ28" s="55" t="s">
        <v>200</v>
      </c>
      <c r="JR28" s="55" t="s">
        <v>201</v>
      </c>
      <c r="JS28" s="56" t="s">
        <v>2</v>
      </c>
      <c r="JT28" s="55" t="s">
        <v>200</v>
      </c>
      <c r="JU28" s="56" t="s">
        <v>2</v>
      </c>
    </row>
    <row r="29" spans="1:351" ht="13" hidden="1">
      <c r="M29" s="495"/>
      <c r="O29" s="83" t="s">
        <v>182</v>
      </c>
      <c r="P29" s="548"/>
      <c r="Q29" s="539"/>
      <c r="R29" s="539"/>
      <c r="S29" s="539"/>
      <c r="T29" s="539"/>
      <c r="U29" s="539"/>
      <c r="V29" s="549"/>
      <c r="W29" s="148" t="s">
        <v>203</v>
      </c>
      <c r="X29" s="148" t="s">
        <v>202</v>
      </c>
      <c r="Y29" s="148" t="s">
        <v>196</v>
      </c>
      <c r="Z29" s="148" t="s">
        <v>196</v>
      </c>
      <c r="AA29" s="148" t="s">
        <v>203</v>
      </c>
      <c r="AB29" s="126" t="s">
        <v>127</v>
      </c>
      <c r="AC29" s="126" t="s">
        <v>127</v>
      </c>
      <c r="AD29" s="98" t="s">
        <v>198</v>
      </c>
      <c r="AE29" s="98" t="s">
        <v>200</v>
      </c>
      <c r="AF29" s="98" t="s">
        <v>200</v>
      </c>
      <c r="AG29" s="129" t="s">
        <v>127</v>
      </c>
      <c r="AH29" s="129" t="s">
        <v>127</v>
      </c>
      <c r="AI29" s="128" t="s">
        <v>198</v>
      </c>
      <c r="AJ29" s="128"/>
      <c r="AK29" s="128" t="s">
        <v>198</v>
      </c>
      <c r="AL29" s="128" t="s">
        <v>199</v>
      </c>
      <c r="AM29" s="128" t="s">
        <v>198</v>
      </c>
      <c r="AN29" s="145" t="s">
        <v>204</v>
      </c>
      <c r="AO29" s="129" t="s">
        <v>127</v>
      </c>
      <c r="AP29" s="129" t="s">
        <v>127</v>
      </c>
      <c r="AQ29" s="130"/>
      <c r="AR29" s="98" t="s">
        <v>196</v>
      </c>
      <c r="AS29" s="129" t="s">
        <v>127</v>
      </c>
      <c r="AT29" s="98" t="s">
        <v>196</v>
      </c>
      <c r="AU29" s="98" t="s">
        <v>196</v>
      </c>
      <c r="AV29" s="98" t="s">
        <v>197</v>
      </c>
      <c r="AW29" s="132" t="s">
        <v>204</v>
      </c>
      <c r="AX29" s="129"/>
      <c r="AY29" s="98" t="s">
        <v>200</v>
      </c>
      <c r="AZ29" s="98" t="s">
        <v>200</v>
      </c>
      <c r="BA29" s="98" t="s">
        <v>200</v>
      </c>
      <c r="BB29" s="98" t="s">
        <v>200</v>
      </c>
      <c r="BC29" s="129" t="s">
        <v>127</v>
      </c>
      <c r="BD29" s="129" t="s">
        <v>127</v>
      </c>
      <c r="BE29" s="128"/>
      <c r="BF29" s="87" t="s">
        <v>204</v>
      </c>
      <c r="BG29" s="87" t="s">
        <v>204</v>
      </c>
      <c r="BH29" s="87" t="s">
        <v>204</v>
      </c>
      <c r="BI29" s="87" t="s">
        <v>205</v>
      </c>
      <c r="BJ29" s="87" t="s">
        <v>205</v>
      </c>
      <c r="BK29" s="72" t="s">
        <v>127</v>
      </c>
      <c r="BL29" s="72" t="s">
        <v>127</v>
      </c>
      <c r="BM29" s="134" t="s">
        <v>199</v>
      </c>
      <c r="BN29" s="134" t="s">
        <v>198</v>
      </c>
      <c r="BO29" s="72" t="s">
        <v>127</v>
      </c>
      <c r="BP29" s="72" t="s">
        <v>127</v>
      </c>
      <c r="BQ29" s="134" t="s">
        <v>198</v>
      </c>
      <c r="BR29" s="134" t="s">
        <v>199</v>
      </c>
      <c r="BS29" s="99"/>
      <c r="BT29" s="134" t="s">
        <v>198</v>
      </c>
      <c r="BU29" s="134" t="s">
        <v>199</v>
      </c>
      <c r="BV29" s="72" t="s">
        <v>127</v>
      </c>
      <c r="BW29" s="98" t="s">
        <v>200</v>
      </c>
      <c r="BX29" s="134" t="s">
        <v>199</v>
      </c>
      <c r="BY29" s="134" t="s">
        <v>198</v>
      </c>
      <c r="BZ29" s="72" t="s">
        <v>127</v>
      </c>
      <c r="CA29" s="153" t="s">
        <v>202</v>
      </c>
      <c r="CB29" s="155" t="s">
        <v>203</v>
      </c>
      <c r="CC29" s="155" t="s">
        <v>203</v>
      </c>
      <c r="CD29" s="155" t="s">
        <v>203</v>
      </c>
      <c r="CE29" s="155" t="s">
        <v>203</v>
      </c>
      <c r="CF29" s="136" t="s">
        <v>127</v>
      </c>
      <c r="CG29" s="136" t="s">
        <v>127</v>
      </c>
      <c r="CH29" s="98" t="s">
        <v>198</v>
      </c>
      <c r="CI29" s="98" t="s">
        <v>200</v>
      </c>
      <c r="CJ29" s="98" t="s">
        <v>198</v>
      </c>
      <c r="CK29" s="98" t="s">
        <v>198</v>
      </c>
      <c r="CL29" s="98" t="s">
        <v>198</v>
      </c>
      <c r="CM29" s="72" t="s">
        <v>127</v>
      </c>
      <c r="CN29" s="72"/>
      <c r="CO29" s="72" t="s">
        <v>127</v>
      </c>
      <c r="CP29" s="99" t="s">
        <v>202</v>
      </c>
      <c r="CQ29" s="99" t="s">
        <v>202</v>
      </c>
      <c r="CR29" s="99" t="s">
        <v>199</v>
      </c>
      <c r="CS29" s="99" t="s">
        <v>199</v>
      </c>
      <c r="CT29" s="114" t="s">
        <v>197</v>
      </c>
      <c r="CU29" s="72" t="s">
        <v>127</v>
      </c>
      <c r="CV29" s="72" t="s">
        <v>127</v>
      </c>
      <c r="CW29" s="131" t="s">
        <v>203</v>
      </c>
      <c r="CX29" s="131" t="s">
        <v>203</v>
      </c>
      <c r="CY29" s="131" t="s">
        <v>203</v>
      </c>
      <c r="CZ29" s="131" t="s">
        <v>203</v>
      </c>
      <c r="DA29" s="72" t="s">
        <v>127</v>
      </c>
      <c r="DB29" s="88"/>
      <c r="DC29" s="114" t="s">
        <v>197</v>
      </c>
      <c r="DD29" s="114" t="s">
        <v>197</v>
      </c>
      <c r="DE29" s="131" t="s">
        <v>203</v>
      </c>
      <c r="DF29" s="131" t="s">
        <v>203</v>
      </c>
      <c r="DG29" s="87" t="s">
        <v>206</v>
      </c>
      <c r="DH29" s="72" t="s">
        <v>127</v>
      </c>
      <c r="DI29" s="72"/>
      <c r="DJ29" s="98" t="s">
        <v>200</v>
      </c>
      <c r="DK29" s="98" t="s">
        <v>200</v>
      </c>
      <c r="DL29" s="72" t="s">
        <v>127</v>
      </c>
      <c r="DM29" s="72" t="s">
        <v>127</v>
      </c>
      <c r="DN29" s="98" t="s">
        <v>200</v>
      </c>
      <c r="DO29" s="98" t="s">
        <v>200</v>
      </c>
      <c r="DP29" s="99" t="s">
        <v>203</v>
      </c>
      <c r="DQ29" s="99" t="s">
        <v>202</v>
      </c>
      <c r="DR29" s="99" t="s">
        <v>199</v>
      </c>
      <c r="DS29" s="72" t="s">
        <v>127</v>
      </c>
      <c r="DT29" s="72" t="s">
        <v>127</v>
      </c>
      <c r="DU29" s="99" t="s">
        <v>199</v>
      </c>
      <c r="DV29" s="99" t="s">
        <v>199</v>
      </c>
      <c r="DW29" s="99"/>
      <c r="DX29" s="99" t="s">
        <v>202</v>
      </c>
      <c r="DY29" s="99" t="s">
        <v>202</v>
      </c>
      <c r="DZ29" s="72" t="s">
        <v>127</v>
      </c>
      <c r="EA29" s="99" t="s">
        <v>199</v>
      </c>
      <c r="EB29" s="99" t="s">
        <v>202</v>
      </c>
      <c r="EC29" s="99" t="s">
        <v>202</v>
      </c>
      <c r="ED29" s="72" t="s">
        <v>127</v>
      </c>
      <c r="EE29" s="131" t="s">
        <v>203</v>
      </c>
      <c r="EF29" s="131" t="s">
        <v>203</v>
      </c>
      <c r="EG29" s="131" t="s">
        <v>203</v>
      </c>
      <c r="EH29" s="72" t="s">
        <v>127</v>
      </c>
      <c r="EI29" s="98" t="s">
        <v>198</v>
      </c>
      <c r="EJ29" s="72" t="s">
        <v>127</v>
      </c>
      <c r="EK29" s="99" t="s">
        <v>203</v>
      </c>
      <c r="EL29" s="98" t="s">
        <v>198</v>
      </c>
      <c r="EM29" s="98" t="s">
        <v>200</v>
      </c>
      <c r="EN29" s="98" t="s">
        <v>198</v>
      </c>
      <c r="EO29" s="72" t="s">
        <v>127</v>
      </c>
      <c r="EP29" s="98" t="s">
        <v>200</v>
      </c>
      <c r="EQ29" s="98" t="s">
        <v>200</v>
      </c>
      <c r="ER29" s="72" t="s">
        <v>127</v>
      </c>
      <c r="ES29" s="131" t="s">
        <v>203</v>
      </c>
      <c r="ET29" s="131" t="s">
        <v>200</v>
      </c>
      <c r="EU29" s="131" t="s">
        <v>203</v>
      </c>
      <c r="EV29" s="131" t="s">
        <v>203</v>
      </c>
      <c r="EW29" s="131" t="s">
        <v>203</v>
      </c>
      <c r="EX29" s="72" t="s">
        <v>127</v>
      </c>
      <c r="EY29" s="72" t="s">
        <v>127</v>
      </c>
      <c r="EZ29" s="87" t="s">
        <v>204</v>
      </c>
      <c r="FA29" s="87" t="s">
        <v>204</v>
      </c>
      <c r="FB29" s="87" t="s">
        <v>204</v>
      </c>
      <c r="FC29" s="87" t="s">
        <v>204</v>
      </c>
      <c r="FD29" s="87" t="s">
        <v>207</v>
      </c>
      <c r="FE29" s="72" t="s">
        <v>127</v>
      </c>
      <c r="FF29" s="72" t="s">
        <v>127</v>
      </c>
      <c r="FG29" s="113"/>
      <c r="FH29" s="99"/>
      <c r="FI29" s="99" t="s">
        <v>222</v>
      </c>
      <c r="FJ29" s="99" t="s">
        <v>222</v>
      </c>
      <c r="FK29" s="113" t="s">
        <v>2</v>
      </c>
      <c r="FL29" s="99" t="s">
        <v>224</v>
      </c>
      <c r="FM29" s="99" t="s">
        <v>220</v>
      </c>
      <c r="FN29" s="99" t="s">
        <v>224</v>
      </c>
      <c r="FO29" s="99" t="s">
        <v>199</v>
      </c>
      <c r="FP29" s="99" t="s">
        <v>202</v>
      </c>
      <c r="FQ29" s="72" t="s">
        <v>127</v>
      </c>
      <c r="FR29" s="113" t="s">
        <v>127</v>
      </c>
      <c r="FS29" s="87" t="s">
        <v>207</v>
      </c>
      <c r="FT29" s="88"/>
      <c r="FU29" s="87" t="s">
        <v>207</v>
      </c>
      <c r="FV29" s="113" t="s">
        <v>127</v>
      </c>
      <c r="FW29" s="87" t="s">
        <v>206</v>
      </c>
      <c r="FX29" s="87" t="s">
        <v>204</v>
      </c>
      <c r="FY29" s="87" t="s">
        <v>204</v>
      </c>
      <c r="FZ29" s="87" t="s">
        <v>206</v>
      </c>
      <c r="GA29" s="113"/>
      <c r="GB29" s="138" t="s">
        <v>199</v>
      </c>
      <c r="GC29" s="138" t="s">
        <v>202</v>
      </c>
      <c r="GD29" s="138" t="s">
        <v>199</v>
      </c>
      <c r="GE29" s="138" t="s">
        <v>199</v>
      </c>
      <c r="GF29" s="138" t="s">
        <v>202</v>
      </c>
      <c r="GG29" s="113" t="s">
        <v>127</v>
      </c>
      <c r="GH29" s="113" t="s">
        <v>127</v>
      </c>
      <c r="GI29" s="80" t="s">
        <v>212</v>
      </c>
      <c r="GJ29" s="129" t="s">
        <v>2</v>
      </c>
      <c r="GK29" s="129" t="s">
        <v>2</v>
      </c>
      <c r="GL29" s="548"/>
      <c r="GM29" s="539"/>
      <c r="GN29" s="539"/>
      <c r="GO29" s="549"/>
      <c r="GP29" s="548"/>
      <c r="GQ29" s="539"/>
      <c r="GR29" s="539"/>
      <c r="GS29" s="539"/>
      <c r="GT29" s="539"/>
      <c r="GU29" s="539"/>
      <c r="GV29" s="549"/>
      <c r="GW29" s="548"/>
      <c r="GX29" s="539"/>
      <c r="GY29" s="539"/>
      <c r="GZ29" s="539"/>
      <c r="HA29" s="539"/>
      <c r="HB29" s="539"/>
      <c r="HC29" s="549"/>
      <c r="HD29" s="548"/>
      <c r="HE29" s="539"/>
      <c r="HF29" s="539"/>
      <c r="HG29" s="539"/>
      <c r="HH29" s="539"/>
      <c r="HI29" s="539"/>
      <c r="HJ29" s="549"/>
      <c r="HK29" s="548"/>
      <c r="HL29" s="539"/>
      <c r="HM29" s="539"/>
      <c r="HN29" s="539"/>
      <c r="HO29" s="539"/>
      <c r="HP29" s="539"/>
      <c r="HQ29" s="549"/>
      <c r="HR29" s="55" t="s">
        <v>198</v>
      </c>
      <c r="HS29" s="55" t="s">
        <v>200</v>
      </c>
      <c r="HT29" s="55" t="s">
        <v>198</v>
      </c>
      <c r="HU29" s="55" t="s">
        <v>198</v>
      </c>
      <c r="HV29" s="55" t="s">
        <v>198</v>
      </c>
      <c r="HW29" s="61" t="s">
        <v>127</v>
      </c>
      <c r="HX29" s="142"/>
      <c r="HY29" s="58" t="s">
        <v>202</v>
      </c>
      <c r="HZ29" s="61" t="s">
        <v>127</v>
      </c>
      <c r="IA29" s="82" t="s">
        <v>203</v>
      </c>
      <c r="IB29" s="82" t="s">
        <v>203</v>
      </c>
      <c r="IC29" s="61" t="s">
        <v>127</v>
      </c>
      <c r="ID29" s="55" t="s">
        <v>201</v>
      </c>
      <c r="IE29" s="65"/>
      <c r="IF29" s="61" t="s">
        <v>2</v>
      </c>
      <c r="IG29" s="55" t="s">
        <v>200</v>
      </c>
      <c r="IH29" s="55" t="s">
        <v>200</v>
      </c>
      <c r="II29" s="55" t="s">
        <v>200</v>
      </c>
      <c r="IJ29" s="55" t="s">
        <v>200</v>
      </c>
      <c r="IK29" s="55" t="s">
        <v>200</v>
      </c>
      <c r="IL29" s="61" t="s">
        <v>2</v>
      </c>
      <c r="IM29" s="55" t="s">
        <v>200</v>
      </c>
      <c r="IN29" s="58" t="s">
        <v>202</v>
      </c>
      <c r="IO29" s="58" t="s">
        <v>202</v>
      </c>
      <c r="IP29" s="58" t="s">
        <v>202</v>
      </c>
      <c r="IQ29" s="58" t="s">
        <v>202</v>
      </c>
      <c r="IR29" s="61" t="s">
        <v>2</v>
      </c>
      <c r="IS29" s="61" t="s">
        <v>2</v>
      </c>
      <c r="IT29" s="55" t="s">
        <v>201</v>
      </c>
      <c r="IU29" s="56" t="s">
        <v>2</v>
      </c>
      <c r="IV29" s="82" t="s">
        <v>203</v>
      </c>
      <c r="IW29" s="82" t="s">
        <v>203</v>
      </c>
      <c r="IX29" s="56" t="s">
        <v>2</v>
      </c>
      <c r="IY29" s="82" t="s">
        <v>196</v>
      </c>
      <c r="IZ29" s="54" t="s">
        <v>198</v>
      </c>
      <c r="JA29" s="81" t="s">
        <v>197</v>
      </c>
      <c r="JB29" s="81" t="s">
        <v>196</v>
      </c>
      <c r="JC29" s="56" t="s">
        <v>2</v>
      </c>
      <c r="JD29" s="82" t="s">
        <v>196</v>
      </c>
      <c r="JE29" s="56" t="s">
        <v>130</v>
      </c>
      <c r="JF29" s="82" t="s">
        <v>196</v>
      </c>
      <c r="JG29" s="56" t="s">
        <v>2</v>
      </c>
      <c r="JH29" s="55" t="s">
        <v>200</v>
      </c>
      <c r="JI29" s="55" t="s">
        <v>200</v>
      </c>
      <c r="JJ29" s="55" t="s">
        <v>200</v>
      </c>
      <c r="JK29" s="55" t="s">
        <v>200</v>
      </c>
      <c r="JL29" s="58" t="s">
        <v>202</v>
      </c>
      <c r="JM29" s="56" t="s">
        <v>2</v>
      </c>
      <c r="JN29" s="56" t="s">
        <v>2</v>
      </c>
      <c r="JO29" s="102" t="s">
        <v>27</v>
      </c>
      <c r="JP29" s="102" t="s">
        <v>27</v>
      </c>
      <c r="JQ29" s="102" t="s">
        <v>27</v>
      </c>
      <c r="JR29" s="102" t="s">
        <v>27</v>
      </c>
      <c r="JS29" s="102" t="s">
        <v>27</v>
      </c>
      <c r="JT29" s="56" t="s">
        <v>2</v>
      </c>
      <c r="JU29" s="56" t="s">
        <v>2</v>
      </c>
    </row>
    <row r="30" spans="1:351" ht="13" hidden="1">
      <c r="M30" s="495"/>
      <c r="O30" s="48" t="s">
        <v>188</v>
      </c>
      <c r="P30" s="541"/>
      <c r="Q30" s="539"/>
      <c r="R30" s="539"/>
      <c r="S30" s="539"/>
      <c r="T30" s="539"/>
      <c r="U30" s="539"/>
      <c r="V30" s="542"/>
      <c r="W30" s="535"/>
      <c r="X30" s="546"/>
      <c r="Y30" s="546"/>
      <c r="Z30" s="546"/>
      <c r="AA30" s="546"/>
      <c r="AB30" s="546"/>
      <c r="AC30" s="547"/>
      <c r="AD30" s="535"/>
      <c r="AE30" s="546"/>
      <c r="AF30" s="546"/>
      <c r="AG30" s="546"/>
      <c r="AH30" s="546"/>
      <c r="AI30" s="546"/>
      <c r="AJ30" s="547"/>
      <c r="AK30" s="535"/>
      <c r="AL30" s="546"/>
      <c r="AM30" s="546"/>
      <c r="AN30" s="546"/>
      <c r="AO30" s="546"/>
      <c r="AP30" s="546"/>
      <c r="AQ30" s="547"/>
      <c r="AR30" s="131" t="s">
        <v>196</v>
      </c>
      <c r="AS30" s="131" t="s">
        <v>196</v>
      </c>
      <c r="AT30" s="131" t="s">
        <v>196</v>
      </c>
      <c r="AU30" s="163" t="s">
        <v>196</v>
      </c>
      <c r="AV30" s="163" t="s">
        <v>202</v>
      </c>
      <c r="AW30" s="129" t="s">
        <v>127</v>
      </c>
      <c r="AX30" s="129"/>
      <c r="AY30" s="131" t="s">
        <v>203</v>
      </c>
      <c r="AZ30" s="131" t="s">
        <v>202</v>
      </c>
      <c r="BA30" s="131" t="s">
        <v>203</v>
      </c>
      <c r="BB30" s="131" t="s">
        <v>202</v>
      </c>
      <c r="BC30" s="131" t="s">
        <v>203</v>
      </c>
      <c r="BD30" s="129" t="s">
        <v>127</v>
      </c>
      <c r="BE30" s="129" t="s">
        <v>127</v>
      </c>
      <c r="BF30" s="134" t="s">
        <v>198</v>
      </c>
      <c r="BG30" s="134" t="s">
        <v>198</v>
      </c>
      <c r="BH30" s="134" t="s">
        <v>199</v>
      </c>
      <c r="BI30" s="134" t="s">
        <v>199</v>
      </c>
      <c r="BJ30" s="134" t="s">
        <v>199</v>
      </c>
      <c r="BK30" s="72" t="s">
        <v>127</v>
      </c>
      <c r="BL30" s="72" t="s">
        <v>127</v>
      </c>
      <c r="BM30" s="72" t="s">
        <v>127</v>
      </c>
      <c r="BN30" s="87" t="s">
        <v>205</v>
      </c>
      <c r="BO30" s="87" t="s">
        <v>204</v>
      </c>
      <c r="BP30" s="87" t="s">
        <v>205</v>
      </c>
      <c r="BQ30" s="87" t="s">
        <v>205</v>
      </c>
      <c r="BR30" s="131" t="s">
        <v>196</v>
      </c>
      <c r="BS30" s="72" t="s">
        <v>127</v>
      </c>
      <c r="BT30" s="134" t="s">
        <v>199</v>
      </c>
      <c r="BU30" s="134" t="s">
        <v>198</v>
      </c>
      <c r="BV30" s="134" t="s">
        <v>198</v>
      </c>
      <c r="BW30" s="134" t="s">
        <v>198</v>
      </c>
      <c r="BX30" s="134" t="s">
        <v>198</v>
      </c>
      <c r="BY30" s="72" t="s">
        <v>127</v>
      </c>
      <c r="BZ30" s="72" t="s">
        <v>127</v>
      </c>
      <c r="CA30" s="150" t="s">
        <v>200</v>
      </c>
      <c r="CB30" s="150" t="s">
        <v>198</v>
      </c>
      <c r="CC30" s="150" t="s">
        <v>200</v>
      </c>
      <c r="CD30" s="150" t="s">
        <v>200</v>
      </c>
      <c r="CE30" s="136" t="s">
        <v>127</v>
      </c>
      <c r="CF30" s="136" t="s">
        <v>127</v>
      </c>
      <c r="CG30" s="146" t="s">
        <v>214</v>
      </c>
      <c r="CH30" s="87" t="s">
        <v>204</v>
      </c>
      <c r="CI30" s="87" t="s">
        <v>204</v>
      </c>
      <c r="CJ30" s="87" t="s">
        <v>204</v>
      </c>
      <c r="CK30" s="87" t="s">
        <v>204</v>
      </c>
      <c r="CL30" s="87" t="s">
        <v>204</v>
      </c>
      <c r="CM30" s="72" t="s">
        <v>127</v>
      </c>
      <c r="CN30" s="72"/>
      <c r="CO30" s="114" t="s">
        <v>197</v>
      </c>
      <c r="CP30" s="114" t="s">
        <v>197</v>
      </c>
      <c r="CQ30" s="114" t="s">
        <v>197</v>
      </c>
      <c r="CR30" s="114" t="s">
        <v>197</v>
      </c>
      <c r="CS30" s="114" t="s">
        <v>197</v>
      </c>
      <c r="CT30" s="72" t="s">
        <v>127</v>
      </c>
      <c r="CU30" s="72" t="s">
        <v>127</v>
      </c>
      <c r="CV30" s="99" t="s">
        <v>202</v>
      </c>
      <c r="CW30" s="99" t="s">
        <v>199</v>
      </c>
      <c r="CX30" s="99" t="s">
        <v>202</v>
      </c>
      <c r="CY30" s="99" t="s">
        <v>199</v>
      </c>
      <c r="CZ30" s="114" t="s">
        <v>197</v>
      </c>
      <c r="DA30" s="72" t="s">
        <v>127</v>
      </c>
      <c r="DB30" s="72"/>
      <c r="DC30" s="72" t="s">
        <v>127</v>
      </c>
      <c r="DD30" s="99" t="s">
        <v>199</v>
      </c>
      <c r="DE30" s="99" t="s">
        <v>202</v>
      </c>
      <c r="DF30" s="99" t="s">
        <v>199</v>
      </c>
      <c r="DG30" s="99" t="s">
        <v>199</v>
      </c>
      <c r="DH30" s="99" t="s">
        <v>199</v>
      </c>
      <c r="DI30" s="72"/>
      <c r="DJ30" s="113" t="s">
        <v>127</v>
      </c>
      <c r="DK30" s="71" t="s">
        <v>203</v>
      </c>
      <c r="DL30" s="71" t="s">
        <v>203</v>
      </c>
      <c r="DM30" s="71" t="s">
        <v>203</v>
      </c>
      <c r="DN30" s="71" t="s">
        <v>203</v>
      </c>
      <c r="DO30" s="113" t="s">
        <v>127</v>
      </c>
      <c r="DP30" s="164" t="s">
        <v>204</v>
      </c>
      <c r="DQ30" s="87" t="s">
        <v>204</v>
      </c>
      <c r="DR30" s="87" t="s">
        <v>206</v>
      </c>
      <c r="DS30" s="114" t="s">
        <v>204</v>
      </c>
      <c r="DT30" s="114" t="s">
        <v>197</v>
      </c>
      <c r="DU30" s="72" t="s">
        <v>127</v>
      </c>
      <c r="DV30" s="72" t="s">
        <v>127</v>
      </c>
      <c r="DW30" s="99"/>
      <c r="DX30" s="99" t="s">
        <v>199</v>
      </c>
      <c r="DY30" s="99" t="s">
        <v>202</v>
      </c>
      <c r="DZ30" s="99" t="s">
        <v>202</v>
      </c>
      <c r="EA30" s="99" t="s">
        <v>202</v>
      </c>
      <c r="EB30" s="131" t="s">
        <v>202</v>
      </c>
      <c r="EC30" s="72" t="s">
        <v>127</v>
      </c>
      <c r="ED30" s="72" t="s">
        <v>127</v>
      </c>
      <c r="EE30" s="72" t="s">
        <v>127</v>
      </c>
      <c r="EF30" s="98" t="s">
        <v>200</v>
      </c>
      <c r="EG30" s="98" t="s">
        <v>200</v>
      </c>
      <c r="EH30" s="99" t="s">
        <v>203</v>
      </c>
      <c r="EI30" s="72" t="s">
        <v>127</v>
      </c>
      <c r="EJ30" s="98" t="s">
        <v>200</v>
      </c>
      <c r="EK30" s="99" t="s">
        <v>202</v>
      </c>
      <c r="EL30" s="87" t="s">
        <v>206</v>
      </c>
      <c r="EM30" s="114" t="s">
        <v>197</v>
      </c>
      <c r="EN30" s="72" t="s">
        <v>127</v>
      </c>
      <c r="EO30" s="72" t="s">
        <v>127</v>
      </c>
      <c r="EP30" s="99" t="s">
        <v>199</v>
      </c>
      <c r="EQ30" s="99" t="s">
        <v>199</v>
      </c>
      <c r="ER30" s="99" t="s">
        <v>203</v>
      </c>
      <c r="ES30" s="87" t="s">
        <v>206</v>
      </c>
      <c r="ET30" s="87" t="s">
        <v>204</v>
      </c>
      <c r="EU30" s="72" t="s">
        <v>127</v>
      </c>
      <c r="EV30" s="87" t="s">
        <v>206</v>
      </c>
      <c r="EW30" s="87" t="s">
        <v>204</v>
      </c>
      <c r="EX30" s="72" t="s">
        <v>127</v>
      </c>
      <c r="EY30" s="88" t="s">
        <v>205</v>
      </c>
      <c r="EZ30" s="114" t="s">
        <v>197</v>
      </c>
      <c r="FA30" s="114" t="s">
        <v>197</v>
      </c>
      <c r="FB30" s="87" t="s">
        <v>206</v>
      </c>
      <c r="FC30" s="72" t="s">
        <v>127</v>
      </c>
      <c r="FD30" s="72" t="s">
        <v>127</v>
      </c>
      <c r="FE30" s="87" t="s">
        <v>207</v>
      </c>
      <c r="FF30" s="87" t="s">
        <v>204</v>
      </c>
      <c r="FG30" s="122"/>
      <c r="FH30" s="87"/>
      <c r="FI30" s="87" t="s">
        <v>218</v>
      </c>
      <c r="FJ30" s="72" t="s">
        <v>2</v>
      </c>
      <c r="FK30" s="122" t="s">
        <v>226</v>
      </c>
      <c r="FL30" s="122" t="s">
        <v>226</v>
      </c>
      <c r="FM30" s="72" t="s">
        <v>2</v>
      </c>
      <c r="FN30" s="98" t="s">
        <v>233</v>
      </c>
      <c r="FO30" s="98" t="s">
        <v>198</v>
      </c>
      <c r="FP30" s="98" t="s">
        <v>198</v>
      </c>
      <c r="FQ30" s="98" t="s">
        <v>198</v>
      </c>
      <c r="FR30" s="72" t="s">
        <v>127</v>
      </c>
      <c r="FS30" s="72" t="s">
        <v>127</v>
      </c>
      <c r="FT30" s="99"/>
      <c r="FU30" s="113" t="s">
        <v>127</v>
      </c>
      <c r="FV30" s="113" t="s">
        <v>127</v>
      </c>
      <c r="FW30" s="99" t="s">
        <v>202</v>
      </c>
      <c r="FX30" s="99" t="s">
        <v>199</v>
      </c>
      <c r="FY30" s="99" t="s">
        <v>202</v>
      </c>
      <c r="FZ30" s="99" t="s">
        <v>199</v>
      </c>
      <c r="GA30" s="88"/>
      <c r="GB30" s="113" t="s">
        <v>127</v>
      </c>
      <c r="GC30" s="71" t="s">
        <v>203</v>
      </c>
      <c r="GD30" s="116" t="s">
        <v>206</v>
      </c>
      <c r="GE30" s="87" t="s">
        <v>204</v>
      </c>
      <c r="GF30" s="87" t="s">
        <v>206</v>
      </c>
      <c r="GG30" s="87" t="s">
        <v>204</v>
      </c>
      <c r="GH30" s="72" t="s">
        <v>127</v>
      </c>
      <c r="GI30" s="55" t="s">
        <v>234</v>
      </c>
      <c r="GJ30" s="98" t="s">
        <v>209</v>
      </c>
      <c r="GK30" s="98" t="s">
        <v>209</v>
      </c>
      <c r="GL30" s="548"/>
      <c r="GM30" s="539"/>
      <c r="GN30" s="539"/>
      <c r="GO30" s="549"/>
      <c r="GP30" s="548"/>
      <c r="GQ30" s="539"/>
      <c r="GR30" s="539"/>
      <c r="GS30" s="539"/>
      <c r="GT30" s="539"/>
      <c r="GU30" s="539"/>
      <c r="GV30" s="549"/>
      <c r="GW30" s="548"/>
      <c r="GX30" s="539"/>
      <c r="GY30" s="539"/>
      <c r="GZ30" s="539"/>
      <c r="HA30" s="539"/>
      <c r="HB30" s="539"/>
      <c r="HC30" s="549"/>
      <c r="HD30" s="548"/>
      <c r="HE30" s="539"/>
      <c r="HF30" s="539"/>
      <c r="HG30" s="539"/>
      <c r="HH30" s="539"/>
      <c r="HI30" s="539"/>
      <c r="HJ30" s="549"/>
      <c r="HK30" s="548"/>
      <c r="HL30" s="539"/>
      <c r="HM30" s="539"/>
      <c r="HN30" s="539"/>
      <c r="HO30" s="539"/>
      <c r="HP30" s="539"/>
      <c r="HQ30" s="549"/>
      <c r="HR30" s="90" t="s">
        <v>206</v>
      </c>
      <c r="HS30" s="90" t="s">
        <v>206</v>
      </c>
      <c r="HT30" s="90" t="s">
        <v>204</v>
      </c>
      <c r="HU30" s="90" t="s">
        <v>204</v>
      </c>
      <c r="HV30" s="90" t="s">
        <v>204</v>
      </c>
      <c r="HW30" s="61" t="s">
        <v>127</v>
      </c>
      <c r="HX30" s="142"/>
      <c r="HY30" s="81" t="s">
        <v>197</v>
      </c>
      <c r="HZ30" s="81" t="s">
        <v>196</v>
      </c>
      <c r="IA30" s="61" t="s">
        <v>127</v>
      </c>
      <c r="IB30" s="61" t="s">
        <v>127</v>
      </c>
      <c r="IC30" s="82" t="s">
        <v>196</v>
      </c>
      <c r="ID30" s="55" t="s">
        <v>203</v>
      </c>
      <c r="IE30" s="65"/>
      <c r="IF30" s="58" t="s">
        <v>202</v>
      </c>
      <c r="IG30" s="61" t="s">
        <v>2</v>
      </c>
      <c r="IH30" s="82" t="s">
        <v>196</v>
      </c>
      <c r="II30" s="82" t="s">
        <v>196</v>
      </c>
      <c r="IJ30" s="82" t="s">
        <v>196</v>
      </c>
      <c r="IK30" s="80" t="s">
        <v>205</v>
      </c>
      <c r="IL30" s="61" t="s">
        <v>2</v>
      </c>
      <c r="IM30" s="61" t="s">
        <v>2</v>
      </c>
      <c r="IN30" s="55" t="s">
        <v>201</v>
      </c>
      <c r="IO30" s="55" t="s">
        <v>200</v>
      </c>
      <c r="IP30" s="55" t="s">
        <v>200</v>
      </c>
      <c r="IQ30" s="55" t="s">
        <v>200</v>
      </c>
      <c r="IR30" s="55" t="s">
        <v>200</v>
      </c>
      <c r="IS30" s="61" t="s">
        <v>2</v>
      </c>
      <c r="IT30" s="81" t="s">
        <v>196</v>
      </c>
      <c r="IU30" s="81" t="s">
        <v>196</v>
      </c>
      <c r="IV30" s="81" t="s">
        <v>197</v>
      </c>
      <c r="IW30" s="81" t="s">
        <v>197</v>
      </c>
      <c r="IX30" s="81" t="s">
        <v>197</v>
      </c>
      <c r="IY30" s="56" t="s">
        <v>2</v>
      </c>
      <c r="IZ30" s="56" t="s">
        <v>2</v>
      </c>
      <c r="JA30" s="82" t="s">
        <v>203</v>
      </c>
      <c r="JB30" s="58" t="s">
        <v>202</v>
      </c>
      <c r="JC30" s="58" t="s">
        <v>202</v>
      </c>
      <c r="JD30" s="58" t="s">
        <v>202</v>
      </c>
      <c r="JE30" s="56" t="s">
        <v>2</v>
      </c>
      <c r="JF30" s="80" t="s">
        <v>205</v>
      </c>
      <c r="JG30" s="56" t="s">
        <v>2</v>
      </c>
      <c r="JH30" s="80" t="s">
        <v>205</v>
      </c>
      <c r="JI30" s="80"/>
      <c r="JJ30" s="80" t="s">
        <v>216</v>
      </c>
      <c r="JK30" s="80" t="s">
        <v>216</v>
      </c>
      <c r="JL30" s="80" t="s">
        <v>205</v>
      </c>
      <c r="JM30" s="56" t="s">
        <v>2</v>
      </c>
      <c r="JN30" s="56" t="s">
        <v>2</v>
      </c>
      <c r="JO30" s="58" t="s">
        <v>202</v>
      </c>
      <c r="JP30" s="80" t="s">
        <v>216</v>
      </c>
      <c r="JQ30" s="80" t="s">
        <v>205</v>
      </c>
      <c r="JR30" s="56" t="s">
        <v>2</v>
      </c>
      <c r="JS30" s="82" t="s">
        <v>203</v>
      </c>
      <c r="JT30" s="82" t="s">
        <v>203</v>
      </c>
      <c r="JU30" s="56" t="s">
        <v>2</v>
      </c>
    </row>
    <row r="31" spans="1:351" ht="13" hidden="1">
      <c r="M31" s="495"/>
      <c r="O31" s="83" t="s">
        <v>191</v>
      </c>
      <c r="P31" s="538"/>
      <c r="Q31" s="539"/>
      <c r="R31" s="539"/>
      <c r="S31" s="539"/>
      <c r="T31" s="539"/>
      <c r="U31" s="539"/>
      <c r="V31" s="540"/>
      <c r="W31" s="548"/>
      <c r="X31" s="539"/>
      <c r="Y31" s="539"/>
      <c r="Z31" s="539"/>
      <c r="AA31" s="539"/>
      <c r="AB31" s="539"/>
      <c r="AC31" s="549"/>
      <c r="AD31" s="548"/>
      <c r="AE31" s="539"/>
      <c r="AF31" s="539"/>
      <c r="AG31" s="539"/>
      <c r="AH31" s="539"/>
      <c r="AI31" s="539"/>
      <c r="AJ31" s="549"/>
      <c r="AK31" s="548"/>
      <c r="AL31" s="539"/>
      <c r="AM31" s="539"/>
      <c r="AN31" s="539"/>
      <c r="AO31" s="539"/>
      <c r="AP31" s="539"/>
      <c r="AQ31" s="549"/>
      <c r="AR31" s="131"/>
      <c r="AS31" s="131"/>
      <c r="AT31" s="131"/>
      <c r="AU31" s="131"/>
      <c r="AV31" s="131" t="s">
        <v>196</v>
      </c>
      <c r="AW31" s="129"/>
      <c r="AX31" s="129"/>
      <c r="AY31" s="131" t="s">
        <v>202</v>
      </c>
      <c r="AZ31" s="131" t="s">
        <v>203</v>
      </c>
      <c r="BA31" s="131" t="s">
        <v>202</v>
      </c>
      <c r="BB31" s="131" t="s">
        <v>203</v>
      </c>
      <c r="BC31" s="131" t="s">
        <v>202</v>
      </c>
      <c r="BD31" s="129" t="s">
        <v>127</v>
      </c>
      <c r="BE31" s="129" t="s">
        <v>127</v>
      </c>
      <c r="BF31" s="131" t="s">
        <v>203</v>
      </c>
      <c r="BG31" s="131" t="s">
        <v>202</v>
      </c>
      <c r="BH31" s="131" t="s">
        <v>196</v>
      </c>
      <c r="BI31" s="131" t="s">
        <v>202</v>
      </c>
      <c r="BJ31" s="131" t="s">
        <v>196</v>
      </c>
      <c r="BK31" s="72" t="s">
        <v>127</v>
      </c>
      <c r="BL31" s="72" t="s">
        <v>127</v>
      </c>
      <c r="BM31" s="134" t="s">
        <v>198</v>
      </c>
      <c r="BN31" s="134" t="s">
        <v>199</v>
      </c>
      <c r="BO31" s="134" t="s">
        <v>198</v>
      </c>
      <c r="BP31" s="134" t="s">
        <v>199</v>
      </c>
      <c r="BQ31" s="134" t="s">
        <v>199</v>
      </c>
      <c r="BR31" s="72" t="s">
        <v>127</v>
      </c>
      <c r="BS31" s="72" t="s">
        <v>127</v>
      </c>
      <c r="BT31" s="72" t="s">
        <v>127</v>
      </c>
      <c r="BU31" s="87" t="s">
        <v>205</v>
      </c>
      <c r="BV31" s="87" t="s">
        <v>204</v>
      </c>
      <c r="BW31" s="87" t="s">
        <v>205</v>
      </c>
      <c r="BX31" s="87" t="s">
        <v>204</v>
      </c>
      <c r="BY31" s="87" t="s">
        <v>205</v>
      </c>
      <c r="BZ31" s="72" t="s">
        <v>127</v>
      </c>
      <c r="CA31" s="153" t="s">
        <v>199</v>
      </c>
      <c r="CB31" s="153" t="s">
        <v>202</v>
      </c>
      <c r="CC31" s="153" t="s">
        <v>202</v>
      </c>
      <c r="CD31" s="153" t="s">
        <v>199</v>
      </c>
      <c r="CE31" s="136" t="s">
        <v>127</v>
      </c>
      <c r="CF31" s="146" t="s">
        <v>214</v>
      </c>
      <c r="CG31" s="136" t="s">
        <v>127</v>
      </c>
      <c r="CH31" s="72" t="s">
        <v>127</v>
      </c>
      <c r="CI31" s="98" t="s">
        <v>198</v>
      </c>
      <c r="CJ31" s="131" t="s">
        <v>202</v>
      </c>
      <c r="CK31" s="131" t="s">
        <v>202</v>
      </c>
      <c r="CL31" s="131" t="s">
        <v>203</v>
      </c>
      <c r="CM31" s="87" t="s">
        <v>206</v>
      </c>
      <c r="CN31" s="72"/>
      <c r="CO31" s="98" t="s">
        <v>200</v>
      </c>
      <c r="CP31" s="98" t="s">
        <v>198</v>
      </c>
      <c r="CQ31" s="98" t="s">
        <v>198</v>
      </c>
      <c r="CR31" s="72" t="s">
        <v>127</v>
      </c>
      <c r="CS31" s="87" t="s">
        <v>204</v>
      </c>
      <c r="CT31" s="72" t="s">
        <v>127</v>
      </c>
      <c r="CU31" s="88"/>
      <c r="CV31" s="87" t="s">
        <v>204</v>
      </c>
      <c r="CW31" s="87" t="s">
        <v>204</v>
      </c>
      <c r="CX31" s="87" t="s">
        <v>206</v>
      </c>
      <c r="CY31" s="87" t="s">
        <v>206</v>
      </c>
      <c r="CZ31" s="87" t="s">
        <v>204</v>
      </c>
      <c r="DA31" s="72" t="s">
        <v>127</v>
      </c>
      <c r="DB31" s="72"/>
      <c r="DC31" s="87" t="s">
        <v>206</v>
      </c>
      <c r="DD31" s="87" t="s">
        <v>204</v>
      </c>
      <c r="DE31" s="87" t="s">
        <v>204</v>
      </c>
      <c r="DF31" s="87" t="s">
        <v>206</v>
      </c>
      <c r="DG31" s="114" t="s">
        <v>197</v>
      </c>
      <c r="DH31" s="72" t="s">
        <v>127</v>
      </c>
      <c r="DI31" s="72"/>
      <c r="DJ31" s="122" t="s">
        <v>197</v>
      </c>
      <c r="DK31" s="122" t="s">
        <v>197</v>
      </c>
      <c r="DL31" s="122" t="s">
        <v>197</v>
      </c>
      <c r="DM31" s="122" t="s">
        <v>197</v>
      </c>
      <c r="DN31" s="122" t="s">
        <v>197</v>
      </c>
      <c r="DO31" s="113" t="s">
        <v>127</v>
      </c>
      <c r="DP31" s="113" t="s">
        <v>127</v>
      </c>
      <c r="DQ31" s="98" t="s">
        <v>198</v>
      </c>
      <c r="DR31" s="98" t="s">
        <v>200</v>
      </c>
      <c r="DS31" s="98" t="s">
        <v>198</v>
      </c>
      <c r="DT31" s="98" t="s">
        <v>200</v>
      </c>
      <c r="DU31" s="98" t="s">
        <v>198</v>
      </c>
      <c r="DV31" s="72" t="s">
        <v>127</v>
      </c>
      <c r="DW31" s="72" t="s">
        <v>127</v>
      </c>
      <c r="DX31" s="72" t="s">
        <v>127</v>
      </c>
      <c r="DY31" s="99" t="s">
        <v>199</v>
      </c>
      <c r="DZ31" s="99" t="s">
        <v>199</v>
      </c>
      <c r="EA31" s="99" t="s">
        <v>199</v>
      </c>
      <c r="EB31" s="99" t="s">
        <v>199</v>
      </c>
      <c r="EC31" s="99" t="s">
        <v>198</v>
      </c>
      <c r="ED31" s="72" t="s">
        <v>127</v>
      </c>
      <c r="EE31" s="87" t="s">
        <v>204</v>
      </c>
      <c r="EF31" s="87" t="s">
        <v>206</v>
      </c>
      <c r="EG31" s="87" t="s">
        <v>204</v>
      </c>
      <c r="EH31" s="88" t="s">
        <v>214</v>
      </c>
      <c r="EI31" s="114" t="s">
        <v>197</v>
      </c>
      <c r="EJ31" s="72" t="s">
        <v>127</v>
      </c>
      <c r="EK31" s="72" t="s">
        <v>127</v>
      </c>
      <c r="EL31" s="131" t="s">
        <v>203</v>
      </c>
      <c r="EM31" s="131" t="s">
        <v>203</v>
      </c>
      <c r="EN31" s="131" t="s">
        <v>202</v>
      </c>
      <c r="EO31" s="72" t="s">
        <v>127</v>
      </c>
      <c r="EP31" s="131" t="s">
        <v>196</v>
      </c>
      <c r="EQ31" s="72" t="s">
        <v>127</v>
      </c>
      <c r="ER31" s="88" t="s">
        <v>214</v>
      </c>
      <c r="ES31" s="98" t="s">
        <v>198</v>
      </c>
      <c r="ET31" s="98" t="s">
        <v>200</v>
      </c>
      <c r="EU31" s="98" t="s">
        <v>198</v>
      </c>
      <c r="EV31" s="72" t="s">
        <v>127</v>
      </c>
      <c r="EW31" s="72" t="s">
        <v>127</v>
      </c>
      <c r="EX31" s="98" t="s">
        <v>198</v>
      </c>
      <c r="EY31" s="99" t="s">
        <v>199</v>
      </c>
      <c r="EZ31" s="87" t="s">
        <v>206</v>
      </c>
      <c r="FA31" s="87" t="s">
        <v>204</v>
      </c>
      <c r="FB31" s="72" t="s">
        <v>127</v>
      </c>
      <c r="FC31" s="72" t="s">
        <v>127</v>
      </c>
      <c r="FD31" s="87" t="s">
        <v>204</v>
      </c>
      <c r="FE31" s="87" t="s">
        <v>206</v>
      </c>
      <c r="FF31" s="88" t="s">
        <v>214</v>
      </c>
      <c r="FG31" s="72"/>
      <c r="FH31" s="98"/>
      <c r="FI31" s="98" t="s">
        <v>233</v>
      </c>
      <c r="FJ31" s="99" t="s">
        <v>208</v>
      </c>
      <c r="FK31" s="99" t="s">
        <v>208</v>
      </c>
      <c r="FL31" s="99" t="s">
        <v>227</v>
      </c>
      <c r="FM31" s="72" t="s">
        <v>2</v>
      </c>
      <c r="FN31" s="114" t="s">
        <v>226</v>
      </c>
      <c r="FO31" s="114" t="s">
        <v>197</v>
      </c>
      <c r="FP31" s="114" t="s">
        <v>197</v>
      </c>
      <c r="FQ31" s="114" t="s">
        <v>197</v>
      </c>
      <c r="FR31" s="114" t="s">
        <v>197</v>
      </c>
      <c r="FS31" s="72" t="s">
        <v>127</v>
      </c>
      <c r="FT31" s="72"/>
      <c r="FU31" s="113" t="s">
        <v>127</v>
      </c>
      <c r="FV31" s="139" t="s">
        <v>198</v>
      </c>
      <c r="FW31" s="139" t="s">
        <v>198</v>
      </c>
      <c r="FX31" s="139" t="s">
        <v>198</v>
      </c>
      <c r="FY31" s="122" t="s">
        <v>197</v>
      </c>
      <c r="FZ31" s="113" t="s">
        <v>127</v>
      </c>
      <c r="GA31" s="138"/>
      <c r="GB31" s="71" t="s">
        <v>202</v>
      </c>
      <c r="GC31" s="71" t="s">
        <v>202</v>
      </c>
      <c r="GD31" s="71" t="s">
        <v>203</v>
      </c>
      <c r="GE31" s="138" t="s">
        <v>127</v>
      </c>
      <c r="GF31" s="113" t="s">
        <v>127</v>
      </c>
      <c r="GG31" s="113" t="s">
        <v>202</v>
      </c>
      <c r="GH31" s="138"/>
      <c r="GI31" s="54" t="s">
        <v>222</v>
      </c>
      <c r="GJ31" s="128" t="s">
        <v>229</v>
      </c>
      <c r="GK31" s="128" t="s">
        <v>229</v>
      </c>
      <c r="GL31" s="548"/>
      <c r="GM31" s="539"/>
      <c r="GN31" s="539"/>
      <c r="GO31" s="549"/>
      <c r="GP31" s="548"/>
      <c r="GQ31" s="539"/>
      <c r="GR31" s="539"/>
      <c r="GS31" s="539"/>
      <c r="GT31" s="539"/>
      <c r="GU31" s="539"/>
      <c r="GV31" s="549"/>
      <c r="GW31" s="548"/>
      <c r="GX31" s="539"/>
      <c r="GY31" s="539"/>
      <c r="GZ31" s="539"/>
      <c r="HA31" s="539"/>
      <c r="HB31" s="539"/>
      <c r="HC31" s="549"/>
      <c r="HD31" s="548"/>
      <c r="HE31" s="539"/>
      <c r="HF31" s="539"/>
      <c r="HG31" s="539"/>
      <c r="HH31" s="539"/>
      <c r="HI31" s="539"/>
      <c r="HJ31" s="549"/>
      <c r="HK31" s="548"/>
      <c r="HL31" s="539"/>
      <c r="HM31" s="539"/>
      <c r="HN31" s="539"/>
      <c r="HO31" s="539"/>
      <c r="HP31" s="539"/>
      <c r="HQ31" s="549"/>
      <c r="HR31" s="65" t="s">
        <v>202</v>
      </c>
      <c r="HS31" s="65" t="s">
        <v>199</v>
      </c>
      <c r="HT31" s="65" t="s">
        <v>202</v>
      </c>
      <c r="HU31" s="65" t="s">
        <v>202</v>
      </c>
      <c r="HV31" s="65" t="s">
        <v>202</v>
      </c>
      <c r="HW31" s="61" t="s">
        <v>127</v>
      </c>
      <c r="HX31" s="142"/>
      <c r="HY31" s="58" t="s">
        <v>202</v>
      </c>
      <c r="HZ31" s="82" t="s">
        <v>196</v>
      </c>
      <c r="IA31" s="58" t="s">
        <v>202</v>
      </c>
      <c r="IB31" s="58" t="s">
        <v>202</v>
      </c>
      <c r="IC31" s="58" t="s">
        <v>127</v>
      </c>
      <c r="ID31" s="80" t="s">
        <v>205</v>
      </c>
      <c r="IE31" s="61" t="s">
        <v>127</v>
      </c>
      <c r="IF31" s="81" t="s">
        <v>196</v>
      </c>
      <c r="IG31" s="81" t="s">
        <v>197</v>
      </c>
      <c r="IH31" s="61" t="s">
        <v>2</v>
      </c>
      <c r="II31" s="61" t="s">
        <v>2</v>
      </c>
      <c r="IJ31" s="82" t="s">
        <v>203</v>
      </c>
      <c r="IK31" s="82" t="s">
        <v>196</v>
      </c>
      <c r="IL31" s="65"/>
      <c r="IM31" s="58" t="s">
        <v>202</v>
      </c>
      <c r="IN31" s="61" t="s">
        <v>2</v>
      </c>
      <c r="IO31" s="82" t="s">
        <v>196</v>
      </c>
      <c r="IP31" s="82" t="s">
        <v>196</v>
      </c>
      <c r="IQ31" s="61" t="s">
        <v>2</v>
      </c>
      <c r="IR31" s="55" t="s">
        <v>200</v>
      </c>
      <c r="IS31" s="65"/>
      <c r="IT31" s="56" t="s">
        <v>2</v>
      </c>
      <c r="IU31" s="55" t="s">
        <v>200</v>
      </c>
      <c r="IV31" s="55" t="s">
        <v>201</v>
      </c>
      <c r="IW31" s="55" t="s">
        <v>200</v>
      </c>
      <c r="IX31" s="55" t="s">
        <v>201</v>
      </c>
      <c r="IY31" s="55" t="s">
        <v>201</v>
      </c>
      <c r="IZ31" s="56" t="s">
        <v>2</v>
      </c>
      <c r="JA31" s="80" t="s">
        <v>205</v>
      </c>
      <c r="JB31" s="80" t="s">
        <v>205</v>
      </c>
      <c r="JC31" s="80" t="s">
        <v>205</v>
      </c>
      <c r="JD31" s="80" t="s">
        <v>205</v>
      </c>
      <c r="JE31" s="56" t="s">
        <v>130</v>
      </c>
      <c r="JF31" s="56" t="s">
        <v>2</v>
      </c>
      <c r="JG31" s="56" t="s">
        <v>2</v>
      </c>
      <c r="JH31" s="55" t="s">
        <v>201</v>
      </c>
      <c r="JI31" s="56" t="s">
        <v>2</v>
      </c>
      <c r="JJ31" s="82" t="s">
        <v>203</v>
      </c>
      <c r="JK31" s="82" t="s">
        <v>203</v>
      </c>
      <c r="JL31" s="56" t="s">
        <v>2</v>
      </c>
      <c r="JM31" s="55" t="s">
        <v>200</v>
      </c>
      <c r="JN31" s="54" t="s">
        <v>198</v>
      </c>
      <c r="JO31" s="80" t="s">
        <v>205</v>
      </c>
      <c r="JP31" s="80" t="s">
        <v>205</v>
      </c>
      <c r="JQ31" s="82" t="s">
        <v>196</v>
      </c>
      <c r="JR31" s="82" t="s">
        <v>196</v>
      </c>
      <c r="JS31" s="55" t="s">
        <v>200</v>
      </c>
      <c r="JT31" s="56" t="s">
        <v>2</v>
      </c>
      <c r="JU31" s="56" t="s">
        <v>2</v>
      </c>
    </row>
    <row r="32" spans="1:351" ht="13" hidden="1">
      <c r="M32" s="495"/>
      <c r="O32" s="48" t="s">
        <v>192</v>
      </c>
      <c r="P32" s="548"/>
      <c r="Q32" s="539"/>
      <c r="R32" s="539"/>
      <c r="S32" s="539"/>
      <c r="T32" s="539"/>
      <c r="U32" s="539"/>
      <c r="V32" s="549"/>
      <c r="W32" s="548"/>
      <c r="X32" s="539"/>
      <c r="Y32" s="539"/>
      <c r="Z32" s="539"/>
      <c r="AA32" s="539"/>
      <c r="AB32" s="539"/>
      <c r="AC32" s="549"/>
      <c r="AD32" s="548"/>
      <c r="AE32" s="539"/>
      <c r="AF32" s="539"/>
      <c r="AG32" s="539"/>
      <c r="AH32" s="539"/>
      <c r="AI32" s="539"/>
      <c r="AJ32" s="549"/>
      <c r="AK32" s="548"/>
      <c r="AL32" s="539"/>
      <c r="AM32" s="539"/>
      <c r="AN32" s="539"/>
      <c r="AO32" s="539"/>
      <c r="AP32" s="539"/>
      <c r="AQ32" s="549"/>
      <c r="AR32" s="556"/>
      <c r="AS32" s="546"/>
      <c r="AT32" s="546"/>
      <c r="AU32" s="546"/>
      <c r="AV32" s="546"/>
      <c r="AW32" s="546"/>
      <c r="AX32" s="547"/>
      <c r="AY32" s="556"/>
      <c r="AZ32" s="546"/>
      <c r="BA32" s="546"/>
      <c r="BB32" s="546"/>
      <c r="BC32" s="546"/>
      <c r="BD32" s="546"/>
      <c r="BE32" s="547"/>
      <c r="BF32" s="556"/>
      <c r="BG32" s="546"/>
      <c r="BH32" s="546"/>
      <c r="BI32" s="546"/>
      <c r="BJ32" s="546"/>
      <c r="BK32" s="546"/>
      <c r="BL32" s="547"/>
      <c r="BM32" s="131"/>
      <c r="BN32" s="131"/>
      <c r="BO32" s="131"/>
      <c r="BP32" s="131"/>
      <c r="BQ32" s="131"/>
      <c r="BR32" s="72"/>
      <c r="BS32" s="72"/>
      <c r="BT32" s="131" t="s">
        <v>203</v>
      </c>
      <c r="BU32" s="131" t="s">
        <v>203</v>
      </c>
      <c r="BV32" s="131" t="s">
        <v>203</v>
      </c>
      <c r="BW32" s="131" t="s">
        <v>203</v>
      </c>
      <c r="BX32" s="131" t="s">
        <v>202</v>
      </c>
      <c r="BY32" s="72" t="s">
        <v>127</v>
      </c>
      <c r="BZ32" s="72" t="s">
        <v>127</v>
      </c>
      <c r="CA32" s="157" t="s">
        <v>197</v>
      </c>
      <c r="CB32" s="157" t="s">
        <v>197</v>
      </c>
      <c r="CC32" s="157" t="s">
        <v>197</v>
      </c>
      <c r="CD32" s="136" t="s">
        <v>127</v>
      </c>
      <c r="CE32" s="136" t="s">
        <v>127</v>
      </c>
      <c r="CF32" s="146" t="s">
        <v>214</v>
      </c>
      <c r="CG32" s="146" t="s">
        <v>214</v>
      </c>
      <c r="CH32" s="114" t="s">
        <v>197</v>
      </c>
      <c r="CI32" s="114" t="s">
        <v>197</v>
      </c>
      <c r="CJ32" s="114" t="s">
        <v>203</v>
      </c>
      <c r="CK32" s="114" t="s">
        <v>203</v>
      </c>
      <c r="CL32" s="114" t="s">
        <v>203</v>
      </c>
      <c r="CM32" s="72" t="s">
        <v>127</v>
      </c>
      <c r="CN32" s="72"/>
      <c r="CO32" s="87" t="s">
        <v>206</v>
      </c>
      <c r="CP32" s="87" t="s">
        <v>204</v>
      </c>
      <c r="CQ32" s="87" t="s">
        <v>204</v>
      </c>
      <c r="CR32" s="87" t="s">
        <v>206</v>
      </c>
      <c r="CS32" s="87" t="s">
        <v>206</v>
      </c>
      <c r="CT32" s="72" t="s">
        <v>127</v>
      </c>
      <c r="CU32" s="72" t="s">
        <v>127</v>
      </c>
      <c r="CV32" s="99" t="s">
        <v>198</v>
      </c>
      <c r="CW32" s="72" t="s">
        <v>127</v>
      </c>
      <c r="CX32" s="99" t="s">
        <v>199</v>
      </c>
      <c r="CY32" s="99" t="s">
        <v>202</v>
      </c>
      <c r="CZ32" s="99" t="s">
        <v>199</v>
      </c>
      <c r="DA32" s="72" t="s">
        <v>127</v>
      </c>
      <c r="DB32" s="99"/>
      <c r="DC32" s="98" t="s">
        <v>200</v>
      </c>
      <c r="DD32" s="98" t="s">
        <v>198</v>
      </c>
      <c r="DE32" s="98" t="s">
        <v>198</v>
      </c>
      <c r="DF32" s="72" t="s">
        <v>127</v>
      </c>
      <c r="DG32" s="87" t="s">
        <v>204</v>
      </c>
      <c r="DH32" s="72" t="s">
        <v>127</v>
      </c>
      <c r="DI32" s="88"/>
      <c r="DJ32" s="116" t="s">
        <v>204</v>
      </c>
      <c r="DK32" s="116" t="s">
        <v>206</v>
      </c>
      <c r="DL32" s="116" t="s">
        <v>204</v>
      </c>
      <c r="DM32" s="116" t="s">
        <v>204</v>
      </c>
      <c r="DN32" s="116" t="s">
        <v>206</v>
      </c>
      <c r="DO32" s="113" t="s">
        <v>127</v>
      </c>
      <c r="DP32" s="113" t="s">
        <v>127</v>
      </c>
      <c r="DQ32" s="131" t="s">
        <v>203</v>
      </c>
      <c r="DR32" s="131" t="s">
        <v>203</v>
      </c>
      <c r="DS32" s="131" t="s">
        <v>203</v>
      </c>
      <c r="DT32" s="131" t="s">
        <v>203</v>
      </c>
      <c r="DU32" s="114" t="s">
        <v>197</v>
      </c>
      <c r="DV32" s="72" t="s">
        <v>127</v>
      </c>
      <c r="DW32" s="72" t="s">
        <v>127</v>
      </c>
      <c r="DX32" s="98" t="s">
        <v>200</v>
      </c>
      <c r="DY32" s="98" t="s">
        <v>198</v>
      </c>
      <c r="DZ32" s="98" t="s">
        <v>198</v>
      </c>
      <c r="EA32" s="72" t="s">
        <v>127</v>
      </c>
      <c r="EB32" s="151" t="s">
        <v>203</v>
      </c>
      <c r="EC32" s="98" t="s">
        <v>199</v>
      </c>
      <c r="ED32" s="72" t="s">
        <v>127</v>
      </c>
      <c r="EE32" s="98" t="s">
        <v>200</v>
      </c>
      <c r="EF32" s="99" t="s">
        <v>202</v>
      </c>
      <c r="EG32" s="99" t="s">
        <v>202</v>
      </c>
      <c r="EH32" s="99" t="s">
        <v>202</v>
      </c>
      <c r="EI32" s="114" t="s">
        <v>197</v>
      </c>
      <c r="EJ32" s="72" t="s">
        <v>127</v>
      </c>
      <c r="EK32" s="72" t="s">
        <v>127</v>
      </c>
      <c r="EL32" s="131" t="s">
        <v>203</v>
      </c>
      <c r="EM32" s="131" t="s">
        <v>203</v>
      </c>
      <c r="EN32" s="131" t="s">
        <v>203</v>
      </c>
      <c r="EO32" s="72" t="s">
        <v>127</v>
      </c>
      <c r="EP32" s="114" t="s">
        <v>197</v>
      </c>
      <c r="EQ32" s="114" t="s">
        <v>197</v>
      </c>
      <c r="ER32" s="72" t="s">
        <v>127</v>
      </c>
      <c r="ES32" s="72" t="s">
        <v>127</v>
      </c>
      <c r="ET32" s="87" t="s">
        <v>207</v>
      </c>
      <c r="EU32" s="87" t="s">
        <v>204</v>
      </c>
      <c r="EV32" s="72" t="s">
        <v>127</v>
      </c>
      <c r="EW32" s="87" t="s">
        <v>206</v>
      </c>
      <c r="EX32" s="87" t="s">
        <v>204</v>
      </c>
      <c r="EY32" s="87" t="s">
        <v>204</v>
      </c>
      <c r="EZ32" s="87" t="s">
        <v>206</v>
      </c>
      <c r="FA32" s="72" t="s">
        <v>127</v>
      </c>
      <c r="FB32" s="72" t="s">
        <v>127</v>
      </c>
      <c r="FC32" s="99" t="s">
        <v>202</v>
      </c>
      <c r="FD32" s="99" t="s">
        <v>202</v>
      </c>
      <c r="FE32" s="99" t="s">
        <v>202</v>
      </c>
      <c r="FF32" s="99" t="s">
        <v>199</v>
      </c>
      <c r="FG32" s="98"/>
      <c r="FH32" s="72"/>
      <c r="FI32" s="72" t="s">
        <v>2</v>
      </c>
      <c r="FJ32" s="98" t="s">
        <v>233</v>
      </c>
      <c r="FK32" s="98" t="s">
        <v>233</v>
      </c>
      <c r="FL32" s="98" t="s">
        <v>225</v>
      </c>
      <c r="FM32" s="99" t="s">
        <v>227</v>
      </c>
      <c r="FN32" s="71" t="s">
        <v>220</v>
      </c>
      <c r="FO32" s="72" t="s">
        <v>127</v>
      </c>
      <c r="FP32" s="72" t="s">
        <v>127</v>
      </c>
      <c r="FQ32" s="99" t="s">
        <v>199</v>
      </c>
      <c r="FR32" s="139" t="s">
        <v>198</v>
      </c>
      <c r="FS32" s="98" t="s">
        <v>198</v>
      </c>
      <c r="FT32" s="88"/>
      <c r="FU32" s="87" t="s">
        <v>206</v>
      </c>
      <c r="FV32" s="113" t="s">
        <v>127</v>
      </c>
      <c r="FW32" s="99" t="s">
        <v>199</v>
      </c>
      <c r="FX32" s="99" t="s">
        <v>202</v>
      </c>
      <c r="FY32" s="99" t="s">
        <v>202</v>
      </c>
      <c r="FZ32" s="99" t="s">
        <v>202</v>
      </c>
      <c r="GA32" s="113"/>
      <c r="GB32" s="138" t="s">
        <v>198</v>
      </c>
      <c r="GC32" s="138" t="s">
        <v>199</v>
      </c>
      <c r="GD32" s="138" t="s">
        <v>199</v>
      </c>
      <c r="GE32" s="113" t="s">
        <v>202</v>
      </c>
      <c r="GF32" s="138" t="s">
        <v>199</v>
      </c>
      <c r="GG32" s="138" t="s">
        <v>127</v>
      </c>
      <c r="GH32" s="113" t="s">
        <v>127</v>
      </c>
      <c r="GI32" s="58" t="s">
        <v>220</v>
      </c>
      <c r="GJ32" s="131" t="s">
        <v>219</v>
      </c>
      <c r="GK32" s="131" t="s">
        <v>219</v>
      </c>
      <c r="GL32" s="548"/>
      <c r="GM32" s="539"/>
      <c r="GN32" s="539"/>
      <c r="GO32" s="549"/>
      <c r="GP32" s="548"/>
      <c r="GQ32" s="539"/>
      <c r="GR32" s="539"/>
      <c r="GS32" s="539"/>
      <c r="GT32" s="539"/>
      <c r="GU32" s="539"/>
      <c r="GV32" s="549"/>
      <c r="GW32" s="548"/>
      <c r="GX32" s="539"/>
      <c r="GY32" s="539"/>
      <c r="GZ32" s="539"/>
      <c r="HA32" s="539"/>
      <c r="HB32" s="539"/>
      <c r="HC32" s="549"/>
      <c r="HD32" s="548"/>
      <c r="HE32" s="539"/>
      <c r="HF32" s="539"/>
      <c r="HG32" s="539"/>
      <c r="HH32" s="539"/>
      <c r="HI32" s="539"/>
      <c r="HJ32" s="549"/>
      <c r="HK32" s="548"/>
      <c r="HL32" s="539"/>
      <c r="HM32" s="539"/>
      <c r="HN32" s="539"/>
      <c r="HO32" s="539"/>
      <c r="HP32" s="539"/>
      <c r="HQ32" s="549"/>
      <c r="HR32" s="58" t="s">
        <v>127</v>
      </c>
      <c r="HS32" s="61" t="s">
        <v>203</v>
      </c>
      <c r="HT32" s="58" t="s">
        <v>203</v>
      </c>
      <c r="HU32" s="58" t="s">
        <v>203</v>
      </c>
      <c r="HV32" s="58" t="s">
        <v>203</v>
      </c>
      <c r="HW32" s="82" t="s">
        <v>196</v>
      </c>
      <c r="HX32" s="142"/>
      <c r="HY32" s="55" t="s">
        <v>200</v>
      </c>
      <c r="HZ32" s="55" t="s">
        <v>201</v>
      </c>
      <c r="IA32" s="55" t="s">
        <v>201</v>
      </c>
      <c r="IB32" s="55" t="s">
        <v>200</v>
      </c>
      <c r="IC32" s="80" t="s">
        <v>204</v>
      </c>
      <c r="ID32" s="61" t="s">
        <v>127</v>
      </c>
      <c r="IE32" s="61" t="s">
        <v>127</v>
      </c>
      <c r="IF32" s="80" t="s">
        <v>205</v>
      </c>
      <c r="IG32" s="80" t="s">
        <v>206</v>
      </c>
      <c r="IH32" s="82" t="s">
        <v>203</v>
      </c>
      <c r="II32" s="82" t="s">
        <v>203</v>
      </c>
      <c r="IJ32" s="61" t="s">
        <v>2</v>
      </c>
      <c r="IK32" s="55" t="s">
        <v>200</v>
      </c>
      <c r="IL32" s="61" t="s">
        <v>2</v>
      </c>
      <c r="IM32" s="61" t="s">
        <v>2</v>
      </c>
      <c r="IN32" s="58" t="s">
        <v>202</v>
      </c>
      <c r="IO32" s="82" t="s">
        <v>203</v>
      </c>
      <c r="IP32" s="82" t="s">
        <v>203</v>
      </c>
      <c r="IQ32" s="82" t="s">
        <v>203</v>
      </c>
      <c r="IR32" s="80" t="s">
        <v>205</v>
      </c>
      <c r="IS32" s="61" t="s">
        <v>2</v>
      </c>
      <c r="IT32" s="80" t="s">
        <v>204</v>
      </c>
      <c r="IU32" s="80" t="s">
        <v>204</v>
      </c>
      <c r="IV32" s="56" t="s">
        <v>2</v>
      </c>
      <c r="IW32" s="80" t="s">
        <v>204</v>
      </c>
      <c r="IX32" s="80" t="s">
        <v>205</v>
      </c>
      <c r="IY32" s="56" t="s">
        <v>2</v>
      </c>
      <c r="IZ32" s="54" t="s">
        <v>200</v>
      </c>
      <c r="JA32" s="55" t="s">
        <v>201</v>
      </c>
      <c r="JB32" s="55" t="s">
        <v>201</v>
      </c>
      <c r="JC32" s="55" t="s">
        <v>200</v>
      </c>
      <c r="JD32" s="55" t="s">
        <v>200</v>
      </c>
      <c r="JE32" s="56" t="s">
        <v>130</v>
      </c>
      <c r="JF32" s="56" t="s">
        <v>2</v>
      </c>
      <c r="JG32" s="56" t="s">
        <v>2</v>
      </c>
      <c r="JH32" s="56" t="s">
        <v>2</v>
      </c>
      <c r="JI32" s="56" t="s">
        <v>2</v>
      </c>
      <c r="JJ32" s="54" t="s">
        <v>198</v>
      </c>
      <c r="JK32" s="54" t="s">
        <v>199</v>
      </c>
      <c r="JL32" s="54" t="s">
        <v>198</v>
      </c>
      <c r="JM32" s="80" t="s">
        <v>205</v>
      </c>
      <c r="JN32" s="54" t="s">
        <v>199</v>
      </c>
      <c r="JO32" s="56" t="s">
        <v>2</v>
      </c>
      <c r="JP32" s="58" t="s">
        <v>202</v>
      </c>
      <c r="JQ32" s="58" t="s">
        <v>202</v>
      </c>
      <c r="JR32" s="58" t="s">
        <v>202</v>
      </c>
      <c r="JS32" s="58" t="s">
        <v>202</v>
      </c>
      <c r="JT32" s="55" t="s">
        <v>201</v>
      </c>
      <c r="JU32" s="56" t="s">
        <v>2</v>
      </c>
    </row>
    <row r="33" spans="13:281" ht="13" hidden="1">
      <c r="M33" s="495"/>
      <c r="O33" s="83" t="s">
        <v>193</v>
      </c>
      <c r="P33" s="550"/>
      <c r="Q33" s="551"/>
      <c r="R33" s="551"/>
      <c r="S33" s="551"/>
      <c r="T33" s="551"/>
      <c r="U33" s="551"/>
      <c r="V33" s="552"/>
      <c r="W33" s="550"/>
      <c r="X33" s="551"/>
      <c r="Y33" s="551"/>
      <c r="Z33" s="551"/>
      <c r="AA33" s="551"/>
      <c r="AB33" s="551"/>
      <c r="AC33" s="552"/>
      <c r="AD33" s="550"/>
      <c r="AE33" s="551"/>
      <c r="AF33" s="551"/>
      <c r="AG33" s="551"/>
      <c r="AH33" s="551"/>
      <c r="AI33" s="551"/>
      <c r="AJ33" s="552"/>
      <c r="AK33" s="550"/>
      <c r="AL33" s="551"/>
      <c r="AM33" s="551"/>
      <c r="AN33" s="551"/>
      <c r="AO33" s="551"/>
      <c r="AP33" s="551"/>
      <c r="AQ33" s="552"/>
      <c r="AR33" s="550"/>
      <c r="AS33" s="551"/>
      <c r="AT33" s="551"/>
      <c r="AU33" s="551"/>
      <c r="AV33" s="551"/>
      <c r="AW33" s="551"/>
      <c r="AX33" s="552"/>
      <c r="AY33" s="550"/>
      <c r="AZ33" s="551"/>
      <c r="BA33" s="551"/>
      <c r="BB33" s="551"/>
      <c r="BC33" s="551"/>
      <c r="BD33" s="551"/>
      <c r="BE33" s="552"/>
      <c r="BF33" s="550"/>
      <c r="BG33" s="551"/>
      <c r="BH33" s="551"/>
      <c r="BI33" s="551"/>
      <c r="BJ33" s="551"/>
      <c r="BK33" s="551"/>
      <c r="BL33" s="552"/>
      <c r="BM33" s="553"/>
      <c r="BN33" s="554"/>
      <c r="BO33" s="554"/>
      <c r="BP33" s="554"/>
      <c r="BQ33" s="554"/>
      <c r="BR33" s="554"/>
      <c r="BS33" s="555"/>
      <c r="BT33" s="553"/>
      <c r="BU33" s="554"/>
      <c r="BV33" s="554"/>
      <c r="BW33" s="554"/>
      <c r="BX33" s="554"/>
      <c r="BY33" s="554"/>
      <c r="BZ33" s="555"/>
      <c r="CA33" s="553"/>
      <c r="CB33" s="554"/>
      <c r="CC33" s="554"/>
      <c r="CD33" s="554"/>
      <c r="CE33" s="554"/>
      <c r="CF33" s="554"/>
      <c r="CG33" s="555"/>
      <c r="CH33" s="553"/>
      <c r="CI33" s="554"/>
      <c r="CJ33" s="554"/>
      <c r="CK33" s="554"/>
      <c r="CL33" s="554"/>
      <c r="CM33" s="554"/>
      <c r="CN33" s="555"/>
      <c r="CO33" s="553"/>
      <c r="CP33" s="554"/>
      <c r="CQ33" s="554"/>
      <c r="CR33" s="554"/>
      <c r="CS33" s="554"/>
      <c r="CT33" s="554"/>
      <c r="CU33" s="555"/>
      <c r="CV33" s="553"/>
      <c r="CW33" s="554"/>
      <c r="CX33" s="554"/>
      <c r="CY33" s="554"/>
      <c r="CZ33" s="554"/>
      <c r="DA33" s="554"/>
      <c r="DB33" s="555"/>
      <c r="DC33" s="553"/>
      <c r="DD33" s="554"/>
      <c r="DE33" s="554"/>
      <c r="DF33" s="554"/>
      <c r="DG33" s="554"/>
      <c r="DH33" s="554"/>
      <c r="DI33" s="555"/>
      <c r="DJ33" s="553"/>
      <c r="DK33" s="554"/>
      <c r="DL33" s="554"/>
      <c r="DM33" s="554"/>
      <c r="DN33" s="554"/>
      <c r="DO33" s="554"/>
      <c r="DP33" s="555"/>
      <c r="DQ33" s="553"/>
      <c r="DR33" s="554"/>
      <c r="DS33" s="554"/>
      <c r="DT33" s="554"/>
      <c r="DU33" s="554"/>
      <c r="DV33" s="554"/>
      <c r="DW33" s="555"/>
      <c r="DX33" s="553"/>
      <c r="DY33" s="554"/>
      <c r="DZ33" s="554"/>
      <c r="EA33" s="554"/>
      <c r="EB33" s="554"/>
      <c r="EC33" s="554"/>
      <c r="ED33" s="555"/>
      <c r="EE33" s="131"/>
      <c r="EF33" s="131"/>
      <c r="EG33" s="131"/>
      <c r="EH33" s="131"/>
      <c r="EI33" s="131"/>
      <c r="EJ33" s="72"/>
      <c r="EK33" s="72"/>
      <c r="EL33" s="71"/>
      <c r="EM33" s="71"/>
      <c r="EN33" s="71"/>
      <c r="EO33" s="113"/>
      <c r="EP33" s="71" t="s">
        <v>196</v>
      </c>
      <c r="EQ33" s="113" t="s">
        <v>127</v>
      </c>
      <c r="ER33" s="113" t="s">
        <v>127</v>
      </c>
      <c r="ES33" s="114" t="s">
        <v>197</v>
      </c>
      <c r="ET33" s="114" t="s">
        <v>197</v>
      </c>
      <c r="EU33" s="114" t="s">
        <v>197</v>
      </c>
      <c r="EV33" s="114" t="s">
        <v>197</v>
      </c>
      <c r="EW33" s="114" t="s">
        <v>196</v>
      </c>
      <c r="EX33" s="113" t="s">
        <v>127</v>
      </c>
      <c r="EY33" s="113" t="s">
        <v>127</v>
      </c>
      <c r="EZ33" s="122" t="s">
        <v>197</v>
      </c>
      <c r="FA33" s="122" t="s">
        <v>197</v>
      </c>
      <c r="FB33" s="122" t="s">
        <v>197</v>
      </c>
      <c r="FC33" s="122" t="s">
        <v>197</v>
      </c>
      <c r="FD33" s="122" t="s">
        <v>197</v>
      </c>
      <c r="FE33" s="113" t="s">
        <v>127</v>
      </c>
      <c r="FF33" s="113" t="s">
        <v>127</v>
      </c>
      <c r="FG33" s="71"/>
      <c r="FH33" s="71"/>
      <c r="FI33" s="71" t="s">
        <v>219</v>
      </c>
      <c r="FJ33" s="71" t="s">
        <v>219</v>
      </c>
      <c r="FK33" s="71" t="s">
        <v>219</v>
      </c>
      <c r="FL33" s="113" t="s">
        <v>2</v>
      </c>
      <c r="FM33" s="113" t="s">
        <v>2</v>
      </c>
      <c r="FN33" s="122" t="s">
        <v>219</v>
      </c>
      <c r="FO33" s="122" t="s">
        <v>197</v>
      </c>
      <c r="FP33" s="122" t="s">
        <v>197</v>
      </c>
      <c r="FQ33" s="122" t="s">
        <v>197</v>
      </c>
      <c r="FR33" s="122" t="s">
        <v>197</v>
      </c>
      <c r="FS33" s="72" t="s">
        <v>127</v>
      </c>
      <c r="FT33" s="113"/>
      <c r="FU33" s="122" t="s">
        <v>197</v>
      </c>
      <c r="FV33" s="122" t="s">
        <v>197</v>
      </c>
      <c r="FW33" s="122" t="s">
        <v>197</v>
      </c>
      <c r="FX33" s="122" t="s">
        <v>197</v>
      </c>
      <c r="FY33" s="113" t="s">
        <v>127</v>
      </c>
      <c r="FZ33" s="113" t="s">
        <v>127</v>
      </c>
      <c r="GA33" s="164"/>
      <c r="GB33" s="116" t="s">
        <v>204</v>
      </c>
      <c r="GC33" s="116" t="s">
        <v>206</v>
      </c>
      <c r="GD33" s="116" t="s">
        <v>206</v>
      </c>
      <c r="GE33" s="116" t="s">
        <v>204</v>
      </c>
      <c r="GF33" s="114" t="s">
        <v>203</v>
      </c>
      <c r="GG33" s="113" t="s">
        <v>127</v>
      </c>
      <c r="GH33" s="113" t="s">
        <v>127</v>
      </c>
      <c r="GI33" s="56" t="s">
        <v>2</v>
      </c>
      <c r="GJ33" s="129" t="s">
        <v>2</v>
      </c>
      <c r="GK33" s="129" t="s">
        <v>2</v>
      </c>
      <c r="GL33" s="550"/>
      <c r="GM33" s="551"/>
      <c r="GN33" s="551"/>
      <c r="GO33" s="552"/>
      <c r="GP33" s="550"/>
      <c r="GQ33" s="551"/>
      <c r="GR33" s="551"/>
      <c r="GS33" s="551"/>
      <c r="GT33" s="551"/>
      <c r="GU33" s="551"/>
      <c r="GV33" s="552"/>
      <c r="GW33" s="550"/>
      <c r="GX33" s="551"/>
      <c r="GY33" s="551"/>
      <c r="GZ33" s="551"/>
      <c r="HA33" s="551"/>
      <c r="HB33" s="551"/>
      <c r="HC33" s="552"/>
      <c r="HD33" s="550"/>
      <c r="HE33" s="551"/>
      <c r="HF33" s="551"/>
      <c r="HG33" s="551"/>
      <c r="HH33" s="551"/>
      <c r="HI33" s="551"/>
      <c r="HJ33" s="552"/>
      <c r="HK33" s="550"/>
      <c r="HL33" s="551"/>
      <c r="HM33" s="551"/>
      <c r="HN33" s="551"/>
      <c r="HO33" s="551"/>
      <c r="HP33" s="551"/>
      <c r="HQ33" s="552"/>
      <c r="HR33" s="90" t="s">
        <v>200</v>
      </c>
      <c r="HS33" s="55" t="s">
        <v>198</v>
      </c>
      <c r="HT33" s="55" t="s">
        <v>200</v>
      </c>
      <c r="HU33" s="55" t="s">
        <v>200</v>
      </c>
      <c r="HV33" s="55" t="s">
        <v>200</v>
      </c>
      <c r="HW33" s="61" t="s">
        <v>127</v>
      </c>
      <c r="HX33" s="142"/>
      <c r="HY33" s="80" t="s">
        <v>204</v>
      </c>
      <c r="HZ33" s="80" t="s">
        <v>205</v>
      </c>
      <c r="IA33" s="80" t="s">
        <v>204</v>
      </c>
      <c r="IB33" s="80" t="s">
        <v>205</v>
      </c>
      <c r="IC33" s="55" t="s">
        <v>200</v>
      </c>
      <c r="ID33" s="61" t="s">
        <v>127</v>
      </c>
      <c r="IE33" s="61" t="s">
        <v>127</v>
      </c>
      <c r="IF33" s="80" t="s">
        <v>206</v>
      </c>
      <c r="IG33" s="58" t="s">
        <v>202</v>
      </c>
      <c r="IH33" s="58" t="s">
        <v>202</v>
      </c>
      <c r="II33" s="58" t="s">
        <v>202</v>
      </c>
      <c r="IJ33" s="58" t="s">
        <v>202</v>
      </c>
      <c r="IK33" s="61" t="s">
        <v>2</v>
      </c>
      <c r="IL33" s="61" t="s">
        <v>2</v>
      </c>
      <c r="IM33" s="81" t="s">
        <v>196</v>
      </c>
      <c r="IN33" s="81" t="s">
        <v>197</v>
      </c>
      <c r="IO33" s="81" t="s">
        <v>197</v>
      </c>
      <c r="IP33" s="81" t="s">
        <v>197</v>
      </c>
      <c r="IQ33" s="65" t="s">
        <v>198</v>
      </c>
      <c r="IR33" s="61" t="s">
        <v>2</v>
      </c>
      <c r="IS33" s="61" t="s">
        <v>2</v>
      </c>
      <c r="IT33" s="55" t="s">
        <v>201</v>
      </c>
      <c r="IU33" s="55" t="s">
        <v>201</v>
      </c>
      <c r="IV33" s="55" t="s">
        <v>200</v>
      </c>
      <c r="IW33" s="55" t="s">
        <v>201</v>
      </c>
      <c r="IX33" s="55" t="s">
        <v>200</v>
      </c>
      <c r="IY33" s="56" t="s">
        <v>2</v>
      </c>
      <c r="IZ33" s="56" t="s">
        <v>2</v>
      </c>
      <c r="JA33" s="55" t="s">
        <v>200</v>
      </c>
      <c r="JB33" s="56" t="s">
        <v>2</v>
      </c>
      <c r="JC33" s="82" t="s">
        <v>196</v>
      </c>
      <c r="JD33" s="82" t="s">
        <v>203</v>
      </c>
      <c r="JE33" s="56" t="s">
        <v>2</v>
      </c>
      <c r="JF33" s="55" t="s">
        <v>200</v>
      </c>
      <c r="JG33" s="54" t="s">
        <v>200</v>
      </c>
      <c r="JH33" s="58" t="s">
        <v>202</v>
      </c>
      <c r="JI33" s="54" t="s">
        <v>199</v>
      </c>
      <c r="JJ33" s="82" t="s">
        <v>196</v>
      </c>
      <c r="JK33" s="58" t="s">
        <v>202</v>
      </c>
      <c r="JL33" s="54" t="s">
        <v>199</v>
      </c>
      <c r="JM33" s="56" t="s">
        <v>2</v>
      </c>
      <c r="JN33" s="56" t="s">
        <v>2</v>
      </c>
      <c r="JO33" s="58" t="s">
        <v>202</v>
      </c>
      <c r="JP33" s="56" t="s">
        <v>2</v>
      </c>
      <c r="JQ33" s="82" t="s">
        <v>196</v>
      </c>
      <c r="JR33" s="56" t="s">
        <v>2</v>
      </c>
      <c r="JS33" s="81" t="s">
        <v>196</v>
      </c>
      <c r="JT33" s="82" t="s">
        <v>196</v>
      </c>
      <c r="JU33" s="54" t="s">
        <v>198</v>
      </c>
    </row>
    <row r="34" spans="13:281" ht="13" hidden="1">
      <c r="M34" s="495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124"/>
      <c r="AC34" s="124"/>
      <c r="AD34" s="124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  <c r="BA34" s="124"/>
      <c r="BB34" s="124"/>
      <c r="BC34" s="124"/>
      <c r="BD34" s="124"/>
      <c r="BE34" s="124"/>
      <c r="BF34" s="124"/>
      <c r="BG34" s="124"/>
      <c r="BH34" s="124"/>
      <c r="BI34" s="124"/>
      <c r="BJ34" s="124"/>
      <c r="BK34" s="124"/>
      <c r="BL34" s="124"/>
      <c r="BM34" s="124"/>
      <c r="BN34" s="124"/>
      <c r="BO34" s="124"/>
      <c r="BP34" s="124"/>
      <c r="BQ34" s="124"/>
      <c r="BR34" s="124"/>
      <c r="BS34" s="124"/>
      <c r="BT34" s="124"/>
      <c r="BU34" s="124"/>
      <c r="BV34" s="124"/>
      <c r="BW34" s="124"/>
      <c r="BX34" s="124"/>
      <c r="BY34" s="124"/>
      <c r="BZ34" s="124"/>
      <c r="CA34" s="124"/>
      <c r="CB34" s="124"/>
      <c r="CC34" s="124"/>
      <c r="CD34" s="124"/>
      <c r="CE34" s="124"/>
      <c r="CF34" s="124"/>
      <c r="CG34" s="124"/>
      <c r="CH34" s="124"/>
      <c r="CI34" s="124"/>
      <c r="CJ34" s="124"/>
      <c r="CK34" s="124"/>
      <c r="CL34" s="124"/>
      <c r="CM34" s="124"/>
      <c r="CN34" s="124"/>
      <c r="CO34" s="124"/>
      <c r="CP34" s="124"/>
      <c r="CQ34" s="124"/>
      <c r="CR34" s="124"/>
      <c r="CS34" s="124"/>
      <c r="CT34" s="124"/>
      <c r="CU34" s="124"/>
      <c r="CV34" s="124"/>
      <c r="CW34" s="124"/>
      <c r="CX34" s="124"/>
      <c r="CY34" s="124"/>
      <c r="CZ34" s="124"/>
      <c r="DA34" s="124"/>
      <c r="DB34" s="124"/>
      <c r="DC34" s="124"/>
      <c r="DD34" s="124"/>
      <c r="DE34" s="124"/>
      <c r="DF34" s="124"/>
      <c r="DG34" s="124"/>
      <c r="DH34" s="124"/>
      <c r="DI34" s="124"/>
      <c r="DJ34" s="124"/>
      <c r="DK34" s="124"/>
      <c r="DL34" s="124"/>
      <c r="DM34" s="124"/>
      <c r="DN34" s="124"/>
      <c r="DO34" s="124"/>
      <c r="DP34" s="124"/>
      <c r="DQ34" s="124"/>
      <c r="DR34" s="124"/>
      <c r="DS34" s="124"/>
      <c r="DT34" s="124"/>
      <c r="DU34" s="124"/>
      <c r="DV34" s="124"/>
      <c r="DW34" s="124"/>
      <c r="DX34" s="124"/>
      <c r="DY34" s="124"/>
      <c r="DZ34" s="124"/>
      <c r="EA34" s="124"/>
      <c r="EB34" s="124"/>
      <c r="EC34" s="124"/>
      <c r="ED34" s="124"/>
      <c r="EE34" s="124"/>
      <c r="EF34" s="124"/>
      <c r="EG34" s="124"/>
      <c r="EH34" s="124"/>
      <c r="EI34" s="124"/>
      <c r="EJ34" s="124"/>
      <c r="EK34" s="124"/>
      <c r="EL34" s="124"/>
      <c r="EM34" s="124"/>
      <c r="EN34" s="124"/>
      <c r="EO34" s="124"/>
      <c r="EP34" s="124"/>
      <c r="EQ34" s="124"/>
      <c r="ER34" s="124"/>
      <c r="ES34" s="124"/>
      <c r="ET34" s="124"/>
      <c r="EU34" s="124"/>
      <c r="EV34" s="124"/>
      <c r="EW34" s="124"/>
      <c r="EX34" s="124"/>
      <c r="EY34" s="124"/>
      <c r="EZ34" s="124"/>
      <c r="FA34" s="124"/>
      <c r="FB34" s="124"/>
      <c r="FC34" s="124"/>
      <c r="FD34" s="124"/>
      <c r="FE34" s="124"/>
      <c r="FF34" s="124"/>
      <c r="FG34" s="124"/>
      <c r="FH34" s="124"/>
      <c r="FI34" s="124"/>
      <c r="FJ34" s="124"/>
      <c r="FK34" s="124"/>
      <c r="FL34" s="124"/>
      <c r="FM34" s="124"/>
      <c r="FN34" s="124"/>
      <c r="FO34" s="124"/>
      <c r="FP34" s="124"/>
      <c r="FQ34" s="124"/>
      <c r="FR34" s="124"/>
      <c r="FS34" s="124"/>
      <c r="FT34" s="124"/>
      <c r="FU34" s="124"/>
      <c r="FV34" s="124"/>
      <c r="FW34" s="124"/>
      <c r="FX34" s="124"/>
      <c r="FY34" s="124"/>
      <c r="FZ34" s="124"/>
      <c r="GA34" s="124"/>
      <c r="GB34" s="124"/>
      <c r="GC34" s="124"/>
      <c r="GD34" s="124"/>
      <c r="GE34" s="124"/>
      <c r="GF34" s="124"/>
      <c r="GG34" s="124"/>
      <c r="GH34" s="124"/>
      <c r="GI34" s="124"/>
      <c r="GJ34" s="124"/>
      <c r="GK34" s="124"/>
      <c r="GL34" s="124"/>
      <c r="GM34" s="124"/>
      <c r="GN34" s="124"/>
      <c r="GO34" s="124"/>
      <c r="GP34" s="124"/>
      <c r="GQ34" s="124"/>
      <c r="GR34" s="124"/>
      <c r="GS34" s="124"/>
      <c r="GT34" s="124"/>
      <c r="GU34" s="124"/>
      <c r="GV34" s="124"/>
      <c r="GW34" s="124"/>
      <c r="GX34" s="124"/>
      <c r="GY34" s="124"/>
      <c r="GZ34" s="124"/>
      <c r="HA34" s="124"/>
      <c r="HB34" s="124"/>
      <c r="HC34" s="124"/>
      <c r="HD34" s="124"/>
      <c r="HE34" s="124"/>
      <c r="HF34" s="124"/>
      <c r="HG34" s="124"/>
      <c r="HH34" s="124"/>
      <c r="HI34" s="124"/>
      <c r="HJ34" s="124"/>
      <c r="HK34" s="124"/>
      <c r="HL34" s="124"/>
      <c r="HM34" s="124"/>
      <c r="HN34" s="124"/>
      <c r="HO34" s="124"/>
      <c r="HP34" s="124"/>
      <c r="HQ34" s="124"/>
      <c r="HR34" s="124"/>
      <c r="HS34" s="124"/>
      <c r="HT34" s="124"/>
      <c r="HU34" s="124"/>
      <c r="HV34" s="124"/>
      <c r="HW34" s="124"/>
      <c r="HX34" s="124"/>
      <c r="HY34" s="124"/>
      <c r="HZ34" s="124"/>
      <c r="IA34" s="124"/>
      <c r="IB34" s="124"/>
      <c r="IC34" s="124"/>
      <c r="ID34" s="124"/>
      <c r="IE34" s="124"/>
      <c r="IF34" s="124"/>
      <c r="IG34" s="124"/>
      <c r="IH34" s="124"/>
      <c r="II34" s="124"/>
      <c r="IJ34" s="124"/>
      <c r="IK34" s="124"/>
      <c r="IL34" s="124"/>
      <c r="IM34" s="124"/>
      <c r="IN34" s="124"/>
      <c r="IO34" s="124"/>
      <c r="IP34" s="124"/>
      <c r="IQ34" s="124"/>
      <c r="IR34" s="124"/>
      <c r="IS34" s="124"/>
      <c r="IT34" s="124"/>
      <c r="IU34" s="124"/>
      <c r="IV34" s="124"/>
      <c r="IW34" s="124"/>
      <c r="IX34" s="124"/>
      <c r="IY34" s="124"/>
      <c r="IZ34" s="124"/>
      <c r="JA34" s="124"/>
      <c r="JB34" s="124"/>
      <c r="JC34" s="124"/>
      <c r="JD34" s="124"/>
      <c r="JE34" s="124"/>
      <c r="JF34" s="124"/>
      <c r="JG34" s="124"/>
      <c r="JH34" s="124"/>
      <c r="JI34" s="124"/>
      <c r="JJ34" s="124"/>
      <c r="JK34" s="124"/>
      <c r="JL34" s="124"/>
      <c r="JM34" s="124"/>
      <c r="JN34" s="124"/>
      <c r="JO34" s="124"/>
      <c r="JP34" s="124"/>
      <c r="JQ34" s="124"/>
      <c r="JR34" s="124"/>
      <c r="JS34" s="124"/>
      <c r="JT34" s="124"/>
      <c r="JU34" s="124"/>
    </row>
    <row r="35" spans="13:281" ht="13" hidden="1">
      <c r="M35" s="495"/>
      <c r="O35" s="165" t="s">
        <v>102</v>
      </c>
      <c r="P35" s="535"/>
      <c r="Q35" s="536"/>
      <c r="R35" s="536"/>
      <c r="S35" s="536"/>
      <c r="T35" s="536"/>
      <c r="U35" s="536"/>
      <c r="V35" s="537"/>
      <c r="W35" s="535"/>
      <c r="X35" s="536"/>
      <c r="Y35" s="536"/>
      <c r="Z35" s="536"/>
      <c r="AA35" s="536"/>
      <c r="AB35" s="536"/>
      <c r="AC35" s="537"/>
      <c r="AD35" s="535"/>
      <c r="AE35" s="536"/>
      <c r="AF35" s="536"/>
      <c r="AG35" s="536"/>
      <c r="AH35" s="536"/>
      <c r="AI35" s="536"/>
      <c r="AJ35" s="537"/>
      <c r="AK35" s="535"/>
      <c r="AL35" s="536"/>
      <c r="AM35" s="536"/>
      <c r="AN35" s="536"/>
      <c r="AO35" s="536"/>
      <c r="AP35" s="536"/>
      <c r="AQ35" s="537"/>
      <c r="AR35" s="535"/>
      <c r="AS35" s="536"/>
      <c r="AT35" s="536"/>
      <c r="AU35" s="536"/>
      <c r="AV35" s="536"/>
      <c r="AW35" s="536"/>
      <c r="AX35" s="537"/>
      <c r="AY35" s="535"/>
      <c r="AZ35" s="536"/>
      <c r="BA35" s="536"/>
      <c r="BB35" s="536"/>
      <c r="BC35" s="536"/>
      <c r="BD35" s="536"/>
      <c r="BE35" s="537"/>
      <c r="BF35" s="166" t="s">
        <v>235</v>
      </c>
      <c r="BG35" s="166" t="s">
        <v>235</v>
      </c>
      <c r="BH35" s="166" t="s">
        <v>235</v>
      </c>
      <c r="BI35" s="166" t="s">
        <v>235</v>
      </c>
      <c r="BJ35" s="166" t="s">
        <v>127</v>
      </c>
      <c r="BK35" s="166" t="s">
        <v>127</v>
      </c>
      <c r="BL35" s="166" t="s">
        <v>214</v>
      </c>
      <c r="BM35" s="166" t="s">
        <v>235</v>
      </c>
      <c r="BN35" s="166" t="s">
        <v>235</v>
      </c>
      <c r="BO35" s="166" t="s">
        <v>235</v>
      </c>
      <c r="BP35" s="166" t="s">
        <v>127</v>
      </c>
      <c r="BQ35" s="166" t="s">
        <v>127</v>
      </c>
      <c r="BR35" s="166" t="s">
        <v>235</v>
      </c>
      <c r="BS35" s="166" t="s">
        <v>235</v>
      </c>
      <c r="BT35" s="166" t="s">
        <v>235</v>
      </c>
      <c r="BU35" s="166" t="s">
        <v>235</v>
      </c>
      <c r="BV35" s="166" t="s">
        <v>235</v>
      </c>
      <c r="BW35" s="166" t="s">
        <v>127</v>
      </c>
      <c r="BX35" s="166" t="s">
        <v>127</v>
      </c>
      <c r="BY35" s="166" t="s">
        <v>235</v>
      </c>
      <c r="BZ35" s="166" t="s">
        <v>235</v>
      </c>
      <c r="CA35" s="166" t="s">
        <v>235</v>
      </c>
      <c r="CB35" s="166" t="s">
        <v>235</v>
      </c>
      <c r="CC35" s="166" t="s">
        <v>235</v>
      </c>
      <c r="CD35" s="166" t="s">
        <v>235</v>
      </c>
      <c r="CE35" s="166" t="s">
        <v>235</v>
      </c>
      <c r="CF35" s="166" t="s">
        <v>127</v>
      </c>
      <c r="CG35" s="166" t="s">
        <v>127</v>
      </c>
      <c r="CH35" s="166" t="s">
        <v>236</v>
      </c>
      <c r="CI35" s="166" t="s">
        <v>236</v>
      </c>
      <c r="CJ35" s="166" t="s">
        <v>236</v>
      </c>
      <c r="CK35" s="166" t="s">
        <v>236</v>
      </c>
      <c r="CL35" s="166" t="s">
        <v>127</v>
      </c>
      <c r="CM35" s="166" t="s">
        <v>236</v>
      </c>
      <c r="CN35" s="166" t="s">
        <v>127</v>
      </c>
      <c r="CO35" s="166" t="s">
        <v>236</v>
      </c>
      <c r="CP35" s="166" t="s">
        <v>236</v>
      </c>
      <c r="CQ35" s="166" t="s">
        <v>27</v>
      </c>
      <c r="CR35" s="166" t="s">
        <v>27</v>
      </c>
      <c r="CS35" s="166" t="s">
        <v>27</v>
      </c>
      <c r="CT35" s="166" t="s">
        <v>127</v>
      </c>
      <c r="CU35" s="166" t="s">
        <v>127</v>
      </c>
      <c r="CV35" s="166" t="s">
        <v>27</v>
      </c>
      <c r="CW35" s="166" t="s">
        <v>110</v>
      </c>
      <c r="CX35" s="166" t="s">
        <v>127</v>
      </c>
      <c r="CY35" s="166" t="s">
        <v>236</v>
      </c>
      <c r="CZ35" s="166" t="s">
        <v>236</v>
      </c>
      <c r="DA35" s="166" t="s">
        <v>237</v>
      </c>
      <c r="DB35" s="166"/>
      <c r="DC35" s="166" t="s">
        <v>236</v>
      </c>
      <c r="DD35" s="166" t="s">
        <v>236</v>
      </c>
      <c r="DE35" s="166" t="s">
        <v>238</v>
      </c>
      <c r="DF35" s="166" t="s">
        <v>236</v>
      </c>
      <c r="DG35" s="166" t="s">
        <v>127</v>
      </c>
      <c r="DH35" s="166" t="s">
        <v>236</v>
      </c>
      <c r="DI35" s="166"/>
      <c r="DJ35" s="166" t="s">
        <v>236</v>
      </c>
      <c r="DK35" s="166" t="s">
        <v>236</v>
      </c>
      <c r="DL35" s="166" t="s">
        <v>236</v>
      </c>
      <c r="DM35" s="166" t="s">
        <v>127</v>
      </c>
      <c r="DN35" s="166" t="s">
        <v>127</v>
      </c>
      <c r="DO35" s="166" t="s">
        <v>236</v>
      </c>
      <c r="DP35" s="166" t="s">
        <v>236</v>
      </c>
      <c r="DQ35" s="166" t="s">
        <v>236</v>
      </c>
      <c r="DR35" s="166" t="s">
        <v>236</v>
      </c>
      <c r="DS35" s="166" t="s">
        <v>236</v>
      </c>
      <c r="DT35" s="166" t="s">
        <v>127</v>
      </c>
      <c r="DU35" s="166" t="s">
        <v>127</v>
      </c>
      <c r="DV35" s="166" t="s">
        <v>236</v>
      </c>
      <c r="DW35" s="166" t="s">
        <v>236</v>
      </c>
      <c r="DX35" s="166" t="s">
        <v>236</v>
      </c>
      <c r="DY35" s="166" t="s">
        <v>236</v>
      </c>
      <c r="DZ35" s="166" t="s">
        <v>236</v>
      </c>
      <c r="EA35" s="166" t="s">
        <v>236</v>
      </c>
      <c r="EB35" s="166" t="s">
        <v>236</v>
      </c>
      <c r="EC35" s="166" t="s">
        <v>127</v>
      </c>
      <c r="ED35" s="166" t="s">
        <v>127</v>
      </c>
      <c r="EE35" s="535"/>
      <c r="EF35" s="536"/>
      <c r="EG35" s="536"/>
      <c r="EH35" s="536"/>
      <c r="EI35" s="536"/>
      <c r="EJ35" s="536"/>
      <c r="EK35" s="537"/>
      <c r="EL35" s="535"/>
      <c r="EM35" s="536"/>
      <c r="EN35" s="536"/>
      <c r="EO35" s="536"/>
      <c r="EP35" s="536"/>
      <c r="EQ35" s="536"/>
      <c r="ER35" s="537"/>
      <c r="ES35" s="535"/>
      <c r="ET35" s="536"/>
      <c r="EU35" s="536"/>
      <c r="EV35" s="536"/>
      <c r="EW35" s="536"/>
      <c r="EX35" s="536"/>
      <c r="EY35" s="537"/>
      <c r="EZ35" s="535"/>
      <c r="FA35" s="536"/>
      <c r="FB35" s="536"/>
      <c r="FC35" s="536"/>
      <c r="FD35" s="536"/>
      <c r="FE35" s="536"/>
      <c r="FF35" s="537"/>
      <c r="FG35" s="535"/>
      <c r="FH35" s="536"/>
      <c r="FI35" s="536"/>
      <c r="FJ35" s="536"/>
      <c r="FK35" s="536"/>
      <c r="FL35" s="536"/>
      <c r="FM35" s="537"/>
      <c r="FN35" s="535"/>
      <c r="FO35" s="546"/>
      <c r="FP35" s="546"/>
      <c r="FQ35" s="546"/>
      <c r="FR35" s="546"/>
      <c r="FS35" s="546"/>
      <c r="FT35" s="547"/>
      <c r="FU35" s="535"/>
      <c r="FV35" s="546"/>
      <c r="FW35" s="546"/>
      <c r="FX35" s="546"/>
      <c r="FY35" s="546"/>
      <c r="FZ35" s="546"/>
      <c r="GA35" s="547"/>
      <c r="GB35" s="535"/>
      <c r="GC35" s="546"/>
      <c r="GD35" s="546"/>
      <c r="GE35" s="546"/>
      <c r="GF35" s="546"/>
      <c r="GG35" s="546"/>
      <c r="GH35" s="547"/>
      <c r="GI35" s="535"/>
      <c r="GJ35" s="546"/>
      <c r="GK35" s="546"/>
      <c r="GL35" s="546"/>
      <c r="GM35" s="546"/>
      <c r="GN35" s="546"/>
      <c r="GO35" s="547"/>
      <c r="GP35" s="535"/>
      <c r="GQ35" s="546"/>
      <c r="GR35" s="546"/>
      <c r="GS35" s="546"/>
      <c r="GT35" s="546"/>
      <c r="GU35" s="546"/>
      <c r="GV35" s="547"/>
      <c r="GW35" s="535"/>
      <c r="GX35" s="546"/>
      <c r="GY35" s="546"/>
      <c r="GZ35" s="546"/>
      <c r="HA35" s="546"/>
      <c r="HB35" s="546"/>
      <c r="HC35" s="547"/>
      <c r="HD35" s="535"/>
      <c r="HE35" s="546"/>
      <c r="HF35" s="546"/>
      <c r="HG35" s="546"/>
      <c r="HH35" s="546"/>
      <c r="HI35" s="546"/>
      <c r="HJ35" s="547"/>
      <c r="HK35" s="142"/>
      <c r="HL35" s="142"/>
      <c r="HM35" s="142"/>
      <c r="HN35" s="142"/>
      <c r="HO35" s="142"/>
      <c r="HP35" s="142"/>
      <c r="HQ35" s="142"/>
      <c r="HR35" s="167"/>
      <c r="HS35" s="167"/>
      <c r="HT35" s="167"/>
      <c r="HU35" s="167"/>
      <c r="HV35" s="167"/>
      <c r="HW35" s="167"/>
      <c r="HX35" s="167"/>
      <c r="HY35" s="167"/>
      <c r="HZ35" s="167"/>
      <c r="IA35" s="167"/>
      <c r="IB35" s="167"/>
      <c r="IC35" s="167"/>
      <c r="ID35" s="167"/>
      <c r="IE35" s="167"/>
      <c r="IF35" s="167"/>
      <c r="IG35" s="167"/>
      <c r="IH35" s="167"/>
      <c r="II35" s="167"/>
      <c r="IJ35" s="167"/>
      <c r="IK35" s="167"/>
      <c r="IL35" s="167"/>
      <c r="IM35" s="167"/>
      <c r="IN35" s="167"/>
      <c r="IO35" s="167"/>
      <c r="IP35" s="167"/>
      <c r="IQ35" s="167"/>
      <c r="IR35" s="167"/>
      <c r="IS35" s="167"/>
      <c r="IT35" s="167"/>
      <c r="IU35" s="167"/>
      <c r="IV35" s="167"/>
      <c r="IW35" s="167"/>
      <c r="IX35" s="167"/>
      <c r="IY35" s="167"/>
      <c r="IZ35" s="167"/>
      <c r="JA35" s="167"/>
      <c r="JB35" s="167"/>
      <c r="JC35" s="167"/>
      <c r="JD35" s="167"/>
      <c r="JE35" s="167"/>
      <c r="JF35" s="167"/>
      <c r="JG35" s="167"/>
      <c r="JH35" s="167"/>
      <c r="JI35" s="167"/>
      <c r="JJ35" s="167"/>
      <c r="JK35" s="167"/>
      <c r="JL35" s="167"/>
      <c r="JM35" s="167"/>
      <c r="JN35" s="167"/>
      <c r="JO35" s="167"/>
      <c r="JP35" s="167"/>
      <c r="JQ35" s="167"/>
      <c r="JR35" s="167"/>
      <c r="JS35" s="167"/>
      <c r="JT35" s="167"/>
      <c r="JU35" s="167"/>
    </row>
    <row r="36" spans="13:281" ht="13" hidden="1">
      <c r="M36" s="495"/>
      <c r="O36" s="168" t="s">
        <v>131</v>
      </c>
      <c r="P36" s="538"/>
      <c r="Q36" s="539"/>
      <c r="R36" s="539"/>
      <c r="S36" s="539"/>
      <c r="T36" s="539"/>
      <c r="U36" s="539"/>
      <c r="V36" s="540"/>
      <c r="W36" s="538"/>
      <c r="X36" s="539"/>
      <c r="Y36" s="539"/>
      <c r="Z36" s="539"/>
      <c r="AA36" s="539"/>
      <c r="AB36" s="539"/>
      <c r="AC36" s="540"/>
      <c r="AD36" s="538"/>
      <c r="AE36" s="539"/>
      <c r="AF36" s="539"/>
      <c r="AG36" s="539"/>
      <c r="AH36" s="539"/>
      <c r="AI36" s="539"/>
      <c r="AJ36" s="540"/>
      <c r="AK36" s="538"/>
      <c r="AL36" s="539"/>
      <c r="AM36" s="539"/>
      <c r="AN36" s="539"/>
      <c r="AO36" s="539"/>
      <c r="AP36" s="539"/>
      <c r="AQ36" s="540"/>
      <c r="AR36" s="538"/>
      <c r="AS36" s="539"/>
      <c r="AT36" s="539"/>
      <c r="AU36" s="539"/>
      <c r="AV36" s="539"/>
      <c r="AW36" s="539"/>
      <c r="AX36" s="540"/>
      <c r="AY36" s="538"/>
      <c r="AZ36" s="539"/>
      <c r="BA36" s="539"/>
      <c r="BB36" s="539"/>
      <c r="BC36" s="539"/>
      <c r="BD36" s="539"/>
      <c r="BE36" s="540"/>
      <c r="BF36" s="169" t="s">
        <v>127</v>
      </c>
      <c r="BG36" s="169" t="s">
        <v>127</v>
      </c>
      <c r="BH36" s="169" t="s">
        <v>239</v>
      </c>
      <c r="BI36" s="169" t="s">
        <v>239</v>
      </c>
      <c r="BJ36" s="169" t="s">
        <v>240</v>
      </c>
      <c r="BK36" s="169" t="s">
        <v>240</v>
      </c>
      <c r="BL36" s="169" t="s">
        <v>214</v>
      </c>
      <c r="BM36" s="169" t="s">
        <v>241</v>
      </c>
      <c r="BN36" s="169" t="s">
        <v>127</v>
      </c>
      <c r="BO36" s="169" t="s">
        <v>242</v>
      </c>
      <c r="BP36" s="169" t="s">
        <v>242</v>
      </c>
      <c r="BQ36" s="169" t="s">
        <v>242</v>
      </c>
      <c r="BR36" s="169" t="s">
        <v>127</v>
      </c>
      <c r="BS36" s="169" t="s">
        <v>214</v>
      </c>
      <c r="BT36" s="169" t="s">
        <v>241</v>
      </c>
      <c r="BU36" s="169" t="s">
        <v>240</v>
      </c>
      <c r="BV36" s="169" t="s">
        <v>241</v>
      </c>
      <c r="BW36" s="169" t="s">
        <v>240</v>
      </c>
      <c r="BX36" s="169" t="s">
        <v>127</v>
      </c>
      <c r="BY36" s="169" t="s">
        <v>127</v>
      </c>
      <c r="BZ36" s="169" t="s">
        <v>214</v>
      </c>
      <c r="CA36" s="169" t="s">
        <v>243</v>
      </c>
      <c r="CB36" s="169" t="s">
        <v>244</v>
      </c>
      <c r="CC36" s="169" t="s">
        <v>244</v>
      </c>
      <c r="CD36" s="169" t="s">
        <v>127</v>
      </c>
      <c r="CE36" s="169" t="s">
        <v>127</v>
      </c>
      <c r="CF36" s="169" t="s">
        <v>214</v>
      </c>
      <c r="CG36" s="169" t="s">
        <v>214</v>
      </c>
      <c r="CH36" s="169" t="s">
        <v>237</v>
      </c>
      <c r="CI36" s="169" t="s">
        <v>237</v>
      </c>
      <c r="CJ36" s="169" t="s">
        <v>237</v>
      </c>
      <c r="CK36" s="169" t="s">
        <v>127</v>
      </c>
      <c r="CL36" s="169" t="s">
        <v>245</v>
      </c>
      <c r="CM36" s="169" t="s">
        <v>127</v>
      </c>
      <c r="CN36" s="169" t="s">
        <v>214</v>
      </c>
      <c r="CO36" s="169" t="s">
        <v>237</v>
      </c>
      <c r="CP36" s="169" t="s">
        <v>214</v>
      </c>
      <c r="CQ36" s="169" t="s">
        <v>245</v>
      </c>
      <c r="CR36" s="169" t="s">
        <v>246</v>
      </c>
      <c r="CS36" s="169" t="s">
        <v>127</v>
      </c>
      <c r="CT36" s="169" t="s">
        <v>127</v>
      </c>
      <c r="CU36" s="169"/>
      <c r="CV36" s="169" t="s">
        <v>236</v>
      </c>
      <c r="CW36" s="169" t="s">
        <v>247</v>
      </c>
      <c r="CX36" s="169" t="s">
        <v>246</v>
      </c>
      <c r="CY36" s="169" t="s">
        <v>245</v>
      </c>
      <c r="CZ36" s="169" t="s">
        <v>127</v>
      </c>
      <c r="DA36" s="169" t="s">
        <v>127</v>
      </c>
      <c r="DB36" s="169"/>
      <c r="DC36" s="169" t="s">
        <v>247</v>
      </c>
      <c r="DD36" s="169" t="s">
        <v>247</v>
      </c>
      <c r="DE36" s="169" t="s">
        <v>247</v>
      </c>
      <c r="DF36" s="169" t="s">
        <v>248</v>
      </c>
      <c r="DG36" s="169" t="s">
        <v>127</v>
      </c>
      <c r="DH36" s="169" t="s">
        <v>127</v>
      </c>
      <c r="DI36" s="169"/>
      <c r="DJ36" s="169" t="s">
        <v>245</v>
      </c>
      <c r="DK36" s="169" t="s">
        <v>245</v>
      </c>
      <c r="DL36" s="169" t="s">
        <v>247</v>
      </c>
      <c r="DM36" s="169" t="s">
        <v>247</v>
      </c>
      <c r="DN36" s="169" t="s">
        <v>127</v>
      </c>
      <c r="DO36" s="169" t="s">
        <v>127</v>
      </c>
      <c r="DP36" s="169" t="s">
        <v>117</v>
      </c>
      <c r="DQ36" s="169" t="s">
        <v>248</v>
      </c>
      <c r="DR36" s="169" t="s">
        <v>238</v>
      </c>
      <c r="DS36" s="169" t="s">
        <v>237</v>
      </c>
      <c r="DT36" s="169" t="s">
        <v>236</v>
      </c>
      <c r="DU36" s="169" t="s">
        <v>27</v>
      </c>
      <c r="DV36" s="169" t="s">
        <v>127</v>
      </c>
      <c r="DW36" s="169" t="s">
        <v>127</v>
      </c>
      <c r="DX36" s="169" t="s">
        <v>215</v>
      </c>
      <c r="DY36" s="169" t="s">
        <v>248</v>
      </c>
      <c r="DZ36" s="169" t="s">
        <v>246</v>
      </c>
      <c r="EA36" s="169" t="s">
        <v>248</v>
      </c>
      <c r="EB36" s="169" t="s">
        <v>127</v>
      </c>
      <c r="EC36" s="169" t="s">
        <v>127</v>
      </c>
      <c r="ED36" s="169" t="s">
        <v>117</v>
      </c>
      <c r="EE36" s="538"/>
      <c r="EF36" s="539"/>
      <c r="EG36" s="539"/>
      <c r="EH36" s="539"/>
      <c r="EI36" s="539"/>
      <c r="EJ36" s="539"/>
      <c r="EK36" s="540"/>
      <c r="EL36" s="538"/>
      <c r="EM36" s="539"/>
      <c r="EN36" s="539"/>
      <c r="EO36" s="539"/>
      <c r="EP36" s="539"/>
      <c r="EQ36" s="539"/>
      <c r="ER36" s="540"/>
      <c r="ES36" s="538"/>
      <c r="ET36" s="539"/>
      <c r="EU36" s="539"/>
      <c r="EV36" s="539"/>
      <c r="EW36" s="539"/>
      <c r="EX36" s="539"/>
      <c r="EY36" s="540"/>
      <c r="EZ36" s="538"/>
      <c r="FA36" s="539"/>
      <c r="FB36" s="539"/>
      <c r="FC36" s="539"/>
      <c r="FD36" s="539"/>
      <c r="FE36" s="539"/>
      <c r="FF36" s="540"/>
      <c r="FG36" s="538"/>
      <c r="FH36" s="539"/>
      <c r="FI36" s="539"/>
      <c r="FJ36" s="539"/>
      <c r="FK36" s="539"/>
      <c r="FL36" s="539"/>
      <c r="FM36" s="540"/>
      <c r="FN36" s="548"/>
      <c r="FO36" s="539"/>
      <c r="FP36" s="539"/>
      <c r="FQ36" s="539"/>
      <c r="FR36" s="539"/>
      <c r="FS36" s="539"/>
      <c r="FT36" s="549"/>
      <c r="FU36" s="548"/>
      <c r="FV36" s="539"/>
      <c r="FW36" s="539"/>
      <c r="FX36" s="539"/>
      <c r="FY36" s="539"/>
      <c r="FZ36" s="539"/>
      <c r="GA36" s="549"/>
      <c r="GB36" s="548"/>
      <c r="GC36" s="539"/>
      <c r="GD36" s="539"/>
      <c r="GE36" s="539"/>
      <c r="GF36" s="539"/>
      <c r="GG36" s="539"/>
      <c r="GH36" s="549"/>
      <c r="GI36" s="548"/>
      <c r="GJ36" s="539"/>
      <c r="GK36" s="539"/>
      <c r="GL36" s="539"/>
      <c r="GM36" s="539"/>
      <c r="GN36" s="539"/>
      <c r="GO36" s="549"/>
      <c r="GP36" s="548"/>
      <c r="GQ36" s="539"/>
      <c r="GR36" s="539"/>
      <c r="GS36" s="539"/>
      <c r="GT36" s="539"/>
      <c r="GU36" s="539"/>
      <c r="GV36" s="549"/>
      <c r="GW36" s="548"/>
      <c r="GX36" s="539"/>
      <c r="GY36" s="539"/>
      <c r="GZ36" s="539"/>
      <c r="HA36" s="539"/>
      <c r="HB36" s="539"/>
      <c r="HC36" s="549"/>
      <c r="HD36" s="548"/>
      <c r="HE36" s="539"/>
      <c r="HF36" s="539"/>
      <c r="HG36" s="539"/>
      <c r="HH36" s="539"/>
      <c r="HI36" s="539"/>
      <c r="HJ36" s="549"/>
      <c r="HK36" s="142"/>
      <c r="HL36" s="142"/>
      <c r="HM36" s="142"/>
      <c r="HN36" s="142"/>
      <c r="HO36" s="142"/>
      <c r="HP36" s="142"/>
      <c r="HQ36" s="142"/>
      <c r="HR36" s="167"/>
      <c r="HS36" s="167"/>
      <c r="HT36" s="167"/>
      <c r="HU36" s="167"/>
      <c r="HV36" s="167"/>
      <c r="HW36" s="167"/>
      <c r="HX36" s="167"/>
      <c r="HY36" s="167"/>
      <c r="HZ36" s="167"/>
      <c r="IA36" s="167"/>
      <c r="IB36" s="167"/>
      <c r="IC36" s="167"/>
      <c r="ID36" s="167"/>
      <c r="IE36" s="167"/>
      <c r="IF36" s="167"/>
      <c r="IG36" s="167"/>
      <c r="IH36" s="167"/>
      <c r="II36" s="167"/>
      <c r="IJ36" s="167"/>
      <c r="IK36" s="167"/>
      <c r="IL36" s="167"/>
      <c r="IM36" s="167"/>
      <c r="IN36" s="167"/>
      <c r="IO36" s="167"/>
      <c r="IP36" s="167"/>
      <c r="IQ36" s="167"/>
      <c r="IR36" s="167"/>
      <c r="IS36" s="167"/>
      <c r="IT36" s="167"/>
      <c r="IU36" s="167"/>
      <c r="IV36" s="167"/>
      <c r="IW36" s="167"/>
      <c r="IX36" s="167"/>
      <c r="IY36" s="167"/>
      <c r="IZ36" s="167"/>
      <c r="JA36" s="167"/>
      <c r="JB36" s="167"/>
      <c r="JC36" s="167"/>
      <c r="JD36" s="167"/>
      <c r="JE36" s="167"/>
      <c r="JF36" s="167"/>
      <c r="JG36" s="167"/>
      <c r="JH36" s="167"/>
      <c r="JI36" s="167"/>
      <c r="JJ36" s="167"/>
      <c r="JK36" s="167"/>
      <c r="JL36" s="167"/>
      <c r="JM36" s="167"/>
      <c r="JN36" s="167"/>
      <c r="JO36" s="167"/>
      <c r="JP36" s="167"/>
      <c r="JQ36" s="167"/>
      <c r="JR36" s="167"/>
      <c r="JS36" s="167"/>
      <c r="JT36" s="167"/>
      <c r="JU36" s="167"/>
    </row>
    <row r="37" spans="13:281" ht="13" hidden="1">
      <c r="M37" s="495"/>
      <c r="O37" s="165" t="s">
        <v>154</v>
      </c>
      <c r="P37" s="541"/>
      <c r="Q37" s="539"/>
      <c r="R37" s="539"/>
      <c r="S37" s="539"/>
      <c r="T37" s="539"/>
      <c r="U37" s="539"/>
      <c r="V37" s="542"/>
      <c r="W37" s="541"/>
      <c r="X37" s="539"/>
      <c r="Y37" s="539"/>
      <c r="Z37" s="539"/>
      <c r="AA37" s="539"/>
      <c r="AB37" s="539"/>
      <c r="AC37" s="542"/>
      <c r="AD37" s="541"/>
      <c r="AE37" s="539"/>
      <c r="AF37" s="539"/>
      <c r="AG37" s="539"/>
      <c r="AH37" s="539"/>
      <c r="AI37" s="539"/>
      <c r="AJ37" s="542"/>
      <c r="AK37" s="541"/>
      <c r="AL37" s="539"/>
      <c r="AM37" s="539"/>
      <c r="AN37" s="539"/>
      <c r="AO37" s="539"/>
      <c r="AP37" s="539"/>
      <c r="AQ37" s="542"/>
      <c r="AR37" s="541"/>
      <c r="AS37" s="539"/>
      <c r="AT37" s="539"/>
      <c r="AU37" s="539"/>
      <c r="AV37" s="539"/>
      <c r="AW37" s="539"/>
      <c r="AX37" s="542"/>
      <c r="AY37" s="541"/>
      <c r="AZ37" s="539"/>
      <c r="BA37" s="539"/>
      <c r="BB37" s="539"/>
      <c r="BC37" s="539"/>
      <c r="BD37" s="539"/>
      <c r="BE37" s="542"/>
      <c r="BF37" s="166" t="s">
        <v>249</v>
      </c>
      <c r="BG37" s="166" t="s">
        <v>249</v>
      </c>
      <c r="BH37" s="166" t="s">
        <v>127</v>
      </c>
      <c r="BI37" s="166" t="s">
        <v>127</v>
      </c>
      <c r="BJ37" s="166" t="s">
        <v>249</v>
      </c>
      <c r="BK37" s="166" t="s">
        <v>249</v>
      </c>
      <c r="BL37" s="166" t="s">
        <v>249</v>
      </c>
      <c r="BM37" s="166" t="s">
        <v>249</v>
      </c>
      <c r="BN37" s="166" t="s">
        <v>249</v>
      </c>
      <c r="BO37" s="166" t="s">
        <v>127</v>
      </c>
      <c r="BP37" s="166" t="s">
        <v>249</v>
      </c>
      <c r="BQ37" s="166" t="s">
        <v>249</v>
      </c>
      <c r="BR37" s="166" t="s">
        <v>249</v>
      </c>
      <c r="BS37" s="166" t="s">
        <v>127</v>
      </c>
      <c r="BT37" s="166" t="s">
        <v>127</v>
      </c>
      <c r="BU37" s="166" t="s">
        <v>127</v>
      </c>
      <c r="BV37" s="166" t="s">
        <v>249</v>
      </c>
      <c r="BW37" s="166" t="s">
        <v>249</v>
      </c>
      <c r="BX37" s="166" t="s">
        <v>249</v>
      </c>
      <c r="BY37" s="166" t="s">
        <v>249</v>
      </c>
      <c r="BZ37" s="166" t="s">
        <v>214</v>
      </c>
      <c r="CA37" s="166" t="s">
        <v>127</v>
      </c>
      <c r="CB37" s="166" t="s">
        <v>127</v>
      </c>
      <c r="CC37" s="166" t="s">
        <v>249</v>
      </c>
      <c r="CD37" s="166" t="s">
        <v>250</v>
      </c>
      <c r="CE37" s="166" t="s">
        <v>250</v>
      </c>
      <c r="CF37" s="166" t="s">
        <v>249</v>
      </c>
      <c r="CG37" s="166" t="s">
        <v>249</v>
      </c>
      <c r="CH37" s="166" t="s">
        <v>246</v>
      </c>
      <c r="CI37" s="166" t="s">
        <v>127</v>
      </c>
      <c r="CJ37" s="166" t="s">
        <v>127</v>
      </c>
      <c r="CK37" s="166" t="s">
        <v>246</v>
      </c>
      <c r="CL37" s="166" t="s">
        <v>246</v>
      </c>
      <c r="CM37" s="166" t="s">
        <v>246</v>
      </c>
      <c r="CN37" s="166" t="s">
        <v>214</v>
      </c>
      <c r="CO37" s="166" t="s">
        <v>246</v>
      </c>
      <c r="CP37" s="166" t="s">
        <v>127</v>
      </c>
      <c r="CQ37" s="166" t="s">
        <v>127</v>
      </c>
      <c r="CR37" s="166" t="s">
        <v>251</v>
      </c>
      <c r="CS37" s="166" t="s">
        <v>246</v>
      </c>
      <c r="CT37" s="166" t="s">
        <v>246</v>
      </c>
      <c r="CU37" s="166"/>
      <c r="CV37" s="166" t="s">
        <v>246</v>
      </c>
      <c r="CW37" s="166" t="s">
        <v>110</v>
      </c>
      <c r="CX37" s="166" t="s">
        <v>127</v>
      </c>
      <c r="CY37" s="166" t="s">
        <v>246</v>
      </c>
      <c r="CZ37" s="166" t="s">
        <v>246</v>
      </c>
      <c r="DA37" s="166" t="s">
        <v>246</v>
      </c>
      <c r="DB37" s="166"/>
      <c r="DC37" s="166" t="s">
        <v>246</v>
      </c>
      <c r="DD37" s="166" t="s">
        <v>246</v>
      </c>
      <c r="DE37" s="166" t="s">
        <v>127</v>
      </c>
      <c r="DF37" s="166" t="s">
        <v>127</v>
      </c>
      <c r="DG37" s="166" t="s">
        <v>245</v>
      </c>
      <c r="DH37" s="166" t="s">
        <v>238</v>
      </c>
      <c r="DI37" s="166"/>
      <c r="DJ37" s="166" t="s">
        <v>246</v>
      </c>
      <c r="DK37" s="166" t="s">
        <v>246</v>
      </c>
      <c r="DL37" s="166" t="s">
        <v>127</v>
      </c>
      <c r="DM37" s="166" t="s">
        <v>127</v>
      </c>
      <c r="DN37" s="166" t="s">
        <v>238</v>
      </c>
      <c r="DO37" s="166" t="s">
        <v>246</v>
      </c>
      <c r="DP37" s="166" t="s">
        <v>246</v>
      </c>
      <c r="DQ37" s="166" t="s">
        <v>246</v>
      </c>
      <c r="DR37" s="166" t="s">
        <v>127</v>
      </c>
      <c r="DS37" s="166" t="s">
        <v>127</v>
      </c>
      <c r="DT37" s="166" t="s">
        <v>238</v>
      </c>
      <c r="DU37" s="166" t="s">
        <v>246</v>
      </c>
      <c r="DV37" s="166" t="s">
        <v>246</v>
      </c>
      <c r="DW37" s="166" t="s">
        <v>117</v>
      </c>
      <c r="DX37" s="166" t="s">
        <v>246</v>
      </c>
      <c r="DY37" s="166" t="s">
        <v>127</v>
      </c>
      <c r="DZ37" s="166" t="s">
        <v>127</v>
      </c>
      <c r="EA37" s="166" t="s">
        <v>246</v>
      </c>
      <c r="EB37" s="166" t="s">
        <v>246</v>
      </c>
      <c r="EC37" s="166" t="s">
        <v>246</v>
      </c>
      <c r="ED37" s="166" t="s">
        <v>246</v>
      </c>
      <c r="EE37" s="541"/>
      <c r="EF37" s="539"/>
      <c r="EG37" s="539"/>
      <c r="EH37" s="539"/>
      <c r="EI37" s="539"/>
      <c r="EJ37" s="539"/>
      <c r="EK37" s="542"/>
      <c r="EL37" s="541"/>
      <c r="EM37" s="539"/>
      <c r="EN37" s="539"/>
      <c r="EO37" s="539"/>
      <c r="EP37" s="539"/>
      <c r="EQ37" s="539"/>
      <c r="ER37" s="542"/>
      <c r="ES37" s="541"/>
      <c r="ET37" s="539"/>
      <c r="EU37" s="539"/>
      <c r="EV37" s="539"/>
      <c r="EW37" s="539"/>
      <c r="EX37" s="539"/>
      <c r="EY37" s="542"/>
      <c r="EZ37" s="541"/>
      <c r="FA37" s="539"/>
      <c r="FB37" s="539"/>
      <c r="FC37" s="539"/>
      <c r="FD37" s="539"/>
      <c r="FE37" s="539"/>
      <c r="FF37" s="542"/>
      <c r="FG37" s="541"/>
      <c r="FH37" s="539"/>
      <c r="FI37" s="539"/>
      <c r="FJ37" s="539"/>
      <c r="FK37" s="539"/>
      <c r="FL37" s="539"/>
      <c r="FM37" s="542"/>
      <c r="FN37" s="548"/>
      <c r="FO37" s="539"/>
      <c r="FP37" s="539"/>
      <c r="FQ37" s="539"/>
      <c r="FR37" s="539"/>
      <c r="FS37" s="539"/>
      <c r="FT37" s="549"/>
      <c r="FU37" s="548"/>
      <c r="FV37" s="539"/>
      <c r="FW37" s="539"/>
      <c r="FX37" s="539"/>
      <c r="FY37" s="539"/>
      <c r="FZ37" s="539"/>
      <c r="GA37" s="549"/>
      <c r="GB37" s="548"/>
      <c r="GC37" s="539"/>
      <c r="GD37" s="539"/>
      <c r="GE37" s="539"/>
      <c r="GF37" s="539"/>
      <c r="GG37" s="539"/>
      <c r="GH37" s="549"/>
      <c r="GI37" s="548"/>
      <c r="GJ37" s="539"/>
      <c r="GK37" s="539"/>
      <c r="GL37" s="539"/>
      <c r="GM37" s="539"/>
      <c r="GN37" s="539"/>
      <c r="GO37" s="549"/>
      <c r="GP37" s="548"/>
      <c r="GQ37" s="539"/>
      <c r="GR37" s="539"/>
      <c r="GS37" s="539"/>
      <c r="GT37" s="539"/>
      <c r="GU37" s="539"/>
      <c r="GV37" s="549"/>
      <c r="GW37" s="548"/>
      <c r="GX37" s="539"/>
      <c r="GY37" s="539"/>
      <c r="GZ37" s="539"/>
      <c r="HA37" s="539"/>
      <c r="HB37" s="539"/>
      <c r="HC37" s="549"/>
      <c r="HD37" s="548"/>
      <c r="HE37" s="539"/>
      <c r="HF37" s="539"/>
      <c r="HG37" s="539"/>
      <c r="HH37" s="539"/>
      <c r="HI37" s="539"/>
      <c r="HJ37" s="549"/>
      <c r="HK37" s="142"/>
      <c r="HL37" s="142"/>
      <c r="HM37" s="142"/>
      <c r="HN37" s="142"/>
      <c r="HO37" s="142"/>
      <c r="HP37" s="142"/>
      <c r="HQ37" s="142"/>
      <c r="HR37" s="167"/>
      <c r="HS37" s="167"/>
      <c r="HT37" s="167"/>
      <c r="HU37" s="167"/>
      <c r="HV37" s="167"/>
      <c r="HW37" s="167"/>
      <c r="HX37" s="167"/>
      <c r="HY37" s="167"/>
      <c r="HZ37" s="167"/>
      <c r="IA37" s="167"/>
      <c r="IB37" s="167"/>
      <c r="IC37" s="167"/>
      <c r="ID37" s="167"/>
      <c r="IE37" s="167"/>
      <c r="IF37" s="167"/>
      <c r="IG37" s="167"/>
      <c r="IH37" s="167"/>
      <c r="II37" s="167"/>
      <c r="IJ37" s="167"/>
      <c r="IK37" s="167"/>
      <c r="IL37" s="167"/>
      <c r="IM37" s="167"/>
      <c r="IN37" s="167"/>
      <c r="IO37" s="167"/>
      <c r="IP37" s="167"/>
      <c r="IQ37" s="167"/>
      <c r="IR37" s="167"/>
      <c r="IS37" s="167"/>
      <c r="IT37" s="167"/>
      <c r="IU37" s="167"/>
      <c r="IV37" s="167"/>
      <c r="IW37" s="167"/>
      <c r="IX37" s="167"/>
      <c r="IY37" s="167"/>
      <c r="IZ37" s="167"/>
      <c r="JA37" s="167"/>
      <c r="JB37" s="167"/>
      <c r="JC37" s="167"/>
      <c r="JD37" s="167"/>
      <c r="JE37" s="167"/>
      <c r="JF37" s="167"/>
      <c r="JG37" s="167"/>
      <c r="JH37" s="167"/>
      <c r="JI37" s="167"/>
      <c r="JJ37" s="167"/>
      <c r="JK37" s="167"/>
      <c r="JL37" s="167"/>
      <c r="JM37" s="167"/>
      <c r="JN37" s="167"/>
      <c r="JO37" s="167"/>
      <c r="JP37" s="167"/>
      <c r="JQ37" s="167"/>
      <c r="JR37" s="167"/>
      <c r="JS37" s="167"/>
      <c r="JT37" s="167"/>
      <c r="JU37" s="167"/>
    </row>
    <row r="38" spans="13:281" ht="13" hidden="1">
      <c r="M38" s="495"/>
      <c r="O38" s="168" t="s">
        <v>252</v>
      </c>
      <c r="P38" s="538"/>
      <c r="Q38" s="539"/>
      <c r="R38" s="539"/>
      <c r="S38" s="539"/>
      <c r="T38" s="539"/>
      <c r="U38" s="539"/>
      <c r="V38" s="540"/>
      <c r="W38" s="538"/>
      <c r="X38" s="539"/>
      <c r="Y38" s="539"/>
      <c r="Z38" s="539"/>
      <c r="AA38" s="539"/>
      <c r="AB38" s="539"/>
      <c r="AC38" s="540"/>
      <c r="AD38" s="538"/>
      <c r="AE38" s="539"/>
      <c r="AF38" s="539"/>
      <c r="AG38" s="539"/>
      <c r="AH38" s="539"/>
      <c r="AI38" s="539"/>
      <c r="AJ38" s="540"/>
      <c r="AK38" s="538"/>
      <c r="AL38" s="539"/>
      <c r="AM38" s="539"/>
      <c r="AN38" s="539"/>
      <c r="AO38" s="539"/>
      <c r="AP38" s="539"/>
      <c r="AQ38" s="540"/>
      <c r="AR38" s="538"/>
      <c r="AS38" s="539"/>
      <c r="AT38" s="539"/>
      <c r="AU38" s="539"/>
      <c r="AV38" s="539"/>
      <c r="AW38" s="539"/>
      <c r="AX38" s="540"/>
      <c r="AY38" s="538"/>
      <c r="AZ38" s="539"/>
      <c r="BA38" s="539"/>
      <c r="BB38" s="539"/>
      <c r="BC38" s="539"/>
      <c r="BD38" s="539"/>
      <c r="BE38" s="540"/>
      <c r="BF38" s="169" t="s">
        <v>242</v>
      </c>
      <c r="BG38" s="169" t="s">
        <v>242</v>
      </c>
      <c r="BH38" s="169" t="s">
        <v>242</v>
      </c>
      <c r="BI38" s="169" t="s">
        <v>127</v>
      </c>
      <c r="BJ38" s="169" t="s">
        <v>242</v>
      </c>
      <c r="BK38" s="169" t="s">
        <v>242</v>
      </c>
      <c r="BL38" s="169" t="s">
        <v>127</v>
      </c>
      <c r="BM38" s="169" t="s">
        <v>242</v>
      </c>
      <c r="BN38" s="169" t="s">
        <v>242</v>
      </c>
      <c r="BO38" s="169" t="s">
        <v>127</v>
      </c>
      <c r="BP38" s="169" t="s">
        <v>127</v>
      </c>
      <c r="BQ38" s="169" t="s">
        <v>240</v>
      </c>
      <c r="BR38" s="169" t="s">
        <v>240</v>
      </c>
      <c r="BS38" s="169" t="s">
        <v>214</v>
      </c>
      <c r="BT38" s="169" t="s">
        <v>240</v>
      </c>
      <c r="BU38" s="169" t="s">
        <v>127</v>
      </c>
      <c r="BV38" s="169" t="s">
        <v>240</v>
      </c>
      <c r="BW38" s="169" t="s">
        <v>242</v>
      </c>
      <c r="BX38" s="169" t="s">
        <v>240</v>
      </c>
      <c r="BY38" s="169" t="s">
        <v>242</v>
      </c>
      <c r="BZ38" s="169" t="s">
        <v>127</v>
      </c>
      <c r="CA38" s="169" t="s">
        <v>242</v>
      </c>
      <c r="CB38" s="169" t="s">
        <v>242</v>
      </c>
      <c r="CC38" s="169" t="s">
        <v>242</v>
      </c>
      <c r="CD38" s="169" t="s">
        <v>242</v>
      </c>
      <c r="CE38" s="169" t="s">
        <v>242</v>
      </c>
      <c r="CF38" s="169" t="s">
        <v>127</v>
      </c>
      <c r="CG38" s="169" t="s">
        <v>127</v>
      </c>
      <c r="CH38" s="169" t="s">
        <v>237</v>
      </c>
      <c r="CI38" s="169" t="s">
        <v>237</v>
      </c>
      <c r="CJ38" s="169" t="s">
        <v>237</v>
      </c>
      <c r="CK38" s="169" t="s">
        <v>237</v>
      </c>
      <c r="CL38" s="169" t="s">
        <v>127</v>
      </c>
      <c r="CM38" s="169" t="s">
        <v>127</v>
      </c>
      <c r="CN38" s="169" t="s">
        <v>237</v>
      </c>
      <c r="CO38" s="169" t="s">
        <v>237</v>
      </c>
      <c r="CP38" s="169" t="s">
        <v>237</v>
      </c>
      <c r="CQ38" s="169" t="s">
        <v>237</v>
      </c>
      <c r="CR38" s="169" t="s">
        <v>127</v>
      </c>
      <c r="CS38" s="169" t="s">
        <v>127</v>
      </c>
      <c r="CT38" s="169" t="s">
        <v>237</v>
      </c>
      <c r="CU38" s="169"/>
      <c r="CV38" s="169" t="s">
        <v>237</v>
      </c>
      <c r="CW38" s="169" t="s">
        <v>237</v>
      </c>
      <c r="CX38" s="169" t="s">
        <v>127</v>
      </c>
      <c r="CY38" s="169" t="s">
        <v>127</v>
      </c>
      <c r="CZ38" s="169" t="s">
        <v>237</v>
      </c>
      <c r="DA38" s="169" t="s">
        <v>236</v>
      </c>
      <c r="DB38" s="169"/>
      <c r="DC38" s="169" t="s">
        <v>237</v>
      </c>
      <c r="DD38" s="169" t="s">
        <v>127</v>
      </c>
      <c r="DE38" s="169" t="s">
        <v>127</v>
      </c>
      <c r="DF38" s="169" t="s">
        <v>237</v>
      </c>
      <c r="DG38" s="169" t="s">
        <v>237</v>
      </c>
      <c r="DH38" s="169" t="s">
        <v>237</v>
      </c>
      <c r="DI38" s="169"/>
      <c r="DJ38" s="169" t="s">
        <v>237</v>
      </c>
      <c r="DK38" s="169" t="s">
        <v>127</v>
      </c>
      <c r="DL38" s="169" t="s">
        <v>237</v>
      </c>
      <c r="DM38" s="169" t="s">
        <v>237</v>
      </c>
      <c r="DN38" s="169" t="s">
        <v>237</v>
      </c>
      <c r="DO38" s="169" t="s">
        <v>237</v>
      </c>
      <c r="DP38" s="169" t="s">
        <v>127</v>
      </c>
      <c r="DQ38" s="169" t="s">
        <v>237</v>
      </c>
      <c r="DR38" s="169" t="s">
        <v>237</v>
      </c>
      <c r="DS38" s="169" t="s">
        <v>237</v>
      </c>
      <c r="DT38" s="169" t="s">
        <v>237</v>
      </c>
      <c r="DU38" s="169" t="s">
        <v>237</v>
      </c>
      <c r="DV38" s="169" t="s">
        <v>127</v>
      </c>
      <c r="DW38" s="169" t="s">
        <v>127</v>
      </c>
      <c r="DX38" s="169" t="s">
        <v>237</v>
      </c>
      <c r="DY38" s="169" t="s">
        <v>237</v>
      </c>
      <c r="DZ38" s="169" t="s">
        <v>237</v>
      </c>
      <c r="EA38" s="169" t="s">
        <v>237</v>
      </c>
      <c r="EB38" s="169" t="s">
        <v>237</v>
      </c>
      <c r="EC38" s="169" t="s">
        <v>127</v>
      </c>
      <c r="ED38" s="169" t="s">
        <v>127</v>
      </c>
      <c r="EE38" s="538"/>
      <c r="EF38" s="539"/>
      <c r="EG38" s="539"/>
      <c r="EH38" s="539"/>
      <c r="EI38" s="539"/>
      <c r="EJ38" s="539"/>
      <c r="EK38" s="540"/>
      <c r="EL38" s="538"/>
      <c r="EM38" s="539"/>
      <c r="EN38" s="539"/>
      <c r="EO38" s="539"/>
      <c r="EP38" s="539"/>
      <c r="EQ38" s="539"/>
      <c r="ER38" s="540"/>
      <c r="ES38" s="538"/>
      <c r="ET38" s="539"/>
      <c r="EU38" s="539"/>
      <c r="EV38" s="539"/>
      <c r="EW38" s="539"/>
      <c r="EX38" s="539"/>
      <c r="EY38" s="540"/>
      <c r="EZ38" s="538"/>
      <c r="FA38" s="539"/>
      <c r="FB38" s="539"/>
      <c r="FC38" s="539"/>
      <c r="FD38" s="539"/>
      <c r="FE38" s="539"/>
      <c r="FF38" s="540"/>
      <c r="FG38" s="538"/>
      <c r="FH38" s="539"/>
      <c r="FI38" s="539"/>
      <c r="FJ38" s="539"/>
      <c r="FK38" s="539"/>
      <c r="FL38" s="539"/>
      <c r="FM38" s="540"/>
      <c r="FN38" s="548"/>
      <c r="FO38" s="539"/>
      <c r="FP38" s="539"/>
      <c r="FQ38" s="539"/>
      <c r="FR38" s="539"/>
      <c r="FS38" s="539"/>
      <c r="FT38" s="549"/>
      <c r="FU38" s="548"/>
      <c r="FV38" s="539"/>
      <c r="FW38" s="539"/>
      <c r="FX38" s="539"/>
      <c r="FY38" s="539"/>
      <c r="FZ38" s="539"/>
      <c r="GA38" s="549"/>
      <c r="GB38" s="548"/>
      <c r="GC38" s="539"/>
      <c r="GD38" s="539"/>
      <c r="GE38" s="539"/>
      <c r="GF38" s="539"/>
      <c r="GG38" s="539"/>
      <c r="GH38" s="549"/>
      <c r="GI38" s="548"/>
      <c r="GJ38" s="539"/>
      <c r="GK38" s="539"/>
      <c r="GL38" s="539"/>
      <c r="GM38" s="539"/>
      <c r="GN38" s="539"/>
      <c r="GO38" s="549"/>
      <c r="GP38" s="548"/>
      <c r="GQ38" s="539"/>
      <c r="GR38" s="539"/>
      <c r="GS38" s="539"/>
      <c r="GT38" s="539"/>
      <c r="GU38" s="539"/>
      <c r="GV38" s="549"/>
      <c r="GW38" s="548"/>
      <c r="GX38" s="539"/>
      <c r="GY38" s="539"/>
      <c r="GZ38" s="539"/>
      <c r="HA38" s="539"/>
      <c r="HB38" s="539"/>
      <c r="HC38" s="549"/>
      <c r="HD38" s="548"/>
      <c r="HE38" s="539"/>
      <c r="HF38" s="539"/>
      <c r="HG38" s="539"/>
      <c r="HH38" s="539"/>
      <c r="HI38" s="539"/>
      <c r="HJ38" s="549"/>
      <c r="HK38" s="142"/>
      <c r="HL38" s="142"/>
      <c r="HM38" s="142"/>
      <c r="HN38" s="142"/>
      <c r="HO38" s="142"/>
      <c r="HP38" s="142"/>
      <c r="HQ38" s="142"/>
      <c r="HR38" s="167"/>
      <c r="HS38" s="167"/>
      <c r="HT38" s="167"/>
      <c r="HU38" s="167"/>
      <c r="HV38" s="167"/>
      <c r="HW38" s="167"/>
      <c r="HX38" s="167"/>
      <c r="HY38" s="167"/>
      <c r="HZ38" s="167"/>
      <c r="IA38" s="167"/>
      <c r="IB38" s="167"/>
      <c r="IC38" s="167"/>
      <c r="ID38" s="167"/>
      <c r="IE38" s="167"/>
      <c r="IF38" s="167"/>
      <c r="IG38" s="167"/>
      <c r="IH38" s="167"/>
      <c r="II38" s="167"/>
      <c r="IJ38" s="167"/>
      <c r="IK38" s="167"/>
      <c r="IL38" s="167"/>
      <c r="IM38" s="167"/>
      <c r="IN38" s="167"/>
      <c r="IO38" s="167"/>
      <c r="IP38" s="167"/>
      <c r="IQ38" s="167"/>
      <c r="IR38" s="167"/>
      <c r="IS38" s="167"/>
      <c r="IT38" s="167"/>
      <c r="IU38" s="167"/>
      <c r="IV38" s="167"/>
      <c r="IW38" s="167"/>
      <c r="IX38" s="167"/>
      <c r="IY38" s="167"/>
      <c r="IZ38" s="167"/>
      <c r="JA38" s="167"/>
      <c r="JB38" s="167"/>
      <c r="JC38" s="167"/>
      <c r="JD38" s="167"/>
      <c r="JE38" s="167"/>
      <c r="JF38" s="167"/>
      <c r="JG38" s="167"/>
      <c r="JH38" s="167"/>
      <c r="JI38" s="167"/>
      <c r="JJ38" s="167"/>
      <c r="JK38" s="167"/>
      <c r="JL38" s="167"/>
      <c r="JM38" s="167"/>
      <c r="JN38" s="167"/>
      <c r="JO38" s="167"/>
      <c r="JP38" s="167"/>
      <c r="JQ38" s="167"/>
      <c r="JR38" s="167"/>
      <c r="JS38" s="167"/>
      <c r="JT38" s="167"/>
      <c r="JU38" s="167"/>
    </row>
    <row r="39" spans="13:281" ht="13" hidden="1">
      <c r="M39" s="495"/>
      <c r="O39" s="165" t="s">
        <v>166</v>
      </c>
      <c r="P39" s="541"/>
      <c r="Q39" s="539"/>
      <c r="R39" s="539"/>
      <c r="S39" s="539"/>
      <c r="T39" s="539"/>
      <c r="U39" s="539"/>
      <c r="V39" s="542"/>
      <c r="W39" s="541"/>
      <c r="X39" s="539"/>
      <c r="Y39" s="539"/>
      <c r="Z39" s="539"/>
      <c r="AA39" s="539"/>
      <c r="AB39" s="539"/>
      <c r="AC39" s="542"/>
      <c r="AD39" s="541"/>
      <c r="AE39" s="539"/>
      <c r="AF39" s="539"/>
      <c r="AG39" s="539"/>
      <c r="AH39" s="539"/>
      <c r="AI39" s="539"/>
      <c r="AJ39" s="542"/>
      <c r="AK39" s="541"/>
      <c r="AL39" s="539"/>
      <c r="AM39" s="539"/>
      <c r="AN39" s="539"/>
      <c r="AO39" s="539"/>
      <c r="AP39" s="539"/>
      <c r="AQ39" s="542"/>
      <c r="AR39" s="541"/>
      <c r="AS39" s="539"/>
      <c r="AT39" s="539"/>
      <c r="AU39" s="539"/>
      <c r="AV39" s="539"/>
      <c r="AW39" s="539"/>
      <c r="AX39" s="542"/>
      <c r="AY39" s="541"/>
      <c r="AZ39" s="539"/>
      <c r="BA39" s="539"/>
      <c r="BB39" s="539"/>
      <c r="BC39" s="539"/>
      <c r="BD39" s="539"/>
      <c r="BE39" s="542"/>
      <c r="BF39" s="166" t="s">
        <v>127</v>
      </c>
      <c r="BG39" s="166" t="s">
        <v>127</v>
      </c>
      <c r="BH39" s="166" t="s">
        <v>243</v>
      </c>
      <c r="BI39" s="166" t="s">
        <v>243</v>
      </c>
      <c r="BJ39" s="166" t="s">
        <v>243</v>
      </c>
      <c r="BK39" s="166" t="s">
        <v>243</v>
      </c>
      <c r="BL39" s="166" t="s">
        <v>243</v>
      </c>
      <c r="BM39" s="166" t="s">
        <v>127</v>
      </c>
      <c r="BN39" s="166" t="s">
        <v>243</v>
      </c>
      <c r="BO39" s="166" t="s">
        <v>243</v>
      </c>
      <c r="BP39" s="166" t="s">
        <v>243</v>
      </c>
      <c r="BQ39" s="166" t="s">
        <v>127</v>
      </c>
      <c r="BR39" s="166" t="s">
        <v>243</v>
      </c>
      <c r="BS39" s="166" t="s">
        <v>214</v>
      </c>
      <c r="BT39" s="166" t="s">
        <v>243</v>
      </c>
      <c r="BU39" s="166" t="s">
        <v>243</v>
      </c>
      <c r="BV39" s="166" t="s">
        <v>243</v>
      </c>
      <c r="BW39" s="166" t="s">
        <v>243</v>
      </c>
      <c r="BX39" s="166" t="s">
        <v>243</v>
      </c>
      <c r="BY39" s="166" t="s">
        <v>127</v>
      </c>
      <c r="BZ39" s="166" t="s">
        <v>127</v>
      </c>
      <c r="CA39" s="166" t="s">
        <v>127</v>
      </c>
      <c r="CB39" s="166" t="s">
        <v>127</v>
      </c>
      <c r="CC39" s="166" t="s">
        <v>243</v>
      </c>
      <c r="CD39" s="166" t="s">
        <v>243</v>
      </c>
      <c r="CE39" s="166" t="s">
        <v>243</v>
      </c>
      <c r="CF39" s="166" t="s">
        <v>243</v>
      </c>
      <c r="CG39" s="166" t="s">
        <v>243</v>
      </c>
      <c r="CH39" s="166" t="s">
        <v>127</v>
      </c>
      <c r="CI39" s="166" t="str">
        <f>LEFT(CK39,5)</f>
        <v>Othma</v>
      </c>
      <c r="CJ39" s="166" t="s">
        <v>238</v>
      </c>
      <c r="CK39" s="166" t="s">
        <v>238</v>
      </c>
      <c r="CL39" s="166" t="s">
        <v>238</v>
      </c>
      <c r="CM39" s="166" t="s">
        <v>248</v>
      </c>
      <c r="CN39" s="166" t="s">
        <v>238</v>
      </c>
      <c r="CO39" s="166" t="s">
        <v>127</v>
      </c>
      <c r="CP39" s="166" t="s">
        <v>127</v>
      </c>
      <c r="CQ39" s="166" t="s">
        <v>238</v>
      </c>
      <c r="CR39" s="166" t="s">
        <v>238</v>
      </c>
      <c r="CS39" s="166" t="s">
        <v>238</v>
      </c>
      <c r="CT39" s="166" t="s">
        <v>238</v>
      </c>
      <c r="CU39" s="166"/>
      <c r="CV39" s="166" t="s">
        <v>127</v>
      </c>
      <c r="CW39" s="166" t="s">
        <v>245</v>
      </c>
      <c r="CX39" s="166" t="s">
        <v>245</v>
      </c>
      <c r="CY39" s="166" t="s">
        <v>246</v>
      </c>
      <c r="CZ39" s="166" t="s">
        <v>246</v>
      </c>
      <c r="DA39" s="166" t="s">
        <v>238</v>
      </c>
      <c r="DB39" s="166"/>
      <c r="DC39" s="166" t="s">
        <v>238</v>
      </c>
      <c r="DD39" s="166" t="s">
        <v>238</v>
      </c>
      <c r="DE39" s="166" t="s">
        <v>127</v>
      </c>
      <c r="DF39" s="166" t="s">
        <v>246</v>
      </c>
      <c r="DG39" s="166" t="s">
        <v>236</v>
      </c>
      <c r="DH39" s="166" t="s">
        <v>248</v>
      </c>
      <c r="DI39" s="166"/>
      <c r="DJ39" s="166" t="s">
        <v>238</v>
      </c>
      <c r="DK39" s="166" t="s">
        <v>238</v>
      </c>
      <c r="DL39" s="166" t="s">
        <v>237</v>
      </c>
      <c r="DM39" s="166" t="s">
        <v>238</v>
      </c>
      <c r="DN39" s="166" t="s">
        <v>237</v>
      </c>
      <c r="DO39" s="166" t="s">
        <v>127</v>
      </c>
      <c r="DP39" s="166" t="s">
        <v>127</v>
      </c>
      <c r="DQ39" s="166" t="s">
        <v>127</v>
      </c>
      <c r="DR39" s="166" t="s">
        <v>127</v>
      </c>
      <c r="DS39" s="166" t="s">
        <v>238</v>
      </c>
      <c r="DT39" s="166" t="s">
        <v>238</v>
      </c>
      <c r="DU39" s="166" t="s">
        <v>246</v>
      </c>
      <c r="DV39" s="166" t="s">
        <v>238</v>
      </c>
      <c r="DW39" s="166" t="s">
        <v>238</v>
      </c>
      <c r="DX39" s="166" t="s">
        <v>127</v>
      </c>
      <c r="DY39" s="166" t="s">
        <v>127</v>
      </c>
      <c r="DZ39" s="166" t="s">
        <v>238</v>
      </c>
      <c r="EA39" s="166" t="s">
        <v>246</v>
      </c>
      <c r="EB39" s="166" t="s">
        <v>246</v>
      </c>
      <c r="EC39" s="166" t="s">
        <v>238</v>
      </c>
      <c r="ED39" s="166" t="s">
        <v>117</v>
      </c>
      <c r="EE39" s="541"/>
      <c r="EF39" s="539"/>
      <c r="EG39" s="539"/>
      <c r="EH39" s="539"/>
      <c r="EI39" s="539"/>
      <c r="EJ39" s="539"/>
      <c r="EK39" s="542"/>
      <c r="EL39" s="541"/>
      <c r="EM39" s="539"/>
      <c r="EN39" s="539"/>
      <c r="EO39" s="539"/>
      <c r="EP39" s="539"/>
      <c r="EQ39" s="539"/>
      <c r="ER39" s="542"/>
      <c r="ES39" s="541"/>
      <c r="ET39" s="539"/>
      <c r="EU39" s="539"/>
      <c r="EV39" s="539"/>
      <c r="EW39" s="539"/>
      <c r="EX39" s="539"/>
      <c r="EY39" s="542"/>
      <c r="EZ39" s="541"/>
      <c r="FA39" s="539"/>
      <c r="FB39" s="539"/>
      <c r="FC39" s="539"/>
      <c r="FD39" s="539"/>
      <c r="FE39" s="539"/>
      <c r="FF39" s="542"/>
      <c r="FG39" s="541"/>
      <c r="FH39" s="539"/>
      <c r="FI39" s="539"/>
      <c r="FJ39" s="539"/>
      <c r="FK39" s="539"/>
      <c r="FL39" s="539"/>
      <c r="FM39" s="542"/>
      <c r="FN39" s="548"/>
      <c r="FO39" s="539"/>
      <c r="FP39" s="539"/>
      <c r="FQ39" s="539"/>
      <c r="FR39" s="539"/>
      <c r="FS39" s="539"/>
      <c r="FT39" s="549"/>
      <c r="FU39" s="548"/>
      <c r="FV39" s="539"/>
      <c r="FW39" s="539"/>
      <c r="FX39" s="539"/>
      <c r="FY39" s="539"/>
      <c r="FZ39" s="539"/>
      <c r="GA39" s="549"/>
      <c r="GB39" s="548"/>
      <c r="GC39" s="539"/>
      <c r="GD39" s="539"/>
      <c r="GE39" s="539"/>
      <c r="GF39" s="539"/>
      <c r="GG39" s="539"/>
      <c r="GH39" s="549"/>
      <c r="GI39" s="548"/>
      <c r="GJ39" s="539"/>
      <c r="GK39" s="539"/>
      <c r="GL39" s="539"/>
      <c r="GM39" s="539"/>
      <c r="GN39" s="539"/>
      <c r="GO39" s="549"/>
      <c r="GP39" s="548"/>
      <c r="GQ39" s="539"/>
      <c r="GR39" s="539"/>
      <c r="GS39" s="539"/>
      <c r="GT39" s="539"/>
      <c r="GU39" s="539"/>
      <c r="GV39" s="549"/>
      <c r="GW39" s="548"/>
      <c r="GX39" s="539"/>
      <c r="GY39" s="539"/>
      <c r="GZ39" s="539"/>
      <c r="HA39" s="539"/>
      <c r="HB39" s="539"/>
      <c r="HC39" s="549"/>
      <c r="HD39" s="548"/>
      <c r="HE39" s="539"/>
      <c r="HF39" s="539"/>
      <c r="HG39" s="539"/>
      <c r="HH39" s="539"/>
      <c r="HI39" s="539"/>
      <c r="HJ39" s="549"/>
      <c r="HK39" s="142"/>
      <c r="HL39" s="142"/>
      <c r="HM39" s="142"/>
      <c r="HN39" s="142"/>
      <c r="HO39" s="142"/>
      <c r="HP39" s="142"/>
      <c r="HQ39" s="142"/>
      <c r="HR39" s="167"/>
      <c r="HS39" s="167"/>
      <c r="HT39" s="167"/>
      <c r="HU39" s="167"/>
      <c r="HV39" s="167"/>
      <c r="HW39" s="167"/>
      <c r="HX39" s="167"/>
      <c r="HY39" s="167"/>
      <c r="HZ39" s="167"/>
      <c r="IA39" s="167"/>
      <c r="IB39" s="167"/>
      <c r="IC39" s="167"/>
      <c r="ID39" s="167"/>
      <c r="IE39" s="167"/>
      <c r="IF39" s="167"/>
      <c r="IG39" s="167"/>
      <c r="IH39" s="167"/>
      <c r="II39" s="167"/>
      <c r="IJ39" s="167"/>
      <c r="IK39" s="167"/>
      <c r="IL39" s="167"/>
      <c r="IM39" s="167"/>
      <c r="IN39" s="167"/>
      <c r="IO39" s="167"/>
      <c r="IP39" s="167"/>
      <c r="IQ39" s="167"/>
      <c r="IR39" s="167"/>
      <c r="IS39" s="167"/>
      <c r="IT39" s="167"/>
      <c r="IU39" s="167"/>
      <c r="IV39" s="167"/>
      <c r="IW39" s="167"/>
      <c r="IX39" s="167"/>
      <c r="IY39" s="167"/>
      <c r="IZ39" s="167"/>
      <c r="JA39" s="167"/>
      <c r="JB39" s="167"/>
      <c r="JC39" s="167"/>
      <c r="JD39" s="167"/>
      <c r="JE39" s="167"/>
      <c r="JF39" s="167"/>
      <c r="JG39" s="167"/>
      <c r="JH39" s="167"/>
      <c r="JI39" s="167"/>
      <c r="JJ39" s="167"/>
      <c r="JK39" s="167"/>
      <c r="JL39" s="167"/>
      <c r="JM39" s="167"/>
      <c r="JN39" s="167"/>
      <c r="JO39" s="167"/>
      <c r="JP39" s="167"/>
      <c r="JQ39" s="167"/>
      <c r="JR39" s="167"/>
      <c r="JS39" s="167"/>
      <c r="JT39" s="167"/>
      <c r="JU39" s="167"/>
    </row>
    <row r="40" spans="13:281" ht="13" hidden="1">
      <c r="M40" s="495"/>
      <c r="O40" s="168" t="s">
        <v>170</v>
      </c>
      <c r="P40" s="538"/>
      <c r="Q40" s="539"/>
      <c r="R40" s="539"/>
      <c r="S40" s="539"/>
      <c r="T40" s="539"/>
      <c r="U40" s="539"/>
      <c r="V40" s="540"/>
      <c r="W40" s="538"/>
      <c r="X40" s="539"/>
      <c r="Y40" s="539"/>
      <c r="Z40" s="539"/>
      <c r="AA40" s="539"/>
      <c r="AB40" s="539"/>
      <c r="AC40" s="540"/>
      <c r="AD40" s="538"/>
      <c r="AE40" s="539"/>
      <c r="AF40" s="539"/>
      <c r="AG40" s="539"/>
      <c r="AH40" s="539"/>
      <c r="AI40" s="539"/>
      <c r="AJ40" s="540"/>
      <c r="AK40" s="538"/>
      <c r="AL40" s="539"/>
      <c r="AM40" s="539"/>
      <c r="AN40" s="539"/>
      <c r="AO40" s="539"/>
      <c r="AP40" s="539"/>
      <c r="AQ40" s="540"/>
      <c r="AR40" s="538"/>
      <c r="AS40" s="539"/>
      <c r="AT40" s="539"/>
      <c r="AU40" s="539"/>
      <c r="AV40" s="539"/>
      <c r="AW40" s="539"/>
      <c r="AX40" s="540"/>
      <c r="AY40" s="538"/>
      <c r="AZ40" s="539"/>
      <c r="BA40" s="539"/>
      <c r="BB40" s="539"/>
      <c r="BC40" s="539"/>
      <c r="BD40" s="539"/>
      <c r="BE40" s="540"/>
      <c r="BF40" s="169" t="s">
        <v>244</v>
      </c>
      <c r="BG40" s="169" t="s">
        <v>244</v>
      </c>
      <c r="BH40" s="169" t="s">
        <v>244</v>
      </c>
      <c r="BI40" s="169" t="s">
        <v>244</v>
      </c>
      <c r="BJ40" s="169" t="s">
        <v>127</v>
      </c>
      <c r="BK40" s="169" t="s">
        <v>127</v>
      </c>
      <c r="BL40" s="169" t="s">
        <v>244</v>
      </c>
      <c r="BM40" s="169" t="s">
        <v>244</v>
      </c>
      <c r="BN40" s="169" t="s">
        <v>244</v>
      </c>
      <c r="BO40" s="169" t="s">
        <v>244</v>
      </c>
      <c r="BP40" s="169" t="s">
        <v>244</v>
      </c>
      <c r="BQ40" s="169" t="s">
        <v>244</v>
      </c>
      <c r="BR40" s="169" t="s">
        <v>127</v>
      </c>
      <c r="BS40" s="169" t="s">
        <v>127</v>
      </c>
      <c r="BT40" s="169" t="s">
        <v>244</v>
      </c>
      <c r="BU40" s="169" t="s">
        <v>244</v>
      </c>
      <c r="BV40" s="169" t="s">
        <v>127</v>
      </c>
      <c r="BW40" s="169" t="s">
        <v>127</v>
      </c>
      <c r="BX40" s="169" t="s">
        <v>244</v>
      </c>
      <c r="BY40" s="169" t="s">
        <v>244</v>
      </c>
      <c r="BZ40" s="169" t="s">
        <v>244</v>
      </c>
      <c r="CA40" s="169" t="s">
        <v>244</v>
      </c>
      <c r="CB40" s="169" t="s">
        <v>127</v>
      </c>
      <c r="CC40" s="169" t="s">
        <v>127</v>
      </c>
      <c r="CD40" s="169" t="s">
        <v>244</v>
      </c>
      <c r="CE40" s="169" t="s">
        <v>244</v>
      </c>
      <c r="CF40" s="169" t="s">
        <v>244</v>
      </c>
      <c r="CG40" s="169" t="s">
        <v>244</v>
      </c>
      <c r="CH40" s="169" t="s">
        <v>247</v>
      </c>
      <c r="CI40" s="169" t="s">
        <v>127</v>
      </c>
      <c r="CJ40" s="169" t="s">
        <v>127</v>
      </c>
      <c r="CK40" s="169" t="s">
        <v>247</v>
      </c>
      <c r="CL40" s="169" t="s">
        <v>247</v>
      </c>
      <c r="CM40" s="169" t="s">
        <v>247</v>
      </c>
      <c r="CN40" s="169" t="s">
        <v>247</v>
      </c>
      <c r="CO40" s="169" t="s">
        <v>247</v>
      </c>
      <c r="CP40" s="169" t="s">
        <v>127</v>
      </c>
      <c r="CQ40" s="169" t="s">
        <v>127</v>
      </c>
      <c r="CR40" s="169" t="s">
        <v>247</v>
      </c>
      <c r="CS40" s="169" t="s">
        <v>247</v>
      </c>
      <c r="CT40" s="169" t="s">
        <v>247</v>
      </c>
      <c r="CU40" s="169"/>
      <c r="CV40" s="169" t="s">
        <v>245</v>
      </c>
      <c r="CW40" s="169" t="s">
        <v>110</v>
      </c>
      <c r="CX40" s="169" t="s">
        <v>251</v>
      </c>
      <c r="CY40" s="169" t="s">
        <v>247</v>
      </c>
      <c r="CZ40" s="169" t="s">
        <v>247</v>
      </c>
      <c r="DA40" s="169" t="s">
        <v>127</v>
      </c>
      <c r="DB40" s="169"/>
      <c r="DC40" s="169" t="s">
        <v>247</v>
      </c>
      <c r="DD40" s="169" t="s">
        <v>247</v>
      </c>
      <c r="DE40" s="169" t="s">
        <v>247</v>
      </c>
      <c r="DF40" s="169" t="s">
        <v>247</v>
      </c>
      <c r="DG40" s="169" t="s">
        <v>127</v>
      </c>
      <c r="DH40" s="169" t="s">
        <v>127</v>
      </c>
      <c r="DI40" s="169"/>
      <c r="DJ40" s="169" t="s">
        <v>247</v>
      </c>
      <c r="DK40" s="169" t="s">
        <v>247</v>
      </c>
      <c r="DL40" s="169" t="s">
        <v>248</v>
      </c>
      <c r="DM40" s="169" t="s">
        <v>236</v>
      </c>
      <c r="DN40" s="169" t="s">
        <v>247</v>
      </c>
      <c r="DO40" s="169" t="s">
        <v>127</v>
      </c>
      <c r="DP40" s="169" t="s">
        <v>127</v>
      </c>
      <c r="DQ40" s="169" t="s">
        <v>247</v>
      </c>
      <c r="DR40" s="169" t="s">
        <v>247</v>
      </c>
      <c r="DS40" s="169" t="s">
        <v>247</v>
      </c>
      <c r="DT40" s="169" t="s">
        <v>127</v>
      </c>
      <c r="DU40" s="169" t="s">
        <v>127</v>
      </c>
      <c r="DV40" s="169" t="s">
        <v>247</v>
      </c>
      <c r="DW40" s="169" t="s">
        <v>117</v>
      </c>
      <c r="DX40" s="169" t="s">
        <v>247</v>
      </c>
      <c r="DY40" s="169" t="s">
        <v>247</v>
      </c>
      <c r="DZ40" s="169" t="s">
        <v>127</v>
      </c>
      <c r="EA40" s="169" t="s">
        <v>127</v>
      </c>
      <c r="EB40" s="169" t="s">
        <v>247</v>
      </c>
      <c r="EC40" s="169" t="s">
        <v>247</v>
      </c>
      <c r="ED40" s="169" t="s">
        <v>247</v>
      </c>
      <c r="EE40" s="538"/>
      <c r="EF40" s="539"/>
      <c r="EG40" s="539"/>
      <c r="EH40" s="539"/>
      <c r="EI40" s="539"/>
      <c r="EJ40" s="539"/>
      <c r="EK40" s="540"/>
      <c r="EL40" s="538"/>
      <c r="EM40" s="539"/>
      <c r="EN40" s="539"/>
      <c r="EO40" s="539"/>
      <c r="EP40" s="539"/>
      <c r="EQ40" s="539"/>
      <c r="ER40" s="540"/>
      <c r="ES40" s="538"/>
      <c r="ET40" s="539"/>
      <c r="EU40" s="539"/>
      <c r="EV40" s="539"/>
      <c r="EW40" s="539"/>
      <c r="EX40" s="539"/>
      <c r="EY40" s="540"/>
      <c r="EZ40" s="538"/>
      <c r="FA40" s="539"/>
      <c r="FB40" s="539"/>
      <c r="FC40" s="539"/>
      <c r="FD40" s="539"/>
      <c r="FE40" s="539"/>
      <c r="FF40" s="540"/>
      <c r="FG40" s="538"/>
      <c r="FH40" s="539"/>
      <c r="FI40" s="539"/>
      <c r="FJ40" s="539"/>
      <c r="FK40" s="539"/>
      <c r="FL40" s="539"/>
      <c r="FM40" s="540"/>
      <c r="FN40" s="548"/>
      <c r="FO40" s="539"/>
      <c r="FP40" s="539"/>
      <c r="FQ40" s="539"/>
      <c r="FR40" s="539"/>
      <c r="FS40" s="539"/>
      <c r="FT40" s="549"/>
      <c r="FU40" s="548"/>
      <c r="FV40" s="539"/>
      <c r="FW40" s="539"/>
      <c r="FX40" s="539"/>
      <c r="FY40" s="539"/>
      <c r="FZ40" s="539"/>
      <c r="GA40" s="549"/>
      <c r="GB40" s="548"/>
      <c r="GC40" s="539"/>
      <c r="GD40" s="539"/>
      <c r="GE40" s="539"/>
      <c r="GF40" s="539"/>
      <c r="GG40" s="539"/>
      <c r="GH40" s="549"/>
      <c r="GI40" s="548"/>
      <c r="GJ40" s="539"/>
      <c r="GK40" s="539"/>
      <c r="GL40" s="539"/>
      <c r="GM40" s="539"/>
      <c r="GN40" s="539"/>
      <c r="GO40" s="549"/>
      <c r="GP40" s="548"/>
      <c r="GQ40" s="539"/>
      <c r="GR40" s="539"/>
      <c r="GS40" s="539"/>
      <c r="GT40" s="539"/>
      <c r="GU40" s="539"/>
      <c r="GV40" s="549"/>
      <c r="GW40" s="548"/>
      <c r="GX40" s="539"/>
      <c r="GY40" s="539"/>
      <c r="GZ40" s="539"/>
      <c r="HA40" s="539"/>
      <c r="HB40" s="539"/>
      <c r="HC40" s="549"/>
      <c r="HD40" s="548"/>
      <c r="HE40" s="539"/>
      <c r="HF40" s="539"/>
      <c r="HG40" s="539"/>
      <c r="HH40" s="539"/>
      <c r="HI40" s="539"/>
      <c r="HJ40" s="549"/>
      <c r="HK40" s="142"/>
      <c r="HL40" s="142"/>
      <c r="HM40" s="142"/>
      <c r="HN40" s="142"/>
      <c r="HO40" s="142"/>
      <c r="HP40" s="142"/>
      <c r="HQ40" s="142"/>
      <c r="HR40" s="167"/>
      <c r="HS40" s="167"/>
      <c r="HT40" s="167"/>
      <c r="HU40" s="167"/>
      <c r="HV40" s="167"/>
      <c r="HW40" s="167"/>
      <c r="HX40" s="167"/>
      <c r="HY40" s="167"/>
      <c r="HZ40" s="167"/>
      <c r="IA40" s="167"/>
      <c r="IB40" s="167"/>
      <c r="IC40" s="167"/>
      <c r="ID40" s="167"/>
      <c r="IE40" s="167"/>
      <c r="IF40" s="167"/>
      <c r="IG40" s="167"/>
      <c r="IH40" s="167"/>
      <c r="II40" s="167"/>
      <c r="IJ40" s="167"/>
      <c r="IK40" s="167"/>
      <c r="IL40" s="167"/>
      <c r="IM40" s="167"/>
      <c r="IN40" s="167"/>
      <c r="IO40" s="167"/>
      <c r="IP40" s="167"/>
      <c r="IQ40" s="167"/>
      <c r="IR40" s="167"/>
      <c r="IS40" s="167"/>
      <c r="IT40" s="167"/>
      <c r="IU40" s="167"/>
      <c r="IV40" s="167"/>
      <c r="IW40" s="167"/>
      <c r="IX40" s="167"/>
      <c r="IY40" s="167"/>
      <c r="IZ40" s="167"/>
      <c r="JA40" s="167"/>
      <c r="JB40" s="167"/>
      <c r="JC40" s="167"/>
      <c r="JD40" s="167"/>
      <c r="JE40" s="167"/>
      <c r="JF40" s="167"/>
      <c r="JG40" s="167"/>
      <c r="JH40" s="167"/>
      <c r="JI40" s="167"/>
      <c r="JJ40" s="167"/>
      <c r="JK40" s="167"/>
      <c r="JL40" s="167"/>
      <c r="JM40" s="167"/>
      <c r="JN40" s="167"/>
      <c r="JO40" s="167"/>
      <c r="JP40" s="167"/>
      <c r="JQ40" s="167"/>
      <c r="JR40" s="167"/>
      <c r="JS40" s="167"/>
      <c r="JT40" s="167"/>
      <c r="JU40" s="167"/>
    </row>
    <row r="41" spans="13:281" ht="13" hidden="1">
      <c r="M41" s="495"/>
      <c r="O41" s="165" t="s">
        <v>173</v>
      </c>
      <c r="P41" s="541"/>
      <c r="Q41" s="539"/>
      <c r="R41" s="539"/>
      <c r="S41" s="539"/>
      <c r="T41" s="539"/>
      <c r="U41" s="539"/>
      <c r="V41" s="542"/>
      <c r="W41" s="541"/>
      <c r="X41" s="539"/>
      <c r="Y41" s="539"/>
      <c r="Z41" s="539"/>
      <c r="AA41" s="539"/>
      <c r="AB41" s="539"/>
      <c r="AC41" s="542"/>
      <c r="AD41" s="541"/>
      <c r="AE41" s="539"/>
      <c r="AF41" s="539"/>
      <c r="AG41" s="539"/>
      <c r="AH41" s="539"/>
      <c r="AI41" s="539"/>
      <c r="AJ41" s="542"/>
      <c r="AK41" s="541"/>
      <c r="AL41" s="539"/>
      <c r="AM41" s="539"/>
      <c r="AN41" s="539"/>
      <c r="AO41" s="539"/>
      <c r="AP41" s="539"/>
      <c r="AQ41" s="542"/>
      <c r="AR41" s="541"/>
      <c r="AS41" s="539"/>
      <c r="AT41" s="539"/>
      <c r="AU41" s="539"/>
      <c r="AV41" s="539"/>
      <c r="AW41" s="539"/>
      <c r="AX41" s="542"/>
      <c r="AY41" s="541"/>
      <c r="AZ41" s="539"/>
      <c r="BA41" s="539"/>
      <c r="BB41" s="539"/>
      <c r="BC41" s="539"/>
      <c r="BD41" s="539"/>
      <c r="BE41" s="542"/>
      <c r="BF41" s="166" t="s">
        <v>127</v>
      </c>
      <c r="BG41" s="166" t="s">
        <v>127</v>
      </c>
      <c r="BH41" s="166" t="s">
        <v>240</v>
      </c>
      <c r="BI41" s="166" t="s">
        <v>240</v>
      </c>
      <c r="BJ41" s="166" t="s">
        <v>240</v>
      </c>
      <c r="BK41" s="166" t="s">
        <v>250</v>
      </c>
      <c r="BL41" s="166" t="s">
        <v>214</v>
      </c>
      <c r="BM41" s="166" t="s">
        <v>127</v>
      </c>
      <c r="BN41" s="166" t="s">
        <v>127</v>
      </c>
      <c r="BO41" s="166" t="s">
        <v>250</v>
      </c>
      <c r="BP41" s="166" t="s">
        <v>240</v>
      </c>
      <c r="BQ41" s="166" t="s">
        <v>240</v>
      </c>
      <c r="BR41" s="166" t="s">
        <v>240</v>
      </c>
      <c r="BS41" s="166" t="s">
        <v>250</v>
      </c>
      <c r="BT41" s="166" t="s">
        <v>127</v>
      </c>
      <c r="BU41" s="166" t="s">
        <v>127</v>
      </c>
      <c r="BV41" s="166" t="s">
        <v>240</v>
      </c>
      <c r="BW41" s="166" t="s">
        <v>240</v>
      </c>
      <c r="BX41" s="166" t="s">
        <v>240</v>
      </c>
      <c r="BY41" s="166" t="s">
        <v>240</v>
      </c>
      <c r="BZ41" s="166" t="s">
        <v>250</v>
      </c>
      <c r="CA41" s="166" t="s">
        <v>127</v>
      </c>
      <c r="CB41" s="166" t="s">
        <v>240</v>
      </c>
      <c r="CC41" s="166" t="s">
        <v>240</v>
      </c>
      <c r="CD41" s="166" t="s">
        <v>240</v>
      </c>
      <c r="CE41" s="166" t="s">
        <v>240</v>
      </c>
      <c r="CF41" s="166" t="s">
        <v>240</v>
      </c>
      <c r="CG41" s="166" t="s">
        <v>127</v>
      </c>
      <c r="CH41" s="166" t="s">
        <v>245</v>
      </c>
      <c r="CI41" s="166" t="s">
        <v>245</v>
      </c>
      <c r="CJ41" s="166" t="s">
        <v>245</v>
      </c>
      <c r="CK41" s="166" t="s">
        <v>245</v>
      </c>
      <c r="CL41" s="166" t="s">
        <v>127</v>
      </c>
      <c r="CM41" s="166" t="s">
        <v>237</v>
      </c>
      <c r="CN41" s="166" t="s">
        <v>127</v>
      </c>
      <c r="CO41" s="166" t="s">
        <v>245</v>
      </c>
      <c r="CP41" s="166" t="s">
        <v>245</v>
      </c>
      <c r="CQ41" s="166" t="s">
        <v>245</v>
      </c>
      <c r="CR41" s="166" t="s">
        <v>245</v>
      </c>
      <c r="CS41" s="166" t="s">
        <v>245</v>
      </c>
      <c r="CT41" s="166" t="s">
        <v>127</v>
      </c>
      <c r="CU41" s="166" t="s">
        <v>127</v>
      </c>
      <c r="CV41" s="166" t="s">
        <v>245</v>
      </c>
      <c r="CW41" s="166" t="s">
        <v>245</v>
      </c>
      <c r="CX41" s="166" t="s">
        <v>245</v>
      </c>
      <c r="CY41" s="166" t="s">
        <v>127</v>
      </c>
      <c r="CZ41" s="166" t="s">
        <v>127</v>
      </c>
      <c r="DA41" s="166" t="s">
        <v>245</v>
      </c>
      <c r="DB41" s="166"/>
      <c r="DC41" s="166" t="s">
        <v>245</v>
      </c>
      <c r="DD41" s="166" t="s">
        <v>245</v>
      </c>
      <c r="DE41" s="166" t="s">
        <v>245</v>
      </c>
      <c r="DF41" s="166" t="s">
        <v>247</v>
      </c>
      <c r="DG41" s="166" t="s">
        <v>246</v>
      </c>
      <c r="DH41" s="166" t="s">
        <v>127</v>
      </c>
      <c r="DI41" s="166"/>
      <c r="DJ41" s="166" t="s">
        <v>127</v>
      </c>
      <c r="DK41" s="166" t="s">
        <v>127</v>
      </c>
      <c r="DL41" s="166" t="s">
        <v>245</v>
      </c>
      <c r="DM41" s="166" t="s">
        <v>245</v>
      </c>
      <c r="DN41" s="166" t="s">
        <v>245</v>
      </c>
      <c r="DO41" s="166" t="s">
        <v>245</v>
      </c>
      <c r="DP41" s="166" t="s">
        <v>245</v>
      </c>
      <c r="DQ41" s="166" t="s">
        <v>245</v>
      </c>
      <c r="DR41" s="166" t="s">
        <v>245</v>
      </c>
      <c r="DS41" s="166" t="s">
        <v>127</v>
      </c>
      <c r="DT41" s="166" t="s">
        <v>248</v>
      </c>
      <c r="DU41" s="166" t="s">
        <v>245</v>
      </c>
      <c r="DV41" s="166" t="s">
        <v>245</v>
      </c>
      <c r="DW41" s="166" t="s">
        <v>127</v>
      </c>
      <c r="DX41" s="166" t="s">
        <v>245</v>
      </c>
      <c r="DY41" s="166" t="s">
        <v>245</v>
      </c>
      <c r="DZ41" s="166" t="s">
        <v>245</v>
      </c>
      <c r="EA41" s="166" t="s">
        <v>245</v>
      </c>
      <c r="EB41" s="166" t="s">
        <v>245</v>
      </c>
      <c r="EC41" s="166" t="s">
        <v>127</v>
      </c>
      <c r="ED41" s="166" t="s">
        <v>127</v>
      </c>
      <c r="EE41" s="541"/>
      <c r="EF41" s="539"/>
      <c r="EG41" s="539"/>
      <c r="EH41" s="539"/>
      <c r="EI41" s="539"/>
      <c r="EJ41" s="539"/>
      <c r="EK41" s="542"/>
      <c r="EL41" s="541"/>
      <c r="EM41" s="539"/>
      <c r="EN41" s="539"/>
      <c r="EO41" s="539"/>
      <c r="EP41" s="539"/>
      <c r="EQ41" s="539"/>
      <c r="ER41" s="542"/>
      <c r="ES41" s="541"/>
      <c r="ET41" s="539"/>
      <c r="EU41" s="539"/>
      <c r="EV41" s="539"/>
      <c r="EW41" s="539"/>
      <c r="EX41" s="539"/>
      <c r="EY41" s="542"/>
      <c r="EZ41" s="541"/>
      <c r="FA41" s="539"/>
      <c r="FB41" s="539"/>
      <c r="FC41" s="539"/>
      <c r="FD41" s="539"/>
      <c r="FE41" s="539"/>
      <c r="FF41" s="542"/>
      <c r="FG41" s="541"/>
      <c r="FH41" s="539"/>
      <c r="FI41" s="539"/>
      <c r="FJ41" s="539"/>
      <c r="FK41" s="539"/>
      <c r="FL41" s="539"/>
      <c r="FM41" s="542"/>
      <c r="FN41" s="548"/>
      <c r="FO41" s="539"/>
      <c r="FP41" s="539"/>
      <c r="FQ41" s="539"/>
      <c r="FR41" s="539"/>
      <c r="FS41" s="539"/>
      <c r="FT41" s="549"/>
      <c r="FU41" s="548"/>
      <c r="FV41" s="539"/>
      <c r="FW41" s="539"/>
      <c r="FX41" s="539"/>
      <c r="FY41" s="539"/>
      <c r="FZ41" s="539"/>
      <c r="GA41" s="549"/>
      <c r="GB41" s="548"/>
      <c r="GC41" s="539"/>
      <c r="GD41" s="539"/>
      <c r="GE41" s="539"/>
      <c r="GF41" s="539"/>
      <c r="GG41" s="539"/>
      <c r="GH41" s="549"/>
      <c r="GI41" s="548"/>
      <c r="GJ41" s="539"/>
      <c r="GK41" s="539"/>
      <c r="GL41" s="539"/>
      <c r="GM41" s="539"/>
      <c r="GN41" s="539"/>
      <c r="GO41" s="549"/>
      <c r="GP41" s="548"/>
      <c r="GQ41" s="539"/>
      <c r="GR41" s="539"/>
      <c r="GS41" s="539"/>
      <c r="GT41" s="539"/>
      <c r="GU41" s="539"/>
      <c r="GV41" s="549"/>
      <c r="GW41" s="548"/>
      <c r="GX41" s="539"/>
      <c r="GY41" s="539"/>
      <c r="GZ41" s="539"/>
      <c r="HA41" s="539"/>
      <c r="HB41" s="539"/>
      <c r="HC41" s="549"/>
      <c r="HD41" s="548"/>
      <c r="HE41" s="539"/>
      <c r="HF41" s="539"/>
      <c r="HG41" s="539"/>
      <c r="HH41" s="539"/>
      <c r="HI41" s="539"/>
      <c r="HJ41" s="549"/>
      <c r="HK41" s="142"/>
      <c r="HL41" s="142"/>
      <c r="HM41" s="142"/>
      <c r="HN41" s="142"/>
      <c r="HO41" s="142"/>
      <c r="HP41" s="142"/>
      <c r="HQ41" s="142"/>
      <c r="HR41" s="167"/>
      <c r="HS41" s="167"/>
      <c r="HT41" s="167"/>
      <c r="HU41" s="167"/>
      <c r="HV41" s="167"/>
      <c r="HW41" s="167"/>
      <c r="HX41" s="167"/>
      <c r="HY41" s="167"/>
      <c r="HZ41" s="167"/>
      <c r="IA41" s="167"/>
      <c r="IB41" s="167"/>
      <c r="IC41" s="167"/>
      <c r="ID41" s="167"/>
      <c r="IE41" s="167"/>
      <c r="IF41" s="167"/>
      <c r="IG41" s="167"/>
      <c r="IH41" s="167"/>
      <c r="II41" s="167"/>
      <c r="IJ41" s="167"/>
      <c r="IK41" s="167"/>
      <c r="IL41" s="167"/>
      <c r="IM41" s="167"/>
      <c r="IN41" s="167"/>
      <c r="IO41" s="167"/>
      <c r="IP41" s="167"/>
      <c r="IQ41" s="167"/>
      <c r="IR41" s="167"/>
      <c r="IS41" s="167"/>
      <c r="IT41" s="167"/>
      <c r="IU41" s="167"/>
      <c r="IV41" s="167"/>
      <c r="IW41" s="167"/>
      <c r="IX41" s="167"/>
      <c r="IY41" s="167"/>
      <c r="IZ41" s="167"/>
      <c r="JA41" s="167"/>
      <c r="JB41" s="167"/>
      <c r="JC41" s="167"/>
      <c r="JD41" s="167"/>
      <c r="JE41" s="167"/>
      <c r="JF41" s="167"/>
      <c r="JG41" s="167"/>
      <c r="JH41" s="167"/>
      <c r="JI41" s="167"/>
      <c r="JJ41" s="167"/>
      <c r="JK41" s="167"/>
      <c r="JL41" s="167"/>
      <c r="JM41" s="167"/>
      <c r="JN41" s="167"/>
      <c r="JO41" s="167"/>
      <c r="JP41" s="167"/>
      <c r="JQ41" s="167"/>
      <c r="JR41" s="167"/>
      <c r="JS41" s="167"/>
      <c r="JT41" s="167"/>
      <c r="JU41" s="167"/>
    </row>
    <row r="42" spans="13:281" ht="13" hidden="1">
      <c r="M42" s="495"/>
      <c r="O42" s="168" t="s">
        <v>176</v>
      </c>
      <c r="P42" s="538"/>
      <c r="Q42" s="539"/>
      <c r="R42" s="539"/>
      <c r="S42" s="539"/>
      <c r="T42" s="539"/>
      <c r="U42" s="539"/>
      <c r="V42" s="540"/>
      <c r="W42" s="538"/>
      <c r="X42" s="539"/>
      <c r="Y42" s="539"/>
      <c r="Z42" s="539"/>
      <c r="AA42" s="539"/>
      <c r="AB42" s="539"/>
      <c r="AC42" s="540"/>
      <c r="AD42" s="538"/>
      <c r="AE42" s="539"/>
      <c r="AF42" s="539"/>
      <c r="AG42" s="539"/>
      <c r="AH42" s="539"/>
      <c r="AI42" s="539"/>
      <c r="AJ42" s="540"/>
      <c r="AK42" s="538"/>
      <c r="AL42" s="539"/>
      <c r="AM42" s="539"/>
      <c r="AN42" s="539"/>
      <c r="AO42" s="539"/>
      <c r="AP42" s="539"/>
      <c r="AQ42" s="540"/>
      <c r="AR42" s="538"/>
      <c r="AS42" s="539"/>
      <c r="AT42" s="539"/>
      <c r="AU42" s="539"/>
      <c r="AV42" s="539"/>
      <c r="AW42" s="539"/>
      <c r="AX42" s="540"/>
      <c r="AY42" s="538"/>
      <c r="AZ42" s="539"/>
      <c r="BA42" s="539"/>
      <c r="BB42" s="539"/>
      <c r="BC42" s="539"/>
      <c r="BD42" s="539"/>
      <c r="BE42" s="540"/>
      <c r="BF42" s="169" t="s">
        <v>240</v>
      </c>
      <c r="BG42" s="169" t="s">
        <v>240</v>
      </c>
      <c r="BH42" s="169" t="s">
        <v>240</v>
      </c>
      <c r="BI42" s="169" t="s">
        <v>240</v>
      </c>
      <c r="BJ42" s="169" t="s">
        <v>127</v>
      </c>
      <c r="BK42" s="169" t="s">
        <v>241</v>
      </c>
      <c r="BL42" s="169" t="s">
        <v>127</v>
      </c>
      <c r="BM42" s="169" t="s">
        <v>240</v>
      </c>
      <c r="BN42" s="169" t="s">
        <v>240</v>
      </c>
      <c r="BO42" s="169" t="s">
        <v>240</v>
      </c>
      <c r="BP42" s="169" t="s">
        <v>240</v>
      </c>
      <c r="BQ42" s="169" t="s">
        <v>127</v>
      </c>
      <c r="BR42" s="169" t="s">
        <v>127</v>
      </c>
      <c r="BS42" s="169" t="s">
        <v>241</v>
      </c>
      <c r="BT42" s="169" t="s">
        <v>240</v>
      </c>
      <c r="BU42" s="169" t="s">
        <v>240</v>
      </c>
      <c r="BV42" s="169" t="s">
        <v>240</v>
      </c>
      <c r="BW42" s="169" t="s">
        <v>127</v>
      </c>
      <c r="BX42" s="169" t="s">
        <v>127</v>
      </c>
      <c r="BY42" s="169" t="s">
        <v>241</v>
      </c>
      <c r="BZ42" s="169" t="s">
        <v>241</v>
      </c>
      <c r="CA42" s="169" t="s">
        <v>240</v>
      </c>
      <c r="CB42" s="169" t="s">
        <v>240</v>
      </c>
      <c r="CC42" s="169" t="s">
        <v>240</v>
      </c>
      <c r="CD42" s="169" t="s">
        <v>240</v>
      </c>
      <c r="CE42" s="169" t="s">
        <v>240</v>
      </c>
      <c r="CF42" s="169" t="s">
        <v>127</v>
      </c>
      <c r="CG42" s="169" t="s">
        <v>127</v>
      </c>
      <c r="CH42" s="169" t="s">
        <v>248</v>
      </c>
      <c r="CI42" s="169" t="s">
        <v>248</v>
      </c>
      <c r="CJ42" s="169" t="s">
        <v>248</v>
      </c>
      <c r="CK42" s="169" t="s">
        <v>248</v>
      </c>
      <c r="CL42" s="169" t="s">
        <v>248</v>
      </c>
      <c r="CM42" s="169" t="s">
        <v>127</v>
      </c>
      <c r="CN42" s="169" t="s">
        <v>127</v>
      </c>
      <c r="CO42" s="169" t="s">
        <v>248</v>
      </c>
      <c r="CP42" s="169" t="s">
        <v>248</v>
      </c>
      <c r="CQ42" s="169" t="s">
        <v>248</v>
      </c>
      <c r="CR42" s="169" t="s">
        <v>248</v>
      </c>
      <c r="CS42" s="169" t="s">
        <v>248</v>
      </c>
      <c r="CT42" s="169" t="s">
        <v>127</v>
      </c>
      <c r="CU42" s="169" t="s">
        <v>127</v>
      </c>
      <c r="CV42" s="169" t="s">
        <v>248</v>
      </c>
      <c r="CW42" s="169" t="s">
        <v>248</v>
      </c>
      <c r="CX42" s="169" t="s">
        <v>127</v>
      </c>
      <c r="CY42" s="169" t="s">
        <v>127</v>
      </c>
      <c r="CZ42" s="169" t="s">
        <v>248</v>
      </c>
      <c r="DA42" s="169" t="s">
        <v>248</v>
      </c>
      <c r="DB42" s="169"/>
      <c r="DC42" s="169" t="s">
        <v>251</v>
      </c>
      <c r="DD42" s="169" t="s">
        <v>248</v>
      </c>
      <c r="DE42" s="169" t="s">
        <v>248</v>
      </c>
      <c r="DF42" s="169" t="s">
        <v>248</v>
      </c>
      <c r="DG42" s="169" t="s">
        <v>248</v>
      </c>
      <c r="DH42" s="169" t="s">
        <v>127</v>
      </c>
      <c r="DI42" s="169"/>
      <c r="DJ42" s="169" t="s">
        <v>248</v>
      </c>
      <c r="DK42" s="169" t="s">
        <v>248</v>
      </c>
      <c r="DL42" s="169" t="s">
        <v>127</v>
      </c>
      <c r="DM42" s="169" t="s">
        <v>127</v>
      </c>
      <c r="DN42" s="169" t="s">
        <v>248</v>
      </c>
      <c r="DO42" s="169" t="s">
        <v>248</v>
      </c>
      <c r="DP42" s="169" t="s">
        <v>117</v>
      </c>
      <c r="DQ42" s="169" t="s">
        <v>127</v>
      </c>
      <c r="DR42" s="169" t="s">
        <v>247</v>
      </c>
      <c r="DS42" s="169" t="s">
        <v>248</v>
      </c>
      <c r="DT42" s="169" t="s">
        <v>248</v>
      </c>
      <c r="DU42" s="169" t="s">
        <v>248</v>
      </c>
      <c r="DV42" s="169" t="s">
        <v>248</v>
      </c>
      <c r="DW42" s="169" t="s">
        <v>127</v>
      </c>
      <c r="DX42" s="169" t="s">
        <v>236</v>
      </c>
      <c r="DY42" s="169" t="s">
        <v>236</v>
      </c>
      <c r="DZ42" s="169" t="s">
        <v>236</v>
      </c>
      <c r="EA42" s="169" t="s">
        <v>236</v>
      </c>
      <c r="EB42" s="169" t="s">
        <v>236</v>
      </c>
      <c r="EC42" s="169" t="s">
        <v>127</v>
      </c>
      <c r="ED42" s="169" t="s">
        <v>127</v>
      </c>
      <c r="EE42" s="538"/>
      <c r="EF42" s="539"/>
      <c r="EG42" s="539"/>
      <c r="EH42" s="539"/>
      <c r="EI42" s="539"/>
      <c r="EJ42" s="539"/>
      <c r="EK42" s="540"/>
      <c r="EL42" s="538"/>
      <c r="EM42" s="539"/>
      <c r="EN42" s="539"/>
      <c r="EO42" s="539"/>
      <c r="EP42" s="539"/>
      <c r="EQ42" s="539"/>
      <c r="ER42" s="540"/>
      <c r="ES42" s="538"/>
      <c r="ET42" s="539"/>
      <c r="EU42" s="539"/>
      <c r="EV42" s="539"/>
      <c r="EW42" s="539"/>
      <c r="EX42" s="539"/>
      <c r="EY42" s="540"/>
      <c r="EZ42" s="538"/>
      <c r="FA42" s="539"/>
      <c r="FB42" s="539"/>
      <c r="FC42" s="539"/>
      <c r="FD42" s="539"/>
      <c r="FE42" s="539"/>
      <c r="FF42" s="540"/>
      <c r="FG42" s="538"/>
      <c r="FH42" s="539"/>
      <c r="FI42" s="539"/>
      <c r="FJ42" s="539"/>
      <c r="FK42" s="539"/>
      <c r="FL42" s="539"/>
      <c r="FM42" s="540"/>
      <c r="FN42" s="548"/>
      <c r="FO42" s="539"/>
      <c r="FP42" s="539"/>
      <c r="FQ42" s="539"/>
      <c r="FR42" s="539"/>
      <c r="FS42" s="539"/>
      <c r="FT42" s="549"/>
      <c r="FU42" s="548"/>
      <c r="FV42" s="539"/>
      <c r="FW42" s="539"/>
      <c r="FX42" s="539"/>
      <c r="FY42" s="539"/>
      <c r="FZ42" s="539"/>
      <c r="GA42" s="549"/>
      <c r="GB42" s="548"/>
      <c r="GC42" s="539"/>
      <c r="GD42" s="539"/>
      <c r="GE42" s="539"/>
      <c r="GF42" s="539"/>
      <c r="GG42" s="539"/>
      <c r="GH42" s="549"/>
      <c r="GI42" s="548"/>
      <c r="GJ42" s="539"/>
      <c r="GK42" s="539"/>
      <c r="GL42" s="539"/>
      <c r="GM42" s="539"/>
      <c r="GN42" s="539"/>
      <c r="GO42" s="549"/>
      <c r="GP42" s="548"/>
      <c r="GQ42" s="539"/>
      <c r="GR42" s="539"/>
      <c r="GS42" s="539"/>
      <c r="GT42" s="539"/>
      <c r="GU42" s="539"/>
      <c r="GV42" s="549"/>
      <c r="GW42" s="548"/>
      <c r="GX42" s="539"/>
      <c r="GY42" s="539"/>
      <c r="GZ42" s="539"/>
      <c r="HA42" s="539"/>
      <c r="HB42" s="539"/>
      <c r="HC42" s="549"/>
      <c r="HD42" s="548"/>
      <c r="HE42" s="539"/>
      <c r="HF42" s="539"/>
      <c r="HG42" s="539"/>
      <c r="HH42" s="539"/>
      <c r="HI42" s="539"/>
      <c r="HJ42" s="549"/>
      <c r="HK42" s="142"/>
      <c r="HL42" s="142"/>
      <c r="HM42" s="142"/>
      <c r="HN42" s="142"/>
      <c r="HO42" s="142"/>
      <c r="HP42" s="142"/>
      <c r="HQ42" s="142"/>
      <c r="HR42" s="167"/>
      <c r="HS42" s="167"/>
      <c r="HT42" s="167"/>
      <c r="HU42" s="167"/>
      <c r="HV42" s="167"/>
      <c r="HW42" s="167"/>
      <c r="HX42" s="167"/>
      <c r="HY42" s="167"/>
      <c r="HZ42" s="167"/>
      <c r="IA42" s="167"/>
      <c r="IB42" s="167"/>
      <c r="IC42" s="167"/>
      <c r="ID42" s="167"/>
      <c r="IE42" s="167"/>
      <c r="IF42" s="167"/>
      <c r="IG42" s="167"/>
      <c r="IH42" s="167"/>
      <c r="II42" s="167"/>
      <c r="IJ42" s="167"/>
      <c r="IK42" s="167"/>
      <c r="IL42" s="167"/>
      <c r="IM42" s="167"/>
      <c r="IN42" s="167"/>
      <c r="IO42" s="167"/>
      <c r="IP42" s="167"/>
      <c r="IQ42" s="167"/>
      <c r="IR42" s="167"/>
      <c r="IS42" s="167"/>
      <c r="IT42" s="167"/>
      <c r="IU42" s="167"/>
      <c r="IV42" s="167"/>
      <c r="IW42" s="167"/>
      <c r="IX42" s="167"/>
      <c r="IY42" s="167"/>
      <c r="IZ42" s="167"/>
      <c r="JA42" s="167"/>
      <c r="JB42" s="167"/>
      <c r="JC42" s="167"/>
      <c r="JD42" s="167"/>
      <c r="JE42" s="167"/>
      <c r="JF42" s="167"/>
      <c r="JG42" s="167"/>
      <c r="JH42" s="167"/>
      <c r="JI42" s="167"/>
      <c r="JJ42" s="167"/>
      <c r="JK42" s="167"/>
      <c r="JL42" s="167"/>
      <c r="JM42" s="167"/>
      <c r="JN42" s="167"/>
      <c r="JO42" s="167"/>
      <c r="JP42" s="167"/>
      <c r="JQ42" s="167"/>
      <c r="JR42" s="167"/>
      <c r="JS42" s="167"/>
      <c r="JT42" s="167"/>
      <c r="JU42" s="167"/>
    </row>
    <row r="43" spans="13:281" ht="13" hidden="1">
      <c r="M43" s="495"/>
      <c r="O43" s="165" t="s">
        <v>253</v>
      </c>
      <c r="P43" s="541"/>
      <c r="Q43" s="539"/>
      <c r="R43" s="539"/>
      <c r="S43" s="539"/>
      <c r="T43" s="539"/>
      <c r="U43" s="539"/>
      <c r="V43" s="542"/>
      <c r="W43" s="541"/>
      <c r="X43" s="539"/>
      <c r="Y43" s="539"/>
      <c r="Z43" s="539"/>
      <c r="AA43" s="539"/>
      <c r="AB43" s="539"/>
      <c r="AC43" s="542"/>
      <c r="AD43" s="541"/>
      <c r="AE43" s="539"/>
      <c r="AF43" s="539"/>
      <c r="AG43" s="539"/>
      <c r="AH43" s="539"/>
      <c r="AI43" s="539"/>
      <c r="AJ43" s="542"/>
      <c r="AK43" s="541"/>
      <c r="AL43" s="539"/>
      <c r="AM43" s="539"/>
      <c r="AN43" s="539"/>
      <c r="AO43" s="539"/>
      <c r="AP43" s="539"/>
      <c r="AQ43" s="542"/>
      <c r="AR43" s="541"/>
      <c r="AS43" s="539"/>
      <c r="AT43" s="539"/>
      <c r="AU43" s="539"/>
      <c r="AV43" s="539"/>
      <c r="AW43" s="539"/>
      <c r="AX43" s="542"/>
      <c r="AY43" s="541"/>
      <c r="AZ43" s="539"/>
      <c r="BA43" s="539"/>
      <c r="BB43" s="539"/>
      <c r="BC43" s="539"/>
      <c r="BD43" s="539"/>
      <c r="BE43" s="542"/>
      <c r="BF43" s="166" t="s">
        <v>240</v>
      </c>
      <c r="BG43" s="166" t="s">
        <v>240</v>
      </c>
      <c r="BH43" s="166" t="s">
        <v>240</v>
      </c>
      <c r="BI43" s="166" t="s">
        <v>127</v>
      </c>
      <c r="BJ43" s="166" t="s">
        <v>240</v>
      </c>
      <c r="BK43" s="166" t="s">
        <v>240</v>
      </c>
      <c r="BL43" s="166" t="s">
        <v>127</v>
      </c>
      <c r="BM43" s="166" t="s">
        <v>240</v>
      </c>
      <c r="BN43" s="166" t="s">
        <v>240</v>
      </c>
      <c r="BO43" s="166" t="s">
        <v>240</v>
      </c>
      <c r="BP43" s="166" t="s">
        <v>240</v>
      </c>
      <c r="BQ43" s="166" t="s">
        <v>240</v>
      </c>
      <c r="BR43" s="166" t="s">
        <v>127</v>
      </c>
      <c r="BS43" s="166" t="s">
        <v>127</v>
      </c>
      <c r="BT43" s="166" t="s">
        <v>240</v>
      </c>
      <c r="BU43" s="166" t="s">
        <v>240</v>
      </c>
      <c r="BV43" s="166" t="s">
        <v>127</v>
      </c>
      <c r="BW43" s="166" t="s">
        <v>127</v>
      </c>
      <c r="BX43" s="166" t="s">
        <v>240</v>
      </c>
      <c r="BY43" s="166" t="s">
        <v>240</v>
      </c>
      <c r="BZ43" s="166" t="s">
        <v>214</v>
      </c>
      <c r="CA43" s="166" t="s">
        <v>240</v>
      </c>
      <c r="CB43" s="166" t="s">
        <v>240</v>
      </c>
      <c r="CC43" s="166" t="s">
        <v>127</v>
      </c>
      <c r="CD43" s="166" t="s">
        <v>240</v>
      </c>
      <c r="CE43" s="166" t="s">
        <v>240</v>
      </c>
      <c r="CF43" s="166" t="s">
        <v>127</v>
      </c>
      <c r="CG43" s="166" t="s">
        <v>235</v>
      </c>
      <c r="CH43" s="166" t="s">
        <v>127</v>
      </c>
      <c r="CI43" s="166"/>
      <c r="CJ43" s="166" t="s">
        <v>248</v>
      </c>
      <c r="CK43" s="166" t="s">
        <v>127</v>
      </c>
      <c r="CL43" s="166" t="s">
        <v>238</v>
      </c>
      <c r="CM43" s="166" t="s">
        <v>238</v>
      </c>
      <c r="CN43" s="166" t="s">
        <v>245</v>
      </c>
      <c r="CO43" s="166" t="s">
        <v>127</v>
      </c>
      <c r="CP43" s="166" t="s">
        <v>127</v>
      </c>
      <c r="CQ43" s="166" t="s">
        <v>247</v>
      </c>
      <c r="CR43" s="166" t="s">
        <v>236</v>
      </c>
      <c r="CS43" s="166" t="s">
        <v>240</v>
      </c>
      <c r="CT43" s="166" t="s">
        <v>236</v>
      </c>
      <c r="CU43" s="166"/>
      <c r="CV43" s="166" t="s">
        <v>127</v>
      </c>
      <c r="CW43" s="166" t="s">
        <v>246</v>
      </c>
      <c r="CX43" s="166" t="s">
        <v>247</v>
      </c>
      <c r="CY43" s="166" t="s">
        <v>236</v>
      </c>
      <c r="CZ43" s="166" t="s">
        <v>248</v>
      </c>
      <c r="DA43" s="166" t="s">
        <v>247</v>
      </c>
      <c r="DB43" s="166"/>
      <c r="DC43" s="166" t="s">
        <v>248</v>
      </c>
      <c r="DD43" s="166" t="s">
        <v>248</v>
      </c>
      <c r="DE43" s="166" t="s">
        <v>127</v>
      </c>
      <c r="DF43" s="166" t="s">
        <v>127</v>
      </c>
      <c r="DG43" s="166" t="s">
        <v>236</v>
      </c>
      <c r="DH43" s="166" t="s">
        <v>247</v>
      </c>
      <c r="DI43" s="166"/>
      <c r="DJ43" s="166"/>
      <c r="DK43" s="166" t="s">
        <v>127</v>
      </c>
      <c r="DL43" s="166" t="s">
        <v>246</v>
      </c>
      <c r="DM43" s="166" t="s">
        <v>247</v>
      </c>
      <c r="DN43" s="166" t="s">
        <v>247</v>
      </c>
      <c r="DO43" s="166" t="s">
        <v>238</v>
      </c>
      <c r="DP43" s="166" t="s">
        <v>127</v>
      </c>
      <c r="DQ43" s="166" t="s">
        <v>127</v>
      </c>
      <c r="DR43" s="166" t="s">
        <v>127</v>
      </c>
      <c r="DS43" s="166" t="s">
        <v>246</v>
      </c>
      <c r="DT43" s="166" t="s">
        <v>247</v>
      </c>
      <c r="DU43" s="166" t="s">
        <v>238</v>
      </c>
      <c r="DV43" s="166" t="s">
        <v>251</v>
      </c>
      <c r="DW43" s="166" t="s">
        <v>117</v>
      </c>
      <c r="DX43" s="166" t="s">
        <v>127</v>
      </c>
      <c r="DY43" s="166" t="s">
        <v>127</v>
      </c>
      <c r="DZ43" s="166" t="s">
        <v>247</v>
      </c>
      <c r="EA43" s="166" t="s">
        <v>247</v>
      </c>
      <c r="EB43" s="166" t="s">
        <v>254</v>
      </c>
      <c r="EC43" s="166" t="s">
        <v>236</v>
      </c>
      <c r="ED43" s="166" t="s">
        <v>236</v>
      </c>
      <c r="EE43" s="541"/>
      <c r="EF43" s="539"/>
      <c r="EG43" s="539"/>
      <c r="EH43" s="539"/>
      <c r="EI43" s="539"/>
      <c r="EJ43" s="539"/>
      <c r="EK43" s="542"/>
      <c r="EL43" s="541"/>
      <c r="EM43" s="539"/>
      <c r="EN43" s="539"/>
      <c r="EO43" s="539"/>
      <c r="EP43" s="539"/>
      <c r="EQ43" s="539"/>
      <c r="ER43" s="542"/>
      <c r="ES43" s="541"/>
      <c r="ET43" s="539"/>
      <c r="EU43" s="539"/>
      <c r="EV43" s="539"/>
      <c r="EW43" s="539"/>
      <c r="EX43" s="539"/>
      <c r="EY43" s="542"/>
      <c r="EZ43" s="541"/>
      <c r="FA43" s="539"/>
      <c r="FB43" s="539"/>
      <c r="FC43" s="539"/>
      <c r="FD43" s="539"/>
      <c r="FE43" s="539"/>
      <c r="FF43" s="542"/>
      <c r="FG43" s="541"/>
      <c r="FH43" s="539"/>
      <c r="FI43" s="539"/>
      <c r="FJ43" s="539"/>
      <c r="FK43" s="539"/>
      <c r="FL43" s="539"/>
      <c r="FM43" s="542"/>
      <c r="FN43" s="548"/>
      <c r="FO43" s="539"/>
      <c r="FP43" s="539"/>
      <c r="FQ43" s="539"/>
      <c r="FR43" s="539"/>
      <c r="FS43" s="539"/>
      <c r="FT43" s="549"/>
      <c r="FU43" s="548"/>
      <c r="FV43" s="539"/>
      <c r="FW43" s="539"/>
      <c r="FX43" s="539"/>
      <c r="FY43" s="539"/>
      <c r="FZ43" s="539"/>
      <c r="GA43" s="549"/>
      <c r="GB43" s="548"/>
      <c r="GC43" s="539"/>
      <c r="GD43" s="539"/>
      <c r="GE43" s="539"/>
      <c r="GF43" s="539"/>
      <c r="GG43" s="539"/>
      <c r="GH43" s="549"/>
      <c r="GI43" s="548"/>
      <c r="GJ43" s="539"/>
      <c r="GK43" s="539"/>
      <c r="GL43" s="539"/>
      <c r="GM43" s="539"/>
      <c r="GN43" s="539"/>
      <c r="GO43" s="549"/>
      <c r="GP43" s="548"/>
      <c r="GQ43" s="539"/>
      <c r="GR43" s="539"/>
      <c r="GS43" s="539"/>
      <c r="GT43" s="539"/>
      <c r="GU43" s="539"/>
      <c r="GV43" s="549"/>
      <c r="GW43" s="548"/>
      <c r="GX43" s="539"/>
      <c r="GY43" s="539"/>
      <c r="GZ43" s="539"/>
      <c r="HA43" s="539"/>
      <c r="HB43" s="539"/>
      <c r="HC43" s="549"/>
      <c r="HD43" s="548"/>
      <c r="HE43" s="539"/>
      <c r="HF43" s="539"/>
      <c r="HG43" s="539"/>
      <c r="HH43" s="539"/>
      <c r="HI43" s="539"/>
      <c r="HJ43" s="549"/>
      <c r="HK43" s="142"/>
      <c r="HL43" s="142"/>
      <c r="HM43" s="142"/>
      <c r="HN43" s="142"/>
      <c r="HO43" s="142"/>
      <c r="HP43" s="142"/>
      <c r="HQ43" s="142"/>
      <c r="HR43" s="167"/>
      <c r="HS43" s="167"/>
      <c r="HT43" s="167"/>
      <c r="HU43" s="167"/>
      <c r="HV43" s="167"/>
      <c r="HW43" s="167"/>
      <c r="HX43" s="167"/>
      <c r="HY43" s="167"/>
      <c r="HZ43" s="167"/>
      <c r="IA43" s="167"/>
      <c r="IB43" s="167"/>
      <c r="IC43" s="167"/>
      <c r="ID43" s="167"/>
      <c r="IE43" s="167"/>
      <c r="IF43" s="167"/>
      <c r="IG43" s="167"/>
      <c r="IH43" s="167"/>
      <c r="II43" s="167"/>
      <c r="IJ43" s="167"/>
      <c r="IK43" s="167"/>
      <c r="IL43" s="167"/>
      <c r="IM43" s="167"/>
      <c r="IN43" s="167"/>
      <c r="IO43" s="167"/>
      <c r="IP43" s="167"/>
      <c r="IQ43" s="167"/>
      <c r="IR43" s="167"/>
      <c r="IS43" s="167"/>
      <c r="IT43" s="167"/>
      <c r="IU43" s="167"/>
      <c r="IV43" s="167"/>
      <c r="IW43" s="167"/>
      <c r="IX43" s="167"/>
      <c r="IY43" s="167"/>
      <c r="IZ43" s="167"/>
      <c r="JA43" s="167"/>
      <c r="JB43" s="167"/>
      <c r="JC43" s="167"/>
      <c r="JD43" s="167"/>
      <c r="JE43" s="167"/>
      <c r="JF43" s="167"/>
      <c r="JG43" s="167"/>
      <c r="JH43" s="167"/>
      <c r="JI43" s="167"/>
      <c r="JJ43" s="167"/>
      <c r="JK43" s="167"/>
      <c r="JL43" s="167"/>
      <c r="JM43" s="167"/>
      <c r="JN43" s="167"/>
      <c r="JO43" s="167"/>
      <c r="JP43" s="167"/>
      <c r="JQ43" s="167"/>
      <c r="JR43" s="167"/>
      <c r="JS43" s="167"/>
      <c r="JT43" s="167"/>
      <c r="JU43" s="167"/>
    </row>
    <row r="44" spans="13:281" ht="13" hidden="1">
      <c r="M44" s="495"/>
      <c r="O44" s="165" t="s">
        <v>178</v>
      </c>
      <c r="P44" s="538"/>
      <c r="Q44" s="539"/>
      <c r="R44" s="539"/>
      <c r="S44" s="539"/>
      <c r="T44" s="539"/>
      <c r="U44" s="539"/>
      <c r="V44" s="540"/>
      <c r="W44" s="538"/>
      <c r="X44" s="539"/>
      <c r="Y44" s="539"/>
      <c r="Z44" s="539"/>
      <c r="AA44" s="539"/>
      <c r="AB44" s="539"/>
      <c r="AC44" s="540"/>
      <c r="AD44" s="538"/>
      <c r="AE44" s="539"/>
      <c r="AF44" s="539"/>
      <c r="AG44" s="539"/>
      <c r="AH44" s="539"/>
      <c r="AI44" s="539"/>
      <c r="AJ44" s="540"/>
      <c r="AK44" s="538"/>
      <c r="AL44" s="539"/>
      <c r="AM44" s="539"/>
      <c r="AN44" s="539"/>
      <c r="AO44" s="539"/>
      <c r="AP44" s="539"/>
      <c r="AQ44" s="540"/>
      <c r="AR44" s="538"/>
      <c r="AS44" s="539"/>
      <c r="AT44" s="539"/>
      <c r="AU44" s="539"/>
      <c r="AV44" s="539"/>
      <c r="AW44" s="539"/>
      <c r="AX44" s="540"/>
      <c r="AY44" s="538"/>
      <c r="AZ44" s="539"/>
      <c r="BA44" s="539"/>
      <c r="BB44" s="539"/>
      <c r="BC44" s="539"/>
      <c r="BD44" s="539"/>
      <c r="BE44" s="540"/>
      <c r="BF44" s="169" t="s">
        <v>239</v>
      </c>
      <c r="BG44" s="169" t="s">
        <v>239</v>
      </c>
      <c r="BH44" s="169" t="s">
        <v>127</v>
      </c>
      <c r="BI44" s="169" t="s">
        <v>127</v>
      </c>
      <c r="BJ44" s="169" t="s">
        <v>239</v>
      </c>
      <c r="BK44" s="169" t="s">
        <v>239</v>
      </c>
      <c r="BL44" s="169" t="s">
        <v>214</v>
      </c>
      <c r="BM44" s="169" t="s">
        <v>239</v>
      </c>
      <c r="BN44" s="169" t="s">
        <v>127</v>
      </c>
      <c r="BO44" s="169" t="s">
        <v>127</v>
      </c>
      <c r="BP44" s="169" t="s">
        <v>239</v>
      </c>
      <c r="BQ44" s="169" t="s">
        <v>239</v>
      </c>
      <c r="BR44" s="169" t="s">
        <v>239</v>
      </c>
      <c r="BS44" s="169" t="s">
        <v>239</v>
      </c>
      <c r="BT44" s="169" t="s">
        <v>239</v>
      </c>
      <c r="BU44" s="169" t="s">
        <v>239</v>
      </c>
      <c r="BV44" s="169" t="s">
        <v>239</v>
      </c>
      <c r="BW44" s="169" t="s">
        <v>240</v>
      </c>
      <c r="BX44" s="169" t="s">
        <v>239</v>
      </c>
      <c r="BY44" s="169" t="s">
        <v>127</v>
      </c>
      <c r="BZ44" s="169" t="s">
        <v>127</v>
      </c>
      <c r="CA44" s="169" t="s">
        <v>240</v>
      </c>
      <c r="CB44" s="169" t="s">
        <v>240</v>
      </c>
      <c r="CC44" s="169" t="s">
        <v>240</v>
      </c>
      <c r="CD44" s="169" t="s">
        <v>127</v>
      </c>
      <c r="CE44" s="169" t="s">
        <v>239</v>
      </c>
      <c r="CF44" s="169" t="s">
        <v>239</v>
      </c>
      <c r="CG44" s="169" t="s">
        <v>127</v>
      </c>
      <c r="CH44" s="169" t="s">
        <v>251</v>
      </c>
      <c r="CI44" s="169" t="s">
        <v>251</v>
      </c>
      <c r="CJ44" s="169" t="s">
        <v>251</v>
      </c>
      <c r="CK44" s="169" t="s">
        <v>251</v>
      </c>
      <c r="CL44" s="169" t="s">
        <v>251</v>
      </c>
      <c r="CM44" s="169"/>
      <c r="CN44" s="169" t="s">
        <v>127</v>
      </c>
      <c r="CO44" s="169" t="s">
        <v>251</v>
      </c>
      <c r="CP44" s="169" t="s">
        <v>251</v>
      </c>
      <c r="CQ44" s="169" t="s">
        <v>251</v>
      </c>
      <c r="CR44" s="169" t="s">
        <v>127</v>
      </c>
      <c r="CS44" s="169" t="s">
        <v>251</v>
      </c>
      <c r="CT44" s="169" t="s">
        <v>251</v>
      </c>
      <c r="CU44" s="169" t="s">
        <v>127</v>
      </c>
      <c r="CV44" s="169" t="s">
        <v>251</v>
      </c>
      <c r="CW44" s="169" t="s">
        <v>251</v>
      </c>
      <c r="CX44" s="169" t="s">
        <v>251</v>
      </c>
      <c r="CY44" s="169" t="s">
        <v>251</v>
      </c>
      <c r="CZ44" s="169" t="s">
        <v>247</v>
      </c>
      <c r="DA44" s="169" t="s">
        <v>127</v>
      </c>
      <c r="DB44" s="169"/>
      <c r="DC44" s="169" t="s">
        <v>127</v>
      </c>
      <c r="DD44" s="169" t="s">
        <v>127</v>
      </c>
      <c r="DE44" s="169" t="s">
        <v>251</v>
      </c>
      <c r="DF44" s="169" t="s">
        <v>251</v>
      </c>
      <c r="DG44" s="169" t="s">
        <v>251</v>
      </c>
      <c r="DH44" s="169" t="s">
        <v>251</v>
      </c>
      <c r="DI44" s="169"/>
      <c r="DJ44" s="169" t="s">
        <v>127</v>
      </c>
      <c r="DK44" s="169" t="s">
        <v>251</v>
      </c>
      <c r="DL44" s="169" t="s">
        <v>251</v>
      </c>
      <c r="DM44" s="169" t="s">
        <v>251</v>
      </c>
      <c r="DN44" s="169" t="s">
        <v>251</v>
      </c>
      <c r="DO44" s="169" t="s">
        <v>251</v>
      </c>
      <c r="DP44" s="169" t="s">
        <v>127</v>
      </c>
      <c r="DQ44" s="169" t="s">
        <v>247</v>
      </c>
      <c r="DR44" s="169" t="s">
        <v>251</v>
      </c>
      <c r="DS44" s="169" t="s">
        <v>247</v>
      </c>
      <c r="DT44" s="169" t="s">
        <v>251</v>
      </c>
      <c r="DU44" s="169" t="s">
        <v>245</v>
      </c>
      <c r="DV44" s="169" t="s">
        <v>127</v>
      </c>
      <c r="DW44" s="169" t="s">
        <v>127</v>
      </c>
      <c r="DX44" s="169" t="s">
        <v>251</v>
      </c>
      <c r="DY44" s="169" t="s">
        <v>251</v>
      </c>
      <c r="DZ44" s="169" t="s">
        <v>251</v>
      </c>
      <c r="EA44" s="169" t="s">
        <v>127</v>
      </c>
      <c r="EB44" s="169" t="s">
        <v>127</v>
      </c>
      <c r="EC44" s="169" t="s">
        <v>251</v>
      </c>
      <c r="ED44" s="169" t="s">
        <v>117</v>
      </c>
      <c r="EE44" s="538"/>
      <c r="EF44" s="539"/>
      <c r="EG44" s="539"/>
      <c r="EH44" s="539"/>
      <c r="EI44" s="539"/>
      <c r="EJ44" s="539"/>
      <c r="EK44" s="540"/>
      <c r="EL44" s="538"/>
      <c r="EM44" s="539"/>
      <c r="EN44" s="539"/>
      <c r="EO44" s="539"/>
      <c r="EP44" s="539"/>
      <c r="EQ44" s="539"/>
      <c r="ER44" s="540"/>
      <c r="ES44" s="538"/>
      <c r="ET44" s="539"/>
      <c r="EU44" s="539"/>
      <c r="EV44" s="539"/>
      <c r="EW44" s="539"/>
      <c r="EX44" s="539"/>
      <c r="EY44" s="540"/>
      <c r="EZ44" s="538"/>
      <c r="FA44" s="539"/>
      <c r="FB44" s="539"/>
      <c r="FC44" s="539"/>
      <c r="FD44" s="539"/>
      <c r="FE44" s="539"/>
      <c r="FF44" s="540"/>
      <c r="FG44" s="538"/>
      <c r="FH44" s="539"/>
      <c r="FI44" s="539"/>
      <c r="FJ44" s="539"/>
      <c r="FK44" s="539"/>
      <c r="FL44" s="539"/>
      <c r="FM44" s="540"/>
      <c r="FN44" s="548"/>
      <c r="FO44" s="539"/>
      <c r="FP44" s="539"/>
      <c r="FQ44" s="539"/>
      <c r="FR44" s="539"/>
      <c r="FS44" s="539"/>
      <c r="FT44" s="549"/>
      <c r="FU44" s="548"/>
      <c r="FV44" s="539"/>
      <c r="FW44" s="539"/>
      <c r="FX44" s="539"/>
      <c r="FY44" s="539"/>
      <c r="FZ44" s="539"/>
      <c r="GA44" s="549"/>
      <c r="GB44" s="548"/>
      <c r="GC44" s="539"/>
      <c r="GD44" s="539"/>
      <c r="GE44" s="539"/>
      <c r="GF44" s="539"/>
      <c r="GG44" s="539"/>
      <c r="GH44" s="549"/>
      <c r="GI44" s="548"/>
      <c r="GJ44" s="539"/>
      <c r="GK44" s="539"/>
      <c r="GL44" s="539"/>
      <c r="GM44" s="539"/>
      <c r="GN44" s="539"/>
      <c r="GO44" s="549"/>
      <c r="GP44" s="548"/>
      <c r="GQ44" s="539"/>
      <c r="GR44" s="539"/>
      <c r="GS44" s="539"/>
      <c r="GT44" s="539"/>
      <c r="GU44" s="539"/>
      <c r="GV44" s="549"/>
      <c r="GW44" s="548"/>
      <c r="GX44" s="539"/>
      <c r="GY44" s="539"/>
      <c r="GZ44" s="539"/>
      <c r="HA44" s="539"/>
      <c r="HB44" s="539"/>
      <c r="HC44" s="549"/>
      <c r="HD44" s="548"/>
      <c r="HE44" s="539"/>
      <c r="HF44" s="539"/>
      <c r="HG44" s="539"/>
      <c r="HH44" s="539"/>
      <c r="HI44" s="539"/>
      <c r="HJ44" s="549"/>
      <c r="HK44" s="142"/>
      <c r="HL44" s="142"/>
      <c r="HM44" s="142"/>
      <c r="HN44" s="142"/>
      <c r="HO44" s="142"/>
      <c r="HP44" s="142"/>
      <c r="HQ44" s="142"/>
      <c r="HR44" s="167"/>
      <c r="HS44" s="167"/>
      <c r="HT44" s="167"/>
      <c r="HU44" s="167"/>
      <c r="HV44" s="167"/>
      <c r="HW44" s="167"/>
      <c r="HX44" s="167"/>
      <c r="HY44" s="167"/>
      <c r="HZ44" s="167"/>
      <c r="IA44" s="167"/>
      <c r="IB44" s="167"/>
      <c r="IC44" s="167"/>
      <c r="ID44" s="167"/>
      <c r="IE44" s="167"/>
      <c r="IF44" s="167"/>
      <c r="IG44" s="167"/>
      <c r="IH44" s="167"/>
      <c r="II44" s="167"/>
      <c r="IJ44" s="167"/>
      <c r="IK44" s="167"/>
      <c r="IL44" s="167"/>
      <c r="IM44" s="167"/>
      <c r="IN44" s="167"/>
      <c r="IO44" s="167"/>
      <c r="IP44" s="167"/>
      <c r="IQ44" s="167"/>
      <c r="IR44" s="167"/>
      <c r="IS44" s="167"/>
      <c r="IT44" s="167"/>
      <c r="IU44" s="167"/>
      <c r="IV44" s="167"/>
      <c r="IW44" s="167"/>
      <c r="IX44" s="167"/>
      <c r="IY44" s="167"/>
      <c r="IZ44" s="167"/>
      <c r="JA44" s="167"/>
      <c r="JB44" s="167"/>
      <c r="JC44" s="167"/>
      <c r="JD44" s="167"/>
      <c r="JE44" s="167"/>
      <c r="JF44" s="167"/>
      <c r="JG44" s="167"/>
      <c r="JH44" s="167"/>
      <c r="JI44" s="167"/>
      <c r="JJ44" s="167"/>
      <c r="JK44" s="167"/>
      <c r="JL44" s="167"/>
      <c r="JM44" s="167"/>
      <c r="JN44" s="167"/>
      <c r="JO44" s="167"/>
      <c r="JP44" s="167"/>
      <c r="JQ44" s="167"/>
      <c r="JR44" s="167"/>
      <c r="JS44" s="167"/>
      <c r="JT44" s="167"/>
      <c r="JU44" s="167"/>
    </row>
    <row r="45" spans="13:281" ht="13" hidden="1">
      <c r="M45" s="495"/>
      <c r="O45" s="168" t="s">
        <v>255</v>
      </c>
      <c r="P45" s="541"/>
      <c r="Q45" s="539"/>
      <c r="R45" s="539"/>
      <c r="S45" s="539"/>
      <c r="T45" s="539"/>
      <c r="U45" s="539"/>
      <c r="V45" s="542"/>
      <c r="W45" s="541"/>
      <c r="X45" s="539"/>
      <c r="Y45" s="539"/>
      <c r="Z45" s="539"/>
      <c r="AA45" s="539"/>
      <c r="AB45" s="539"/>
      <c r="AC45" s="542"/>
      <c r="AD45" s="541"/>
      <c r="AE45" s="539"/>
      <c r="AF45" s="539"/>
      <c r="AG45" s="539"/>
      <c r="AH45" s="539"/>
      <c r="AI45" s="539"/>
      <c r="AJ45" s="542"/>
      <c r="AK45" s="541"/>
      <c r="AL45" s="539"/>
      <c r="AM45" s="539"/>
      <c r="AN45" s="539"/>
      <c r="AO45" s="539"/>
      <c r="AP45" s="539"/>
      <c r="AQ45" s="542"/>
      <c r="AR45" s="541"/>
      <c r="AS45" s="539"/>
      <c r="AT45" s="539"/>
      <c r="AU45" s="539"/>
      <c r="AV45" s="539"/>
      <c r="AW45" s="539"/>
      <c r="AX45" s="542"/>
      <c r="AY45" s="541"/>
      <c r="AZ45" s="539"/>
      <c r="BA45" s="539"/>
      <c r="BB45" s="539"/>
      <c r="BC45" s="539"/>
      <c r="BD45" s="539"/>
      <c r="BE45" s="542"/>
      <c r="BF45" s="166" t="s">
        <v>240</v>
      </c>
      <c r="BG45" s="166" t="s">
        <v>240</v>
      </c>
      <c r="BH45" s="166" t="s">
        <v>127</v>
      </c>
      <c r="BI45" s="166" t="s">
        <v>240</v>
      </c>
      <c r="BJ45" s="166" t="s">
        <v>127</v>
      </c>
      <c r="BK45" s="166" t="s">
        <v>240</v>
      </c>
      <c r="BL45" s="166" t="s">
        <v>250</v>
      </c>
      <c r="BM45" s="166" t="s">
        <v>240</v>
      </c>
      <c r="BN45" s="166" t="s">
        <v>240</v>
      </c>
      <c r="BO45" s="166" t="s">
        <v>240</v>
      </c>
      <c r="BP45" s="166" t="s">
        <v>127</v>
      </c>
      <c r="BQ45" s="166" t="s">
        <v>127</v>
      </c>
      <c r="BR45" s="166" t="s">
        <v>240</v>
      </c>
      <c r="BS45" s="166" t="s">
        <v>214</v>
      </c>
      <c r="BT45" s="166" t="s">
        <v>240</v>
      </c>
      <c r="BU45" s="166" t="s">
        <v>240</v>
      </c>
      <c r="BV45" s="166" t="s">
        <v>240</v>
      </c>
      <c r="BW45" s="166" t="s">
        <v>240</v>
      </c>
      <c r="BX45" s="166" t="s">
        <v>240</v>
      </c>
      <c r="BY45" s="166" t="s">
        <v>127</v>
      </c>
      <c r="BZ45" s="166" t="s">
        <v>127</v>
      </c>
      <c r="CA45" s="166" t="s">
        <v>240</v>
      </c>
      <c r="CB45" s="166" t="s">
        <v>243</v>
      </c>
      <c r="CC45" s="166" t="s">
        <v>127</v>
      </c>
      <c r="CD45" s="166" t="s">
        <v>240</v>
      </c>
      <c r="CE45" s="166" t="s">
        <v>241</v>
      </c>
      <c r="CF45" s="166" t="s">
        <v>242</v>
      </c>
      <c r="CG45" s="166" t="s">
        <v>127</v>
      </c>
      <c r="CH45" s="166" t="s">
        <v>247</v>
      </c>
      <c r="CI45" s="166" t="s">
        <v>236</v>
      </c>
      <c r="CJ45" s="166" t="s">
        <v>127</v>
      </c>
      <c r="CK45" s="166" t="s">
        <v>127</v>
      </c>
      <c r="CL45" s="166" t="s">
        <v>237</v>
      </c>
      <c r="CM45" s="166" t="s">
        <v>245</v>
      </c>
      <c r="CN45" s="166" t="s">
        <v>214</v>
      </c>
      <c r="CO45" s="166" t="s">
        <v>238</v>
      </c>
      <c r="CP45" s="166" t="s">
        <v>238</v>
      </c>
      <c r="CQ45" s="166" t="s">
        <v>127</v>
      </c>
      <c r="CR45" s="166" t="s">
        <v>238</v>
      </c>
      <c r="CS45" s="166" t="s">
        <v>247</v>
      </c>
      <c r="CT45" s="166" t="s">
        <v>245</v>
      </c>
      <c r="CU45" s="166" t="s">
        <v>127</v>
      </c>
      <c r="CV45" s="166" t="s">
        <v>247</v>
      </c>
      <c r="CW45" s="166" t="s">
        <v>236</v>
      </c>
      <c r="CX45" s="166" t="s">
        <v>238</v>
      </c>
      <c r="CY45" s="166" t="s">
        <v>238</v>
      </c>
      <c r="CZ45" s="166" t="s">
        <v>245</v>
      </c>
      <c r="DA45" s="166" t="s">
        <v>127</v>
      </c>
      <c r="DB45" s="166"/>
      <c r="DC45" s="166" t="s">
        <v>127</v>
      </c>
      <c r="DD45" s="166" t="s">
        <v>251</v>
      </c>
      <c r="DE45" s="166" t="s">
        <v>236</v>
      </c>
      <c r="DF45" s="166" t="s">
        <v>238</v>
      </c>
      <c r="DG45" s="166" t="s">
        <v>238</v>
      </c>
      <c r="DH45" s="166" t="s">
        <v>246</v>
      </c>
      <c r="DI45" s="166"/>
      <c r="DJ45" s="166" t="s">
        <v>237</v>
      </c>
      <c r="DK45" s="166" t="s">
        <v>238</v>
      </c>
      <c r="DL45" s="166" t="s">
        <v>246</v>
      </c>
      <c r="DM45" s="166" t="s">
        <v>238</v>
      </c>
      <c r="DN45" s="166" t="s">
        <v>246</v>
      </c>
      <c r="DO45" s="166" t="s">
        <v>127</v>
      </c>
      <c r="DP45" s="166" t="s">
        <v>127</v>
      </c>
      <c r="DQ45" s="166"/>
      <c r="DR45" s="166"/>
      <c r="DS45" s="166"/>
      <c r="DT45" s="166"/>
      <c r="DU45" s="166" t="s">
        <v>127</v>
      </c>
      <c r="DV45" s="166" t="s">
        <v>127</v>
      </c>
      <c r="DW45" s="166" t="s">
        <v>246</v>
      </c>
      <c r="DX45" s="166"/>
      <c r="DY45" s="166"/>
      <c r="DZ45" s="166"/>
      <c r="EA45" s="166"/>
      <c r="EB45" s="166"/>
      <c r="EC45" s="166"/>
      <c r="ED45" s="166"/>
      <c r="EE45" s="541"/>
      <c r="EF45" s="539"/>
      <c r="EG45" s="539"/>
      <c r="EH45" s="539"/>
      <c r="EI45" s="539"/>
      <c r="EJ45" s="539"/>
      <c r="EK45" s="542"/>
      <c r="EL45" s="541"/>
      <c r="EM45" s="539"/>
      <c r="EN45" s="539"/>
      <c r="EO45" s="539"/>
      <c r="EP45" s="539"/>
      <c r="EQ45" s="539"/>
      <c r="ER45" s="542"/>
      <c r="ES45" s="541"/>
      <c r="ET45" s="539"/>
      <c r="EU45" s="539"/>
      <c r="EV45" s="539"/>
      <c r="EW45" s="539"/>
      <c r="EX45" s="539"/>
      <c r="EY45" s="542"/>
      <c r="EZ45" s="541"/>
      <c r="FA45" s="539"/>
      <c r="FB45" s="539"/>
      <c r="FC45" s="539"/>
      <c r="FD45" s="539"/>
      <c r="FE45" s="539"/>
      <c r="FF45" s="542"/>
      <c r="FG45" s="541"/>
      <c r="FH45" s="539"/>
      <c r="FI45" s="539"/>
      <c r="FJ45" s="539"/>
      <c r="FK45" s="539"/>
      <c r="FL45" s="539"/>
      <c r="FM45" s="542"/>
      <c r="FN45" s="548"/>
      <c r="FO45" s="539"/>
      <c r="FP45" s="539"/>
      <c r="FQ45" s="539"/>
      <c r="FR45" s="539"/>
      <c r="FS45" s="539"/>
      <c r="FT45" s="549"/>
      <c r="FU45" s="548"/>
      <c r="FV45" s="539"/>
      <c r="FW45" s="539"/>
      <c r="FX45" s="539"/>
      <c r="FY45" s="539"/>
      <c r="FZ45" s="539"/>
      <c r="GA45" s="549"/>
      <c r="GB45" s="548"/>
      <c r="GC45" s="539"/>
      <c r="GD45" s="539"/>
      <c r="GE45" s="539"/>
      <c r="GF45" s="539"/>
      <c r="GG45" s="539"/>
      <c r="GH45" s="549"/>
      <c r="GI45" s="548"/>
      <c r="GJ45" s="539"/>
      <c r="GK45" s="539"/>
      <c r="GL45" s="539"/>
      <c r="GM45" s="539"/>
      <c r="GN45" s="539"/>
      <c r="GO45" s="549"/>
      <c r="GP45" s="548"/>
      <c r="GQ45" s="539"/>
      <c r="GR45" s="539"/>
      <c r="GS45" s="539"/>
      <c r="GT45" s="539"/>
      <c r="GU45" s="539"/>
      <c r="GV45" s="549"/>
      <c r="GW45" s="548"/>
      <c r="GX45" s="539"/>
      <c r="GY45" s="539"/>
      <c r="GZ45" s="539"/>
      <c r="HA45" s="539"/>
      <c r="HB45" s="539"/>
      <c r="HC45" s="549"/>
      <c r="HD45" s="548"/>
      <c r="HE45" s="539"/>
      <c r="HF45" s="539"/>
      <c r="HG45" s="539"/>
      <c r="HH45" s="539"/>
      <c r="HI45" s="539"/>
      <c r="HJ45" s="549"/>
      <c r="HK45" s="142"/>
      <c r="HL45" s="142"/>
      <c r="HM45" s="142"/>
      <c r="HN45" s="142"/>
      <c r="HO45" s="142"/>
      <c r="HP45" s="142"/>
      <c r="HQ45" s="142"/>
      <c r="HR45" s="167"/>
      <c r="HS45" s="167"/>
      <c r="HT45" s="167"/>
      <c r="HU45" s="167"/>
      <c r="HV45" s="167"/>
      <c r="HW45" s="167"/>
      <c r="HX45" s="167"/>
      <c r="HY45" s="167"/>
      <c r="HZ45" s="167"/>
      <c r="IA45" s="167"/>
      <c r="IB45" s="167"/>
      <c r="IC45" s="167"/>
      <c r="ID45" s="167"/>
      <c r="IE45" s="167"/>
      <c r="IF45" s="167"/>
      <c r="IG45" s="167"/>
      <c r="IH45" s="167"/>
      <c r="II45" s="167"/>
      <c r="IJ45" s="167"/>
      <c r="IK45" s="167"/>
      <c r="IL45" s="167"/>
      <c r="IM45" s="167"/>
      <c r="IN45" s="167"/>
      <c r="IO45" s="167"/>
      <c r="IP45" s="167"/>
      <c r="IQ45" s="167"/>
      <c r="IR45" s="167"/>
      <c r="IS45" s="167"/>
      <c r="IT45" s="167"/>
      <c r="IU45" s="167"/>
      <c r="IV45" s="167"/>
      <c r="IW45" s="167"/>
      <c r="IX45" s="167"/>
      <c r="IY45" s="167"/>
      <c r="IZ45" s="167"/>
      <c r="JA45" s="167"/>
      <c r="JB45" s="167"/>
      <c r="JC45" s="167"/>
      <c r="JD45" s="167"/>
      <c r="JE45" s="167"/>
      <c r="JF45" s="167"/>
      <c r="JG45" s="167"/>
      <c r="JH45" s="167"/>
      <c r="JI45" s="167"/>
      <c r="JJ45" s="167"/>
      <c r="JK45" s="167"/>
      <c r="JL45" s="167"/>
      <c r="JM45" s="167"/>
      <c r="JN45" s="167"/>
      <c r="JO45" s="167"/>
      <c r="JP45" s="167"/>
      <c r="JQ45" s="167"/>
      <c r="JR45" s="167"/>
      <c r="JS45" s="167"/>
      <c r="JT45" s="167"/>
      <c r="JU45" s="167"/>
    </row>
    <row r="46" spans="13:281" ht="13" hidden="1">
      <c r="M46" s="495"/>
      <c r="O46" s="165" t="s">
        <v>182</v>
      </c>
      <c r="P46" s="538"/>
      <c r="Q46" s="539"/>
      <c r="R46" s="539"/>
      <c r="S46" s="539"/>
      <c r="T46" s="539"/>
      <c r="U46" s="539"/>
      <c r="V46" s="540"/>
      <c r="W46" s="538"/>
      <c r="X46" s="539"/>
      <c r="Y46" s="539"/>
      <c r="Z46" s="539"/>
      <c r="AA46" s="539"/>
      <c r="AB46" s="539"/>
      <c r="AC46" s="540"/>
      <c r="AD46" s="538"/>
      <c r="AE46" s="539"/>
      <c r="AF46" s="539"/>
      <c r="AG46" s="539"/>
      <c r="AH46" s="539"/>
      <c r="AI46" s="539"/>
      <c r="AJ46" s="540"/>
      <c r="AK46" s="538"/>
      <c r="AL46" s="539"/>
      <c r="AM46" s="539"/>
      <c r="AN46" s="539"/>
      <c r="AO46" s="539"/>
      <c r="AP46" s="539"/>
      <c r="AQ46" s="540"/>
      <c r="AR46" s="538"/>
      <c r="AS46" s="539"/>
      <c r="AT46" s="539"/>
      <c r="AU46" s="539"/>
      <c r="AV46" s="539"/>
      <c r="AW46" s="539"/>
      <c r="AX46" s="540"/>
      <c r="AY46" s="538"/>
      <c r="AZ46" s="539"/>
      <c r="BA46" s="539"/>
      <c r="BB46" s="539"/>
      <c r="BC46" s="539"/>
      <c r="BD46" s="539"/>
      <c r="BE46" s="540"/>
      <c r="BF46" s="169" t="s">
        <v>243</v>
      </c>
      <c r="BG46" s="169" t="s">
        <v>243</v>
      </c>
      <c r="BH46" s="169" t="s">
        <v>249</v>
      </c>
      <c r="BI46" s="169" t="s">
        <v>249</v>
      </c>
      <c r="BJ46" s="169" t="s">
        <v>244</v>
      </c>
      <c r="BK46" s="169" t="s">
        <v>127</v>
      </c>
      <c r="BL46" s="169" t="s">
        <v>127</v>
      </c>
      <c r="BM46" s="169" t="s">
        <v>243</v>
      </c>
      <c r="BN46" s="169" t="s">
        <v>239</v>
      </c>
      <c r="BO46" s="169" t="s">
        <v>127</v>
      </c>
      <c r="BP46" s="169" t="s">
        <v>127</v>
      </c>
      <c r="BQ46" s="169" t="s">
        <v>243</v>
      </c>
      <c r="BR46" s="169" t="s">
        <v>244</v>
      </c>
      <c r="BS46" s="169" t="s">
        <v>244</v>
      </c>
      <c r="BT46" s="169" t="s">
        <v>249</v>
      </c>
      <c r="BU46" s="169" t="s">
        <v>249</v>
      </c>
      <c r="BV46" s="169" t="s">
        <v>127</v>
      </c>
      <c r="BW46" s="169" t="s">
        <v>241</v>
      </c>
      <c r="BX46" s="169" t="s">
        <v>235</v>
      </c>
      <c r="BY46" s="169" t="s">
        <v>240</v>
      </c>
      <c r="BZ46" s="169" t="s">
        <v>127</v>
      </c>
      <c r="CA46" s="169" t="s">
        <v>249</v>
      </c>
      <c r="CB46" s="169" t="s">
        <v>249</v>
      </c>
      <c r="CC46" s="169" t="s">
        <v>240</v>
      </c>
      <c r="CD46" s="169" t="s">
        <v>249</v>
      </c>
      <c r="CE46" s="169" t="s">
        <v>249</v>
      </c>
      <c r="CF46" s="169" t="s">
        <v>127</v>
      </c>
      <c r="CG46" s="169" t="s">
        <v>127</v>
      </c>
      <c r="CH46" s="169"/>
      <c r="CI46" s="169" t="s">
        <v>246</v>
      </c>
      <c r="CJ46" s="169"/>
      <c r="CK46" s="169" t="s">
        <v>237</v>
      </c>
      <c r="CL46" s="169" t="s">
        <v>236</v>
      </c>
      <c r="CM46" s="169" t="s">
        <v>127</v>
      </c>
      <c r="CN46" s="169" t="s">
        <v>127</v>
      </c>
      <c r="CO46" s="169" t="s">
        <v>127</v>
      </c>
      <c r="CP46" s="169" t="s">
        <v>246</v>
      </c>
      <c r="CQ46" s="169" t="s">
        <v>246</v>
      </c>
      <c r="CR46" s="169" t="s">
        <v>246</v>
      </c>
      <c r="CS46" s="169" t="s">
        <v>240</v>
      </c>
      <c r="CT46" s="169" t="s">
        <v>248</v>
      </c>
      <c r="CU46" s="169" t="s">
        <v>127</v>
      </c>
      <c r="CV46" s="169" t="s">
        <v>127</v>
      </c>
      <c r="CW46" s="169" t="s">
        <v>246</v>
      </c>
      <c r="CX46" s="169" t="s">
        <v>248</v>
      </c>
      <c r="CY46" s="169" t="s">
        <v>248</v>
      </c>
      <c r="CZ46" s="169" t="s">
        <v>251</v>
      </c>
      <c r="DA46" s="169" t="s">
        <v>127</v>
      </c>
      <c r="DB46" s="169"/>
      <c r="DC46" s="169" t="s">
        <v>251</v>
      </c>
      <c r="DD46" s="169" t="s">
        <v>251</v>
      </c>
      <c r="DE46" s="169" t="s">
        <v>246</v>
      </c>
      <c r="DF46" s="169" t="s">
        <v>236</v>
      </c>
      <c r="DG46" s="169" t="s">
        <v>245</v>
      </c>
      <c r="DH46" s="169" t="s">
        <v>127</v>
      </c>
      <c r="DI46" s="169"/>
      <c r="DJ46" s="169" t="s">
        <v>238</v>
      </c>
      <c r="DK46" s="169" t="s">
        <v>248</v>
      </c>
      <c r="DL46" s="169" t="s">
        <v>127</v>
      </c>
      <c r="DM46" s="169" t="s">
        <v>127</v>
      </c>
      <c r="DN46" s="169" t="s">
        <v>236</v>
      </c>
      <c r="DO46" s="169" t="s">
        <v>247</v>
      </c>
      <c r="DP46" s="169" t="s">
        <v>247</v>
      </c>
      <c r="DQ46" s="169" t="s">
        <v>251</v>
      </c>
      <c r="DR46" s="169" t="s">
        <v>246</v>
      </c>
      <c r="DS46" s="169" t="s">
        <v>127</v>
      </c>
      <c r="DT46" s="169" t="s">
        <v>127</v>
      </c>
      <c r="DU46" s="169" t="s">
        <v>247</v>
      </c>
      <c r="DV46" s="169" t="s">
        <v>237</v>
      </c>
      <c r="DW46" s="169" t="s">
        <v>247</v>
      </c>
      <c r="DX46" s="169" t="s">
        <v>238</v>
      </c>
      <c r="DY46" s="169" t="s">
        <v>247</v>
      </c>
      <c r="DZ46" s="169" t="s">
        <v>127</v>
      </c>
      <c r="EA46" s="169" t="s">
        <v>238</v>
      </c>
      <c r="EB46" s="169" t="s">
        <v>238</v>
      </c>
      <c r="EC46" s="169" t="s">
        <v>245</v>
      </c>
      <c r="ED46" s="169" t="s">
        <v>127</v>
      </c>
      <c r="EE46" s="538"/>
      <c r="EF46" s="539"/>
      <c r="EG46" s="539"/>
      <c r="EH46" s="539"/>
      <c r="EI46" s="539"/>
      <c r="EJ46" s="539"/>
      <c r="EK46" s="540"/>
      <c r="EL46" s="538"/>
      <c r="EM46" s="539"/>
      <c r="EN46" s="539"/>
      <c r="EO46" s="539"/>
      <c r="EP46" s="539"/>
      <c r="EQ46" s="539"/>
      <c r="ER46" s="540"/>
      <c r="ES46" s="538"/>
      <c r="ET46" s="539"/>
      <c r="EU46" s="539"/>
      <c r="EV46" s="539"/>
      <c r="EW46" s="539"/>
      <c r="EX46" s="539"/>
      <c r="EY46" s="540"/>
      <c r="EZ46" s="538"/>
      <c r="FA46" s="539"/>
      <c r="FB46" s="539"/>
      <c r="FC46" s="539"/>
      <c r="FD46" s="539"/>
      <c r="FE46" s="539"/>
      <c r="FF46" s="540"/>
      <c r="FG46" s="538"/>
      <c r="FH46" s="539"/>
      <c r="FI46" s="539"/>
      <c r="FJ46" s="539"/>
      <c r="FK46" s="539"/>
      <c r="FL46" s="539"/>
      <c r="FM46" s="540"/>
      <c r="FN46" s="548"/>
      <c r="FO46" s="539"/>
      <c r="FP46" s="539"/>
      <c r="FQ46" s="539"/>
      <c r="FR46" s="539"/>
      <c r="FS46" s="539"/>
      <c r="FT46" s="549"/>
      <c r="FU46" s="548"/>
      <c r="FV46" s="539"/>
      <c r="FW46" s="539"/>
      <c r="FX46" s="539"/>
      <c r="FY46" s="539"/>
      <c r="FZ46" s="539"/>
      <c r="GA46" s="549"/>
      <c r="GB46" s="548"/>
      <c r="GC46" s="539"/>
      <c r="GD46" s="539"/>
      <c r="GE46" s="539"/>
      <c r="GF46" s="539"/>
      <c r="GG46" s="539"/>
      <c r="GH46" s="549"/>
      <c r="GI46" s="548"/>
      <c r="GJ46" s="539"/>
      <c r="GK46" s="539"/>
      <c r="GL46" s="539"/>
      <c r="GM46" s="539"/>
      <c r="GN46" s="539"/>
      <c r="GO46" s="549"/>
      <c r="GP46" s="548"/>
      <c r="GQ46" s="539"/>
      <c r="GR46" s="539"/>
      <c r="GS46" s="539"/>
      <c r="GT46" s="539"/>
      <c r="GU46" s="539"/>
      <c r="GV46" s="549"/>
      <c r="GW46" s="548"/>
      <c r="GX46" s="539"/>
      <c r="GY46" s="539"/>
      <c r="GZ46" s="539"/>
      <c r="HA46" s="539"/>
      <c r="HB46" s="539"/>
      <c r="HC46" s="549"/>
      <c r="HD46" s="548"/>
      <c r="HE46" s="539"/>
      <c r="HF46" s="539"/>
      <c r="HG46" s="539"/>
      <c r="HH46" s="539"/>
      <c r="HI46" s="539"/>
      <c r="HJ46" s="549"/>
      <c r="HK46" s="142"/>
      <c r="HL46" s="142"/>
      <c r="HM46" s="142"/>
      <c r="HN46" s="142"/>
      <c r="HO46" s="142"/>
      <c r="HP46" s="142"/>
      <c r="HQ46" s="142"/>
      <c r="HR46" s="167"/>
      <c r="HS46" s="167"/>
      <c r="HT46" s="167"/>
      <c r="HU46" s="167"/>
      <c r="HV46" s="167"/>
      <c r="HW46" s="167"/>
      <c r="HX46" s="167"/>
      <c r="HY46" s="167"/>
      <c r="HZ46" s="167"/>
      <c r="IA46" s="167"/>
      <c r="IB46" s="167"/>
      <c r="IC46" s="167"/>
      <c r="ID46" s="167"/>
      <c r="IE46" s="167"/>
      <c r="IF46" s="167"/>
      <c r="IG46" s="167"/>
      <c r="IH46" s="167"/>
      <c r="II46" s="167"/>
      <c r="IJ46" s="167"/>
      <c r="IK46" s="167"/>
      <c r="IL46" s="167"/>
      <c r="IM46" s="167"/>
      <c r="IN46" s="167"/>
      <c r="IO46" s="167"/>
      <c r="IP46" s="167"/>
      <c r="IQ46" s="167"/>
      <c r="IR46" s="167"/>
      <c r="IS46" s="167"/>
      <c r="IT46" s="167"/>
      <c r="IU46" s="167"/>
      <c r="IV46" s="167"/>
      <c r="IW46" s="167"/>
      <c r="IX46" s="167"/>
      <c r="IY46" s="167"/>
      <c r="IZ46" s="167"/>
      <c r="JA46" s="167"/>
      <c r="JB46" s="167"/>
      <c r="JC46" s="167"/>
      <c r="JD46" s="167"/>
      <c r="JE46" s="167"/>
      <c r="JF46" s="167"/>
      <c r="JG46" s="167"/>
      <c r="JH46" s="167"/>
      <c r="JI46" s="167"/>
      <c r="JJ46" s="167"/>
      <c r="JK46" s="167"/>
      <c r="JL46" s="167"/>
      <c r="JM46" s="167"/>
      <c r="JN46" s="167"/>
      <c r="JO46" s="167"/>
      <c r="JP46" s="167"/>
      <c r="JQ46" s="167"/>
      <c r="JR46" s="167"/>
      <c r="JS46" s="167"/>
      <c r="JT46" s="167"/>
      <c r="JU46" s="167"/>
    </row>
    <row r="47" spans="13:281" ht="13" hidden="1">
      <c r="M47" s="495"/>
      <c r="O47" s="168" t="s">
        <v>188</v>
      </c>
      <c r="P47" s="541"/>
      <c r="Q47" s="539"/>
      <c r="R47" s="539"/>
      <c r="S47" s="539"/>
      <c r="T47" s="539"/>
      <c r="U47" s="539"/>
      <c r="V47" s="542"/>
      <c r="W47" s="541"/>
      <c r="X47" s="539"/>
      <c r="Y47" s="539"/>
      <c r="Z47" s="539"/>
      <c r="AA47" s="539"/>
      <c r="AB47" s="539"/>
      <c r="AC47" s="542"/>
      <c r="AD47" s="541"/>
      <c r="AE47" s="539"/>
      <c r="AF47" s="539"/>
      <c r="AG47" s="539"/>
      <c r="AH47" s="539"/>
      <c r="AI47" s="539"/>
      <c r="AJ47" s="542"/>
      <c r="AK47" s="541"/>
      <c r="AL47" s="539"/>
      <c r="AM47" s="539"/>
      <c r="AN47" s="539"/>
      <c r="AO47" s="539"/>
      <c r="AP47" s="539"/>
      <c r="AQ47" s="542"/>
      <c r="AR47" s="541"/>
      <c r="AS47" s="539"/>
      <c r="AT47" s="539"/>
      <c r="AU47" s="539"/>
      <c r="AV47" s="539"/>
      <c r="AW47" s="539"/>
      <c r="AX47" s="542"/>
      <c r="AY47" s="541"/>
      <c r="AZ47" s="539"/>
      <c r="BA47" s="539"/>
      <c r="BB47" s="539"/>
      <c r="BC47" s="539"/>
      <c r="BD47" s="539"/>
      <c r="BE47" s="542"/>
      <c r="BF47" s="166" t="s">
        <v>250</v>
      </c>
      <c r="BG47" s="166" t="s">
        <v>250</v>
      </c>
      <c r="BH47" s="166" t="s">
        <v>250</v>
      </c>
      <c r="BI47" s="166" t="s">
        <v>250</v>
      </c>
      <c r="BJ47" s="166" t="s">
        <v>250</v>
      </c>
      <c r="BK47" s="166" t="s">
        <v>127</v>
      </c>
      <c r="BL47" s="166" t="s">
        <v>127</v>
      </c>
      <c r="BM47" s="166" t="s">
        <v>127</v>
      </c>
      <c r="BN47" s="166" t="s">
        <v>241</v>
      </c>
      <c r="BO47" s="166" t="s">
        <v>241</v>
      </c>
      <c r="BP47" s="166" t="s">
        <v>241</v>
      </c>
      <c r="BQ47" s="166" t="s">
        <v>241</v>
      </c>
      <c r="BR47" s="166" t="s">
        <v>241</v>
      </c>
      <c r="BS47" s="166" t="s">
        <v>127</v>
      </c>
      <c r="BT47" s="166" t="s">
        <v>242</v>
      </c>
      <c r="BU47" s="166" t="s">
        <v>242</v>
      </c>
      <c r="BV47" s="166" t="s">
        <v>242</v>
      </c>
      <c r="BW47" s="166" t="s">
        <v>239</v>
      </c>
      <c r="BX47" s="166" t="s">
        <v>242</v>
      </c>
      <c r="BY47" s="166" t="s">
        <v>127</v>
      </c>
      <c r="BZ47" s="166" t="s">
        <v>127</v>
      </c>
      <c r="CA47" s="166" t="s">
        <v>241</v>
      </c>
      <c r="CB47" s="166" t="s">
        <v>241</v>
      </c>
      <c r="CC47" s="166" t="s">
        <v>241</v>
      </c>
      <c r="CD47" s="166" t="s">
        <v>241</v>
      </c>
      <c r="CE47" s="166" t="s">
        <v>127</v>
      </c>
      <c r="CF47" s="166" t="s">
        <v>127</v>
      </c>
      <c r="CG47" s="166" t="s">
        <v>214</v>
      </c>
      <c r="CH47" s="166" t="s">
        <v>236</v>
      </c>
      <c r="CI47" s="166" t="s">
        <v>248</v>
      </c>
      <c r="CJ47" s="166" t="s">
        <v>236</v>
      </c>
      <c r="CK47" s="166" t="s">
        <v>251</v>
      </c>
      <c r="CL47" s="166" t="s">
        <v>236</v>
      </c>
      <c r="CM47" s="166" t="s">
        <v>127</v>
      </c>
      <c r="CN47" s="166" t="s">
        <v>127</v>
      </c>
      <c r="CO47" s="166" t="s">
        <v>251</v>
      </c>
      <c r="CP47" s="166" t="s">
        <v>247</v>
      </c>
      <c r="CQ47" s="166" t="s">
        <v>236</v>
      </c>
      <c r="CR47" s="166" t="s">
        <v>237</v>
      </c>
      <c r="CS47" s="166" t="s">
        <v>236</v>
      </c>
      <c r="CT47" s="166" t="s">
        <v>127</v>
      </c>
      <c r="CU47" s="166" t="s">
        <v>127</v>
      </c>
      <c r="CV47" s="166" t="s">
        <v>238</v>
      </c>
      <c r="CW47" s="166" t="s">
        <v>238</v>
      </c>
      <c r="CX47" s="166" t="s">
        <v>236</v>
      </c>
      <c r="CY47" s="166" t="s">
        <v>237</v>
      </c>
      <c r="CZ47" s="166" t="s">
        <v>236</v>
      </c>
      <c r="DA47" s="166" t="s">
        <v>127</v>
      </c>
      <c r="DB47" s="166"/>
      <c r="DC47" s="166" t="s">
        <v>127</v>
      </c>
      <c r="DD47" s="166" t="s">
        <v>237</v>
      </c>
      <c r="DE47" s="166" t="s">
        <v>237</v>
      </c>
      <c r="DF47" s="166" t="s">
        <v>245</v>
      </c>
      <c r="DG47" s="166" t="s">
        <v>247</v>
      </c>
      <c r="DH47" s="166" t="s">
        <v>245</v>
      </c>
      <c r="DI47" s="166"/>
      <c r="DJ47" s="166" t="s">
        <v>127</v>
      </c>
      <c r="DK47" s="166" t="s">
        <v>237</v>
      </c>
      <c r="DL47" s="166" t="s">
        <v>238</v>
      </c>
      <c r="DM47" s="166" t="s">
        <v>246</v>
      </c>
      <c r="DN47" s="166" t="s">
        <v>245</v>
      </c>
      <c r="DO47" s="166" t="s">
        <v>127</v>
      </c>
      <c r="DP47" s="166" t="s">
        <v>117</v>
      </c>
      <c r="DQ47" s="166" t="s">
        <v>237</v>
      </c>
      <c r="DR47" s="166" t="s">
        <v>237</v>
      </c>
      <c r="DS47" s="166" t="s">
        <v>246</v>
      </c>
      <c r="DT47" s="166" t="s">
        <v>246</v>
      </c>
      <c r="DU47" s="166" t="s">
        <v>127</v>
      </c>
      <c r="DV47" s="166" t="s">
        <v>127</v>
      </c>
      <c r="DW47" s="166" t="s">
        <v>251</v>
      </c>
      <c r="DX47" s="166" t="s">
        <v>248</v>
      </c>
      <c r="DY47" s="166" t="s">
        <v>246</v>
      </c>
      <c r="DZ47" s="166" t="s">
        <v>238</v>
      </c>
      <c r="EA47" s="166" t="s">
        <v>245</v>
      </c>
      <c r="EB47" s="166" t="s">
        <v>251</v>
      </c>
      <c r="EC47" s="166" t="s">
        <v>127</v>
      </c>
      <c r="ED47" s="166" t="s">
        <v>127</v>
      </c>
      <c r="EE47" s="541"/>
      <c r="EF47" s="539"/>
      <c r="EG47" s="539"/>
      <c r="EH47" s="539"/>
      <c r="EI47" s="539"/>
      <c r="EJ47" s="539"/>
      <c r="EK47" s="542"/>
      <c r="EL47" s="541"/>
      <c r="EM47" s="539"/>
      <c r="EN47" s="539"/>
      <c r="EO47" s="539"/>
      <c r="EP47" s="539"/>
      <c r="EQ47" s="539"/>
      <c r="ER47" s="542"/>
      <c r="ES47" s="541"/>
      <c r="ET47" s="539"/>
      <c r="EU47" s="539"/>
      <c r="EV47" s="539"/>
      <c r="EW47" s="539"/>
      <c r="EX47" s="539"/>
      <c r="EY47" s="542"/>
      <c r="EZ47" s="541"/>
      <c r="FA47" s="539"/>
      <c r="FB47" s="539"/>
      <c r="FC47" s="539"/>
      <c r="FD47" s="539"/>
      <c r="FE47" s="539"/>
      <c r="FF47" s="542"/>
      <c r="FG47" s="541"/>
      <c r="FH47" s="539"/>
      <c r="FI47" s="539"/>
      <c r="FJ47" s="539"/>
      <c r="FK47" s="539"/>
      <c r="FL47" s="539"/>
      <c r="FM47" s="542"/>
      <c r="FN47" s="548"/>
      <c r="FO47" s="539"/>
      <c r="FP47" s="539"/>
      <c r="FQ47" s="539"/>
      <c r="FR47" s="539"/>
      <c r="FS47" s="539"/>
      <c r="FT47" s="549"/>
      <c r="FU47" s="548"/>
      <c r="FV47" s="539"/>
      <c r="FW47" s="539"/>
      <c r="FX47" s="539"/>
      <c r="FY47" s="539"/>
      <c r="FZ47" s="539"/>
      <c r="GA47" s="549"/>
      <c r="GB47" s="548"/>
      <c r="GC47" s="539"/>
      <c r="GD47" s="539"/>
      <c r="GE47" s="539"/>
      <c r="GF47" s="539"/>
      <c r="GG47" s="539"/>
      <c r="GH47" s="549"/>
      <c r="GI47" s="548"/>
      <c r="GJ47" s="539"/>
      <c r="GK47" s="539"/>
      <c r="GL47" s="539"/>
      <c r="GM47" s="539"/>
      <c r="GN47" s="539"/>
      <c r="GO47" s="549"/>
      <c r="GP47" s="548"/>
      <c r="GQ47" s="539"/>
      <c r="GR47" s="539"/>
      <c r="GS47" s="539"/>
      <c r="GT47" s="539"/>
      <c r="GU47" s="539"/>
      <c r="GV47" s="549"/>
      <c r="GW47" s="548"/>
      <c r="GX47" s="539"/>
      <c r="GY47" s="539"/>
      <c r="GZ47" s="539"/>
      <c r="HA47" s="539"/>
      <c r="HB47" s="539"/>
      <c r="HC47" s="549"/>
      <c r="HD47" s="548"/>
      <c r="HE47" s="539"/>
      <c r="HF47" s="539"/>
      <c r="HG47" s="539"/>
      <c r="HH47" s="539"/>
      <c r="HI47" s="539"/>
      <c r="HJ47" s="549"/>
      <c r="HK47" s="142"/>
      <c r="HL47" s="142"/>
      <c r="HM47" s="142"/>
      <c r="HN47" s="142"/>
      <c r="HO47" s="142"/>
      <c r="HP47" s="142"/>
      <c r="HQ47" s="142"/>
      <c r="HR47" s="167"/>
      <c r="HS47" s="167"/>
      <c r="HT47" s="167"/>
      <c r="HU47" s="167"/>
      <c r="HV47" s="167"/>
      <c r="HW47" s="167"/>
      <c r="HX47" s="167"/>
      <c r="HY47" s="167"/>
      <c r="HZ47" s="167"/>
      <c r="IA47" s="167"/>
      <c r="IB47" s="167"/>
      <c r="IC47" s="167"/>
      <c r="ID47" s="167"/>
      <c r="IE47" s="167"/>
      <c r="IF47" s="167"/>
      <c r="IG47" s="167"/>
      <c r="IH47" s="167"/>
      <c r="II47" s="167"/>
      <c r="IJ47" s="167"/>
      <c r="IK47" s="167"/>
      <c r="IL47" s="167"/>
      <c r="IM47" s="167"/>
      <c r="IN47" s="167"/>
      <c r="IO47" s="167"/>
      <c r="IP47" s="167"/>
      <c r="IQ47" s="167"/>
      <c r="IR47" s="167"/>
      <c r="IS47" s="167"/>
      <c r="IT47" s="167"/>
      <c r="IU47" s="167"/>
      <c r="IV47" s="167"/>
      <c r="IW47" s="167"/>
      <c r="IX47" s="167"/>
      <c r="IY47" s="167"/>
      <c r="IZ47" s="167"/>
      <c r="JA47" s="167"/>
      <c r="JB47" s="167"/>
      <c r="JC47" s="167"/>
      <c r="JD47" s="167"/>
      <c r="JE47" s="167"/>
      <c r="JF47" s="167"/>
      <c r="JG47" s="167"/>
      <c r="JH47" s="167"/>
      <c r="JI47" s="167"/>
      <c r="JJ47" s="167"/>
      <c r="JK47" s="167"/>
      <c r="JL47" s="167"/>
      <c r="JM47" s="167"/>
      <c r="JN47" s="167"/>
      <c r="JO47" s="167"/>
      <c r="JP47" s="167"/>
      <c r="JQ47" s="167"/>
      <c r="JR47" s="167"/>
      <c r="JS47" s="167"/>
      <c r="JT47" s="167"/>
      <c r="JU47" s="167"/>
    </row>
    <row r="48" spans="13:281" ht="13" hidden="1">
      <c r="M48" s="495"/>
      <c r="O48" s="165" t="s">
        <v>191</v>
      </c>
      <c r="P48" s="538"/>
      <c r="Q48" s="539"/>
      <c r="R48" s="539"/>
      <c r="S48" s="539"/>
      <c r="T48" s="539"/>
      <c r="U48" s="539"/>
      <c r="V48" s="540"/>
      <c r="W48" s="538"/>
      <c r="X48" s="539"/>
      <c r="Y48" s="539"/>
      <c r="Z48" s="539"/>
      <c r="AA48" s="539"/>
      <c r="AB48" s="539"/>
      <c r="AC48" s="540"/>
      <c r="AD48" s="538"/>
      <c r="AE48" s="539"/>
      <c r="AF48" s="539"/>
      <c r="AG48" s="539"/>
      <c r="AH48" s="539"/>
      <c r="AI48" s="539"/>
      <c r="AJ48" s="540"/>
      <c r="AK48" s="538"/>
      <c r="AL48" s="539"/>
      <c r="AM48" s="539"/>
      <c r="AN48" s="539"/>
      <c r="AO48" s="539"/>
      <c r="AP48" s="539"/>
      <c r="AQ48" s="540"/>
      <c r="AR48" s="538"/>
      <c r="AS48" s="539"/>
      <c r="AT48" s="539"/>
      <c r="AU48" s="539"/>
      <c r="AV48" s="539"/>
      <c r="AW48" s="539"/>
      <c r="AX48" s="540"/>
      <c r="AY48" s="538"/>
      <c r="AZ48" s="539"/>
      <c r="BA48" s="539"/>
      <c r="BB48" s="539"/>
      <c r="BC48" s="539"/>
      <c r="BD48" s="539"/>
      <c r="BE48" s="540"/>
      <c r="BF48" s="169" t="s">
        <v>241</v>
      </c>
      <c r="BG48" s="169" t="s">
        <v>241</v>
      </c>
      <c r="BH48" s="169" t="s">
        <v>241</v>
      </c>
      <c r="BI48" s="169" t="s">
        <v>241</v>
      </c>
      <c r="BJ48" s="169" t="s">
        <v>241</v>
      </c>
      <c r="BK48" s="169" t="s">
        <v>127</v>
      </c>
      <c r="BL48" s="169" t="s">
        <v>127</v>
      </c>
      <c r="BM48" s="169" t="s">
        <v>250</v>
      </c>
      <c r="BN48" s="169" t="s">
        <v>250</v>
      </c>
      <c r="BO48" s="169" t="s">
        <v>239</v>
      </c>
      <c r="BP48" s="169" t="s">
        <v>250</v>
      </c>
      <c r="BQ48" s="169" t="s">
        <v>250</v>
      </c>
      <c r="BR48" s="169" t="s">
        <v>127</v>
      </c>
      <c r="BS48" s="169" t="s">
        <v>127</v>
      </c>
      <c r="BT48" s="169" t="s">
        <v>127</v>
      </c>
      <c r="BU48" s="169" t="s">
        <v>241</v>
      </c>
      <c r="BV48" s="169" t="s">
        <v>244</v>
      </c>
      <c r="BW48" s="169" t="s">
        <v>244</v>
      </c>
      <c r="BX48" s="169" t="s">
        <v>241</v>
      </c>
      <c r="BY48" s="169" t="s">
        <v>250</v>
      </c>
      <c r="BZ48" s="169" t="s">
        <v>127</v>
      </c>
      <c r="CA48" s="169" t="s">
        <v>239</v>
      </c>
      <c r="CB48" s="169" t="s">
        <v>239</v>
      </c>
      <c r="CC48" s="169" t="s">
        <v>239</v>
      </c>
      <c r="CD48" s="169" t="s">
        <v>239</v>
      </c>
      <c r="CE48" s="169" t="s">
        <v>127</v>
      </c>
      <c r="CF48" s="169" t="s">
        <v>214</v>
      </c>
      <c r="CG48" s="169" t="s">
        <v>127</v>
      </c>
      <c r="CH48" s="169" t="s">
        <v>127</v>
      </c>
      <c r="CI48" s="169" t="s">
        <v>247</v>
      </c>
      <c r="CJ48" s="169" t="s">
        <v>246</v>
      </c>
      <c r="CK48" s="169" t="s">
        <v>248</v>
      </c>
      <c r="CL48" s="169" t="s">
        <v>248</v>
      </c>
      <c r="CM48" s="169" t="s">
        <v>251</v>
      </c>
      <c r="CN48" s="169" t="s">
        <v>127</v>
      </c>
      <c r="CO48" s="169" t="s">
        <v>248</v>
      </c>
      <c r="CP48" s="169" t="s">
        <v>248</v>
      </c>
      <c r="CQ48" s="169" t="s">
        <v>237</v>
      </c>
      <c r="CR48" s="169" t="s">
        <v>127</v>
      </c>
      <c r="CS48" s="169" t="s">
        <v>237</v>
      </c>
      <c r="CT48" s="169" t="s">
        <v>127</v>
      </c>
      <c r="CU48" s="169"/>
      <c r="CV48" s="169" t="s">
        <v>251</v>
      </c>
      <c r="CW48" s="169" t="s">
        <v>251</v>
      </c>
      <c r="CX48" s="169" t="s">
        <v>237</v>
      </c>
      <c r="CY48" s="169" t="s">
        <v>251</v>
      </c>
      <c r="CZ48" s="169" t="s">
        <v>238</v>
      </c>
      <c r="DA48" s="169" t="s">
        <v>127</v>
      </c>
      <c r="DB48" s="169"/>
      <c r="DC48" s="169" t="s">
        <v>248</v>
      </c>
      <c r="DD48" s="169" t="s">
        <v>237</v>
      </c>
      <c r="DE48" s="169" t="s">
        <v>248</v>
      </c>
      <c r="DF48" s="169" t="s">
        <v>245</v>
      </c>
      <c r="DG48" s="169" t="s">
        <v>247</v>
      </c>
      <c r="DH48" s="169" t="s">
        <v>127</v>
      </c>
      <c r="DI48" s="169"/>
      <c r="DJ48" s="169" t="s">
        <v>251</v>
      </c>
      <c r="DK48" s="169" t="s">
        <v>247</v>
      </c>
      <c r="DL48" s="169" t="s">
        <v>251</v>
      </c>
      <c r="DM48" s="169" t="s">
        <v>248</v>
      </c>
      <c r="DN48" s="169" t="s">
        <v>251</v>
      </c>
      <c r="DO48" s="169" t="s">
        <v>127</v>
      </c>
      <c r="DP48" s="169" t="s">
        <v>127</v>
      </c>
      <c r="DQ48" s="169" t="s">
        <v>246</v>
      </c>
      <c r="DR48" s="169" t="s">
        <v>251</v>
      </c>
      <c r="DS48" s="169" t="s">
        <v>248</v>
      </c>
      <c r="DT48" s="169" t="s">
        <v>251</v>
      </c>
      <c r="DU48" s="169" t="s">
        <v>248</v>
      </c>
      <c r="DV48" s="169" t="s">
        <v>127</v>
      </c>
      <c r="DW48" s="169" t="s">
        <v>127</v>
      </c>
      <c r="DX48" s="169" t="s">
        <v>127</v>
      </c>
      <c r="DY48" s="169" t="s">
        <v>238</v>
      </c>
      <c r="DZ48" s="169" t="s">
        <v>248</v>
      </c>
      <c r="EA48" s="169" t="s">
        <v>251</v>
      </c>
      <c r="EB48" s="169" t="s">
        <v>245</v>
      </c>
      <c r="EC48" s="169" t="s">
        <v>237</v>
      </c>
      <c r="ED48" s="169" t="s">
        <v>127</v>
      </c>
      <c r="EE48" s="538"/>
      <c r="EF48" s="539"/>
      <c r="EG48" s="539"/>
      <c r="EH48" s="539"/>
      <c r="EI48" s="539"/>
      <c r="EJ48" s="539"/>
      <c r="EK48" s="540"/>
      <c r="EL48" s="538"/>
      <c r="EM48" s="539"/>
      <c r="EN48" s="539"/>
      <c r="EO48" s="539"/>
      <c r="EP48" s="539"/>
      <c r="EQ48" s="539"/>
      <c r="ER48" s="540"/>
      <c r="ES48" s="538"/>
      <c r="ET48" s="539"/>
      <c r="EU48" s="539"/>
      <c r="EV48" s="539"/>
      <c r="EW48" s="539"/>
      <c r="EX48" s="539"/>
      <c r="EY48" s="540"/>
      <c r="EZ48" s="538"/>
      <c r="FA48" s="539"/>
      <c r="FB48" s="539"/>
      <c r="FC48" s="539"/>
      <c r="FD48" s="539"/>
      <c r="FE48" s="539"/>
      <c r="FF48" s="540"/>
      <c r="FG48" s="538"/>
      <c r="FH48" s="539"/>
      <c r="FI48" s="539"/>
      <c r="FJ48" s="539"/>
      <c r="FK48" s="539"/>
      <c r="FL48" s="539"/>
      <c r="FM48" s="540"/>
      <c r="FN48" s="548"/>
      <c r="FO48" s="539"/>
      <c r="FP48" s="539"/>
      <c r="FQ48" s="539"/>
      <c r="FR48" s="539"/>
      <c r="FS48" s="539"/>
      <c r="FT48" s="549"/>
      <c r="FU48" s="548"/>
      <c r="FV48" s="539"/>
      <c r="FW48" s="539"/>
      <c r="FX48" s="539"/>
      <c r="FY48" s="539"/>
      <c r="FZ48" s="539"/>
      <c r="GA48" s="549"/>
      <c r="GB48" s="548"/>
      <c r="GC48" s="539"/>
      <c r="GD48" s="539"/>
      <c r="GE48" s="539"/>
      <c r="GF48" s="539"/>
      <c r="GG48" s="539"/>
      <c r="GH48" s="549"/>
      <c r="GI48" s="548"/>
      <c r="GJ48" s="539"/>
      <c r="GK48" s="539"/>
      <c r="GL48" s="539"/>
      <c r="GM48" s="539"/>
      <c r="GN48" s="539"/>
      <c r="GO48" s="549"/>
      <c r="GP48" s="548"/>
      <c r="GQ48" s="539"/>
      <c r="GR48" s="539"/>
      <c r="GS48" s="539"/>
      <c r="GT48" s="539"/>
      <c r="GU48" s="539"/>
      <c r="GV48" s="549"/>
      <c r="GW48" s="548"/>
      <c r="GX48" s="539"/>
      <c r="GY48" s="539"/>
      <c r="GZ48" s="539"/>
      <c r="HA48" s="539"/>
      <c r="HB48" s="539"/>
      <c r="HC48" s="549"/>
      <c r="HD48" s="548"/>
      <c r="HE48" s="539"/>
      <c r="HF48" s="539"/>
      <c r="HG48" s="539"/>
      <c r="HH48" s="539"/>
      <c r="HI48" s="539"/>
      <c r="HJ48" s="549"/>
      <c r="HK48" s="142"/>
      <c r="HL48" s="142"/>
      <c r="HM48" s="142"/>
      <c r="HN48" s="142"/>
      <c r="HO48" s="142"/>
      <c r="HP48" s="142"/>
      <c r="HQ48" s="142"/>
      <c r="HR48" s="167"/>
      <c r="HS48" s="167"/>
      <c r="HT48" s="167"/>
      <c r="HU48" s="167"/>
      <c r="HV48" s="167"/>
      <c r="HW48" s="167"/>
      <c r="HX48" s="167"/>
      <c r="HY48" s="167"/>
      <c r="HZ48" s="167"/>
      <c r="IA48" s="167"/>
      <c r="IB48" s="167"/>
      <c r="IC48" s="167"/>
      <c r="ID48" s="167"/>
      <c r="IE48" s="167"/>
      <c r="IF48" s="167"/>
      <c r="IG48" s="167"/>
      <c r="IH48" s="167"/>
      <c r="II48" s="167"/>
      <c r="IJ48" s="167"/>
      <c r="IK48" s="167"/>
      <c r="IL48" s="167"/>
      <c r="IM48" s="167"/>
      <c r="IN48" s="167"/>
      <c r="IO48" s="167"/>
      <c r="IP48" s="167"/>
      <c r="IQ48" s="167"/>
      <c r="IR48" s="167"/>
      <c r="IS48" s="167"/>
      <c r="IT48" s="167"/>
      <c r="IU48" s="167"/>
      <c r="IV48" s="167"/>
      <c r="IW48" s="167"/>
      <c r="IX48" s="167"/>
      <c r="IY48" s="167"/>
      <c r="IZ48" s="167"/>
      <c r="JA48" s="167"/>
      <c r="JB48" s="167"/>
      <c r="JC48" s="167"/>
      <c r="JD48" s="167"/>
      <c r="JE48" s="167"/>
      <c r="JF48" s="167"/>
      <c r="JG48" s="167"/>
      <c r="JH48" s="167"/>
      <c r="JI48" s="167"/>
      <c r="JJ48" s="167"/>
      <c r="JK48" s="167"/>
      <c r="JL48" s="167"/>
      <c r="JM48" s="167"/>
      <c r="JN48" s="167"/>
      <c r="JO48" s="167"/>
      <c r="JP48" s="167"/>
      <c r="JQ48" s="167"/>
      <c r="JR48" s="167"/>
      <c r="JS48" s="167"/>
      <c r="JT48" s="167"/>
      <c r="JU48" s="167"/>
    </row>
    <row r="49" spans="13:281" ht="13" hidden="1">
      <c r="M49" s="495"/>
      <c r="O49" s="168" t="s">
        <v>192</v>
      </c>
      <c r="P49" s="543"/>
      <c r="Q49" s="544"/>
      <c r="R49" s="544"/>
      <c r="S49" s="544"/>
      <c r="T49" s="544"/>
      <c r="U49" s="544"/>
      <c r="V49" s="545"/>
      <c r="W49" s="543"/>
      <c r="X49" s="544"/>
      <c r="Y49" s="544"/>
      <c r="Z49" s="544"/>
      <c r="AA49" s="544"/>
      <c r="AB49" s="544"/>
      <c r="AC49" s="545"/>
      <c r="AD49" s="543"/>
      <c r="AE49" s="544"/>
      <c r="AF49" s="544"/>
      <c r="AG49" s="544"/>
      <c r="AH49" s="544"/>
      <c r="AI49" s="544"/>
      <c r="AJ49" s="545"/>
      <c r="AK49" s="543"/>
      <c r="AL49" s="544"/>
      <c r="AM49" s="544"/>
      <c r="AN49" s="544"/>
      <c r="AO49" s="544"/>
      <c r="AP49" s="544"/>
      <c r="AQ49" s="545"/>
      <c r="AR49" s="543"/>
      <c r="AS49" s="544"/>
      <c r="AT49" s="544"/>
      <c r="AU49" s="544"/>
      <c r="AV49" s="544"/>
      <c r="AW49" s="544"/>
      <c r="AX49" s="545"/>
      <c r="AY49" s="543"/>
      <c r="AZ49" s="544"/>
      <c r="BA49" s="544"/>
      <c r="BB49" s="544"/>
      <c r="BC49" s="544"/>
      <c r="BD49" s="544"/>
      <c r="BE49" s="545"/>
      <c r="BF49" s="170"/>
      <c r="BG49" s="170"/>
      <c r="BH49" s="170"/>
      <c r="BI49" s="170"/>
      <c r="BJ49" s="170"/>
      <c r="BK49" s="170"/>
      <c r="BL49" s="170"/>
      <c r="BM49" s="170"/>
      <c r="BN49" s="170"/>
      <c r="BO49" s="170"/>
      <c r="BP49" s="170"/>
      <c r="BQ49" s="170"/>
      <c r="BR49" s="170"/>
      <c r="BS49" s="170" t="s">
        <v>127</v>
      </c>
      <c r="BT49" s="170" t="s">
        <v>250</v>
      </c>
      <c r="BU49" s="170" t="s">
        <v>250</v>
      </c>
      <c r="BV49" s="170" t="s">
        <v>250</v>
      </c>
      <c r="BW49" s="170" t="s">
        <v>250</v>
      </c>
      <c r="BX49" s="170" t="s">
        <v>250</v>
      </c>
      <c r="BY49" s="170" t="s">
        <v>127</v>
      </c>
      <c r="BZ49" s="170" t="s">
        <v>127</v>
      </c>
      <c r="CA49" s="170" t="s">
        <v>250</v>
      </c>
      <c r="CB49" s="170" t="s">
        <v>250</v>
      </c>
      <c r="CC49" s="170" t="s">
        <v>250</v>
      </c>
      <c r="CD49" s="170" t="s">
        <v>127</v>
      </c>
      <c r="CE49" s="170" t="s">
        <v>127</v>
      </c>
      <c r="CF49" s="170" t="s">
        <v>214</v>
      </c>
      <c r="CG49" s="170" t="s">
        <v>214</v>
      </c>
      <c r="CH49" s="170" t="s">
        <v>238</v>
      </c>
      <c r="CI49" s="170" t="s">
        <v>238</v>
      </c>
      <c r="CJ49" s="170" t="s">
        <v>247</v>
      </c>
      <c r="CK49" s="170" t="s">
        <v>236</v>
      </c>
      <c r="CL49" s="170" t="s">
        <v>247</v>
      </c>
      <c r="CM49" s="170" t="s">
        <v>127</v>
      </c>
      <c r="CN49" s="170" t="s">
        <v>127</v>
      </c>
      <c r="CO49" s="170" t="s">
        <v>245</v>
      </c>
      <c r="CP49" s="170" t="s">
        <v>237</v>
      </c>
      <c r="CQ49" s="170" t="s">
        <v>238</v>
      </c>
      <c r="CR49" s="170" t="s">
        <v>251</v>
      </c>
      <c r="CS49" s="170" t="s">
        <v>238</v>
      </c>
      <c r="CT49" s="170" t="s">
        <v>127</v>
      </c>
      <c r="CU49" s="170" t="s">
        <v>127</v>
      </c>
      <c r="CV49" s="170" t="s">
        <v>236</v>
      </c>
      <c r="CW49" s="170" t="s">
        <v>127</v>
      </c>
      <c r="CX49" s="170" t="s">
        <v>237</v>
      </c>
      <c r="CY49" s="170" t="s">
        <v>245</v>
      </c>
      <c r="CZ49" s="170" t="s">
        <v>238</v>
      </c>
      <c r="DA49" s="170" t="s">
        <v>127</v>
      </c>
      <c r="DB49" s="170"/>
      <c r="DC49" s="170" t="s">
        <v>245</v>
      </c>
      <c r="DD49" s="170" t="s">
        <v>245</v>
      </c>
      <c r="DE49" s="170" t="s">
        <v>238</v>
      </c>
      <c r="DF49" s="170" t="s">
        <v>127</v>
      </c>
      <c r="DG49" s="170" t="s">
        <v>248</v>
      </c>
      <c r="DH49" s="170" t="s">
        <v>127</v>
      </c>
      <c r="DI49" s="170"/>
      <c r="DJ49" s="170" t="s">
        <v>248</v>
      </c>
      <c r="DK49" s="170" t="s">
        <v>251</v>
      </c>
      <c r="DL49" s="170" t="s">
        <v>236</v>
      </c>
      <c r="DM49" s="170" t="s">
        <v>237</v>
      </c>
      <c r="DN49" s="170" t="s">
        <v>236</v>
      </c>
      <c r="DO49" s="170" t="s">
        <v>127</v>
      </c>
      <c r="DP49" s="170" t="s">
        <v>127</v>
      </c>
      <c r="DQ49" s="170" t="s">
        <v>238</v>
      </c>
      <c r="DR49" s="170" t="s">
        <v>248</v>
      </c>
      <c r="DS49" s="170" t="s">
        <v>251</v>
      </c>
      <c r="DT49" s="170" t="s">
        <v>245</v>
      </c>
      <c r="DU49" s="170" t="s">
        <v>251</v>
      </c>
      <c r="DV49" s="170" t="s">
        <v>127</v>
      </c>
      <c r="DW49" s="170" t="s">
        <v>127</v>
      </c>
      <c r="DX49" s="170" t="s">
        <v>246</v>
      </c>
      <c r="DY49" s="170" t="s">
        <v>245</v>
      </c>
      <c r="DZ49" s="170" t="s">
        <v>245</v>
      </c>
      <c r="EA49" s="170" t="s">
        <v>127</v>
      </c>
      <c r="EB49" s="170" t="s">
        <v>248</v>
      </c>
      <c r="EC49" s="170" t="s">
        <v>248</v>
      </c>
      <c r="ED49" s="170" t="s">
        <v>127</v>
      </c>
      <c r="EE49" s="543"/>
      <c r="EF49" s="544"/>
      <c r="EG49" s="544"/>
      <c r="EH49" s="544"/>
      <c r="EI49" s="544"/>
      <c r="EJ49" s="544"/>
      <c r="EK49" s="545"/>
      <c r="EL49" s="543"/>
      <c r="EM49" s="544"/>
      <c r="EN49" s="544"/>
      <c r="EO49" s="544"/>
      <c r="EP49" s="544"/>
      <c r="EQ49" s="544"/>
      <c r="ER49" s="545"/>
      <c r="ES49" s="543"/>
      <c r="ET49" s="544"/>
      <c r="EU49" s="544"/>
      <c r="EV49" s="544"/>
      <c r="EW49" s="544"/>
      <c r="EX49" s="544"/>
      <c r="EY49" s="545"/>
      <c r="EZ49" s="543"/>
      <c r="FA49" s="544"/>
      <c r="FB49" s="544"/>
      <c r="FC49" s="544"/>
      <c r="FD49" s="544"/>
      <c r="FE49" s="544"/>
      <c r="FF49" s="545"/>
      <c r="FG49" s="543"/>
      <c r="FH49" s="544"/>
      <c r="FI49" s="544"/>
      <c r="FJ49" s="544"/>
      <c r="FK49" s="544"/>
      <c r="FL49" s="544"/>
      <c r="FM49" s="545"/>
      <c r="FN49" s="550"/>
      <c r="FO49" s="551"/>
      <c r="FP49" s="551"/>
      <c r="FQ49" s="551"/>
      <c r="FR49" s="551"/>
      <c r="FS49" s="551"/>
      <c r="FT49" s="552"/>
      <c r="FU49" s="550"/>
      <c r="FV49" s="551"/>
      <c r="FW49" s="551"/>
      <c r="FX49" s="551"/>
      <c r="FY49" s="551"/>
      <c r="FZ49" s="551"/>
      <c r="GA49" s="552"/>
      <c r="GB49" s="550"/>
      <c r="GC49" s="551"/>
      <c r="GD49" s="551"/>
      <c r="GE49" s="551"/>
      <c r="GF49" s="551"/>
      <c r="GG49" s="551"/>
      <c r="GH49" s="552"/>
      <c r="GI49" s="550"/>
      <c r="GJ49" s="551"/>
      <c r="GK49" s="551"/>
      <c r="GL49" s="551"/>
      <c r="GM49" s="551"/>
      <c r="GN49" s="551"/>
      <c r="GO49" s="552"/>
      <c r="GP49" s="550"/>
      <c r="GQ49" s="551"/>
      <c r="GR49" s="551"/>
      <c r="GS49" s="551"/>
      <c r="GT49" s="551"/>
      <c r="GU49" s="551"/>
      <c r="GV49" s="552"/>
      <c r="GW49" s="550"/>
      <c r="GX49" s="551"/>
      <c r="GY49" s="551"/>
      <c r="GZ49" s="551"/>
      <c r="HA49" s="551"/>
      <c r="HB49" s="551"/>
      <c r="HC49" s="552"/>
      <c r="HD49" s="550"/>
      <c r="HE49" s="551"/>
      <c r="HF49" s="551"/>
      <c r="HG49" s="551"/>
      <c r="HH49" s="551"/>
      <c r="HI49" s="551"/>
      <c r="HJ49" s="552"/>
      <c r="HK49" s="142"/>
      <c r="HL49" s="142"/>
      <c r="HM49" s="142"/>
      <c r="HN49" s="142"/>
      <c r="HO49" s="142"/>
      <c r="HP49" s="142"/>
      <c r="HQ49" s="142"/>
      <c r="HR49" s="167"/>
      <c r="HS49" s="167"/>
      <c r="HT49" s="167"/>
      <c r="HU49" s="167"/>
      <c r="HV49" s="167"/>
      <c r="HW49" s="167"/>
      <c r="HX49" s="167"/>
      <c r="HY49" s="167"/>
      <c r="HZ49" s="167"/>
      <c r="IA49" s="167"/>
      <c r="IB49" s="167"/>
      <c r="IC49" s="167"/>
      <c r="ID49" s="167"/>
      <c r="IE49" s="167"/>
      <c r="IF49" s="167"/>
      <c r="IG49" s="167"/>
      <c r="IH49" s="167"/>
      <c r="II49" s="167"/>
      <c r="IJ49" s="167"/>
      <c r="IK49" s="167"/>
      <c r="IL49" s="167"/>
      <c r="IM49" s="167"/>
      <c r="IN49" s="167"/>
      <c r="IO49" s="167"/>
      <c r="IP49" s="167"/>
      <c r="IQ49" s="167"/>
      <c r="IR49" s="167"/>
      <c r="IS49" s="167"/>
      <c r="IT49" s="167"/>
      <c r="IU49" s="167"/>
      <c r="IV49" s="167"/>
      <c r="IW49" s="167"/>
      <c r="IX49" s="167"/>
      <c r="IY49" s="167"/>
      <c r="IZ49" s="167"/>
      <c r="JA49" s="167"/>
      <c r="JB49" s="167"/>
      <c r="JC49" s="167"/>
      <c r="JD49" s="167"/>
      <c r="JE49" s="167"/>
      <c r="JF49" s="167"/>
      <c r="JG49" s="167"/>
      <c r="JH49" s="167"/>
      <c r="JI49" s="167"/>
      <c r="JJ49" s="167"/>
      <c r="JK49" s="167"/>
      <c r="JL49" s="167"/>
      <c r="JM49" s="167"/>
      <c r="JN49" s="167"/>
      <c r="JO49" s="167"/>
      <c r="JP49" s="167"/>
      <c r="JQ49" s="167"/>
      <c r="JR49" s="167"/>
      <c r="JS49" s="167"/>
      <c r="JT49" s="167"/>
      <c r="JU49" s="167"/>
    </row>
    <row r="50" spans="13:281" ht="15.75" hidden="1" customHeight="1">
      <c r="M50" s="495"/>
    </row>
    <row r="51" spans="13:281" ht="15.75" hidden="1" customHeight="1">
      <c r="M51" s="495"/>
    </row>
    <row r="52" spans="13:281" ht="15.75" hidden="1" customHeight="1">
      <c r="M52" s="495"/>
    </row>
    <row r="53" spans="13:281" ht="15.75" hidden="1" customHeight="1">
      <c r="M53" s="495"/>
    </row>
    <row r="54" spans="13:281" ht="15.75" hidden="1" customHeight="1">
      <c r="M54" s="495"/>
    </row>
    <row r="55" spans="13:281" ht="15.75" hidden="1" customHeight="1">
      <c r="M55" s="495"/>
    </row>
    <row r="56" spans="13:281" ht="15.75" hidden="1" customHeight="1">
      <c r="M56" s="495"/>
    </row>
    <row r="57" spans="13:281" ht="15.75" hidden="1" customHeight="1">
      <c r="M57" s="495"/>
    </row>
    <row r="58" spans="13:281" ht="15.75" hidden="1" customHeight="1">
      <c r="M58" s="495"/>
    </row>
    <row r="59" spans="13:281" ht="15.75" hidden="1" customHeight="1">
      <c r="M59" s="495"/>
    </row>
    <row r="60" spans="13:281" ht="15.75" hidden="1" customHeight="1">
      <c r="M60" s="495"/>
    </row>
    <row r="61" spans="13:281" ht="15.75" hidden="1" customHeight="1">
      <c r="M61" s="495"/>
    </row>
    <row r="62" spans="13:281" ht="15.75" hidden="1" customHeight="1">
      <c r="M62" s="495"/>
    </row>
    <row r="63" spans="13:281" ht="15.75" hidden="1" customHeight="1">
      <c r="M63" s="495"/>
    </row>
    <row r="64" spans="13:281" ht="15.75" hidden="1" customHeight="1">
      <c r="M64" s="495"/>
    </row>
    <row r="65" spans="13:13" ht="15.75" hidden="1" customHeight="1">
      <c r="M65" s="495"/>
    </row>
    <row r="66" spans="13:13" ht="15.75" hidden="1" customHeight="1">
      <c r="M66" s="495"/>
    </row>
    <row r="67" spans="13:13" ht="15.75" hidden="1" customHeight="1">
      <c r="M67" s="495"/>
    </row>
    <row r="68" spans="13:13" ht="15.75" hidden="1" customHeight="1">
      <c r="M68" s="495"/>
    </row>
    <row r="69" spans="13:13" ht="15.75" hidden="1" customHeight="1">
      <c r="M69" s="495"/>
    </row>
    <row r="70" spans="13:13" ht="15.75" hidden="1" customHeight="1">
      <c r="M70" s="495"/>
    </row>
    <row r="71" spans="13:13" ht="15.75" hidden="1" customHeight="1">
      <c r="M71" s="495"/>
    </row>
    <row r="72" spans="13:13" ht="15.75" hidden="1" customHeight="1">
      <c r="M72" s="495"/>
    </row>
    <row r="73" spans="13:13" ht="15.75" hidden="1" customHeight="1">
      <c r="M73" s="495"/>
    </row>
    <row r="74" spans="13:13" ht="15.75" hidden="1" customHeight="1">
      <c r="M74" s="495"/>
    </row>
    <row r="75" spans="13:13" ht="15.75" hidden="1" customHeight="1">
      <c r="M75" s="495"/>
    </row>
    <row r="76" spans="13:13" ht="15.75" hidden="1" customHeight="1">
      <c r="M76" s="495"/>
    </row>
    <row r="77" spans="13:13" ht="15.75" hidden="1" customHeight="1">
      <c r="M77" s="495"/>
    </row>
    <row r="78" spans="13:13" ht="15.75" hidden="1" customHeight="1">
      <c r="M78" s="495"/>
    </row>
    <row r="79" spans="13:13" ht="15.75" hidden="1" customHeight="1">
      <c r="M79" s="495"/>
    </row>
    <row r="80" spans="13:13" ht="15.75" hidden="1" customHeight="1">
      <c r="M80" s="495"/>
    </row>
    <row r="81" spans="13:351" ht="15.75" hidden="1" customHeight="1">
      <c r="M81" s="495"/>
    </row>
    <row r="82" spans="13:351" ht="15.75" hidden="1" customHeight="1">
      <c r="M82" s="495"/>
    </row>
    <row r="83" spans="13:351" ht="15.75" hidden="1" customHeight="1">
      <c r="M83" s="495"/>
    </row>
    <row r="84" spans="13:351" ht="15.75" hidden="1" customHeight="1">
      <c r="M84" s="495"/>
    </row>
    <row r="85" spans="13:351" ht="15.75" hidden="1" customHeight="1">
      <c r="M85" s="495"/>
    </row>
    <row r="86" spans="13:351" ht="15.75" hidden="1" customHeight="1">
      <c r="M86" s="495"/>
    </row>
    <row r="88" spans="13:351" ht="15.5" customHeight="1" thickBot="1"/>
    <row r="89" spans="13:351" ht="15.75" customHeight="1" thickBot="1">
      <c r="LY89" s="526"/>
      <c r="MG89" s="128" t="s">
        <v>128</v>
      </c>
      <c r="MH89" s="128" t="s">
        <v>128</v>
      </c>
      <c r="MI89" s="212" t="s">
        <v>45</v>
      </c>
      <c r="MJ89" s="129" t="s">
        <v>2</v>
      </c>
      <c r="MK89" s="129" t="s">
        <v>2</v>
      </c>
      <c r="ML89" s="131" t="s">
        <v>67</v>
      </c>
      <c r="MM89" s="128" t="s">
        <v>128</v>
      </c>
    </row>
    <row r="91" spans="13:351" ht="15.75" customHeight="1">
      <c r="MG91" s="129" t="s">
        <v>2</v>
      </c>
      <c r="MH91" s="98" t="s">
        <v>126</v>
      </c>
      <c r="MI91" s="98" t="s">
        <v>126</v>
      </c>
      <c r="MJ91" s="98" t="s">
        <v>126</v>
      </c>
      <c r="MK91" s="98" t="s">
        <v>126</v>
      </c>
      <c r="ML91" s="98" t="s">
        <v>126</v>
      </c>
      <c r="MM91" s="129" t="s">
        <v>2</v>
      </c>
    </row>
    <row r="92" spans="13:351" ht="15.75" customHeight="1">
      <c r="MG92" s="128" t="s">
        <v>128</v>
      </c>
      <c r="MH92" s="129" t="s">
        <v>2</v>
      </c>
      <c r="MI92" s="129" t="s">
        <v>2</v>
      </c>
      <c r="MJ92" s="212" t="s">
        <v>45</v>
      </c>
      <c r="MK92" s="128" t="s">
        <v>128</v>
      </c>
      <c r="ML92" s="128" t="s">
        <v>128</v>
      </c>
      <c r="MM92" s="128" t="s">
        <v>128</v>
      </c>
    </row>
    <row r="95" spans="13:351" ht="15.75" customHeight="1">
      <c r="MG95" s="141" t="s">
        <v>152</v>
      </c>
      <c r="MH95" s="129" t="s">
        <v>2</v>
      </c>
      <c r="MI95" s="129" t="s">
        <v>2</v>
      </c>
      <c r="MJ95" s="128" t="s">
        <v>128</v>
      </c>
      <c r="MK95" s="128" t="s">
        <v>128</v>
      </c>
      <c r="ML95" s="98" t="s">
        <v>126</v>
      </c>
      <c r="MM95" s="128" t="s">
        <v>128</v>
      </c>
    </row>
    <row r="96" spans="13:351" ht="15.75" customHeight="1">
      <c r="MG96" s="129" t="s">
        <v>2</v>
      </c>
      <c r="MH96" s="209" t="s">
        <v>146</v>
      </c>
      <c r="MI96" s="209" t="s">
        <v>146</v>
      </c>
      <c r="MJ96" s="209" t="s">
        <v>146</v>
      </c>
      <c r="MK96" s="209" t="s">
        <v>146</v>
      </c>
      <c r="ML96" s="209" t="s">
        <v>146</v>
      </c>
      <c r="MM96" s="129" t="s">
        <v>2</v>
      </c>
    </row>
    <row r="98" spans="345:351" ht="15.75" customHeight="1">
      <c r="MG98" s="98" t="s">
        <v>126</v>
      </c>
      <c r="MH98" s="128" t="s">
        <v>128</v>
      </c>
      <c r="MI98" s="128" t="s">
        <v>128</v>
      </c>
      <c r="MJ98" s="129" t="s">
        <v>2</v>
      </c>
      <c r="MK98" s="129" t="s">
        <v>2</v>
      </c>
      <c r="ML98" s="212" t="s">
        <v>45</v>
      </c>
      <c r="MM98" s="88" t="s">
        <v>149</v>
      </c>
    </row>
  </sheetData>
  <mergeCells count="109">
    <mergeCell ref="LS1:LY1"/>
    <mergeCell ref="LZ1:MF1"/>
    <mergeCell ref="MG1:MM1"/>
    <mergeCell ref="MN1:MT1"/>
    <mergeCell ref="MU1:NA1"/>
    <mergeCell ref="NB1:NH1"/>
    <mergeCell ref="KX1:LD1"/>
    <mergeCell ref="LE1:LK1"/>
    <mergeCell ref="LL1:LR1"/>
    <mergeCell ref="IM1:IS1"/>
    <mergeCell ref="JV1:KB1"/>
    <mergeCell ref="DQ1:DW1"/>
    <mergeCell ref="DX1:ED1"/>
    <mergeCell ref="EE1:EK1"/>
    <mergeCell ref="EL1:ER1"/>
    <mergeCell ref="ES1:EY1"/>
    <mergeCell ref="GI1:GO1"/>
    <mergeCell ref="GP1:GV1"/>
    <mergeCell ref="IT1:IZ1"/>
    <mergeCell ref="JA1:JG1"/>
    <mergeCell ref="KC1:KI1"/>
    <mergeCell ref="KJ1:KP1"/>
    <mergeCell ref="KQ1:KW1"/>
    <mergeCell ref="AR1:AX1"/>
    <mergeCell ref="AY1:BE1"/>
    <mergeCell ref="FN1:FT1"/>
    <mergeCell ref="FU1:GA1"/>
    <mergeCell ref="GB1:GH1"/>
    <mergeCell ref="BF1:BL1"/>
    <mergeCell ref="BM1:BS1"/>
    <mergeCell ref="BT1:BZ1"/>
    <mergeCell ref="CA1:CG1"/>
    <mergeCell ref="CH1:CN1"/>
    <mergeCell ref="CO1:CU1"/>
    <mergeCell ref="CV1:DB1"/>
    <mergeCell ref="EZ1:FF1"/>
    <mergeCell ref="FG1:FM1"/>
    <mergeCell ref="DC1:DI1"/>
    <mergeCell ref="DJ1:DP1"/>
    <mergeCell ref="JH1:JN1"/>
    <mergeCell ref="GW1:HC1"/>
    <mergeCell ref="HD1:HJ1"/>
    <mergeCell ref="HK1:HQ1"/>
    <mergeCell ref="HR1:HX1"/>
    <mergeCell ref="O1:O2"/>
    <mergeCell ref="P1:V1"/>
    <mergeCell ref="W1:AC1"/>
    <mergeCell ref="AD1:AJ1"/>
    <mergeCell ref="AK1:AQ1"/>
    <mergeCell ref="P16:V19"/>
    <mergeCell ref="W16:AC19"/>
    <mergeCell ref="AD16:AJ19"/>
    <mergeCell ref="AK16:AQ19"/>
    <mergeCell ref="AR18:AX19"/>
    <mergeCell ref="BM19:BS19"/>
    <mergeCell ref="BT19:BZ19"/>
    <mergeCell ref="CO19:CU19"/>
    <mergeCell ref="AD30:AJ33"/>
    <mergeCell ref="AK30:AQ33"/>
    <mergeCell ref="AR32:AX33"/>
    <mergeCell ref="CA19:CG19"/>
    <mergeCell ref="BF32:BL33"/>
    <mergeCell ref="BM33:BS33"/>
    <mergeCell ref="BT33:BZ33"/>
    <mergeCell ref="CA33:CG33"/>
    <mergeCell ref="GW21:HC33"/>
    <mergeCell ref="HD21:HJ33"/>
    <mergeCell ref="GP21:GV33"/>
    <mergeCell ref="AY32:BE33"/>
    <mergeCell ref="GL21:GO33"/>
    <mergeCell ref="HK21:HQ33"/>
    <mergeCell ref="JO1:JU1"/>
    <mergeCell ref="GI35:GO49"/>
    <mergeCell ref="GP35:GV49"/>
    <mergeCell ref="GW35:HC49"/>
    <mergeCell ref="HD35:HJ49"/>
    <mergeCell ref="DC19:DI19"/>
    <mergeCell ref="DJ19:DP19"/>
    <mergeCell ref="DQ19:DW19"/>
    <mergeCell ref="DX19:ED19"/>
    <mergeCell ref="CH19:CN19"/>
    <mergeCell ref="CV19:DB19"/>
    <mergeCell ref="EE35:EK49"/>
    <mergeCell ref="EL35:ER49"/>
    <mergeCell ref="ES35:EY49"/>
    <mergeCell ref="AY18:BE19"/>
    <mergeCell ref="BF18:BL19"/>
    <mergeCell ref="HY1:IE1"/>
    <mergeCell ref="IF1:IL1"/>
    <mergeCell ref="P35:V49"/>
    <mergeCell ref="FN35:FT49"/>
    <mergeCell ref="FU35:GA49"/>
    <mergeCell ref="GB35:GH49"/>
    <mergeCell ref="CH33:CN33"/>
    <mergeCell ref="CO33:CU33"/>
    <mergeCell ref="CV33:DB33"/>
    <mergeCell ref="DC33:DI33"/>
    <mergeCell ref="DJ33:DP33"/>
    <mergeCell ref="AY35:BE49"/>
    <mergeCell ref="W35:AC49"/>
    <mergeCell ref="AD35:AJ49"/>
    <mergeCell ref="AK35:AQ49"/>
    <mergeCell ref="AR35:AX49"/>
    <mergeCell ref="W30:AC33"/>
    <mergeCell ref="P21:V33"/>
    <mergeCell ref="DQ33:DW33"/>
    <mergeCell ref="DX33:ED33"/>
    <mergeCell ref="EZ35:FF49"/>
    <mergeCell ref="FG35:FM49"/>
  </mergeCells>
  <phoneticPr fontId="79" type="noConversion"/>
  <conditionalFormatting sqref="HO7 HG7:HG8 ID7:ID8 GH8 GK8:HE8 HH8:HJ8 HR8:HS8 HV8:IC8 IE8 IG8:IV8 HO9 JP9 JR9:JU9 GH10:GJ10 GL10:GN10 GP10:GU10 GW10:HF10 HH10:HJ10 HS10:HT10 HV10:HX10 ID10:IL10 IN10:IS10 GV10:GV11 IT12:IV12 GK13 GO15 HI15 HO15 GJ17 HB17:HC17 HD18 HJ18 HO19 ID21:ID22 GH22:GK22 HR22:HW22 HY22:IC22 IE22 IG22:IJ22 IL22:IZ22 JA22:JD25 JF22:JI25 JL22:JU25 JJ23:JK25 GH24:GI24 HS24:HW24 ID24:IL24 IN24:IS24 JE24:JE25 IT26:IZ26 JS27:JU27 JP28:JR28 JJ30:JK30 JQ30 JS31 JH32 JU33">
    <cfRule type="containsText" dxfId="2079" priority="3036" operator="containsText" text="Congé">
      <formula>NOT(ISERROR(SEARCH(("Congé"),(HG7))))</formula>
    </cfRule>
    <cfRule type="containsText" dxfId="2078" priority="3029" operator="containsText" text="14:00 - 23:00">
      <formula>NOT(ISERROR(SEARCH(("14:00 - 23:00"),(HG7))))</formula>
    </cfRule>
    <cfRule type="containsText" dxfId="2077" priority="3035" operator="containsText" text="12:00 - 21:00">
      <formula>NOT(ISERROR(SEARCH(("12:00 - 21:00"),(HG7))))</formula>
    </cfRule>
    <cfRule type="containsText" dxfId="2076" priority="3031" operator="containsText" text="08:00 - 17:00">
      <formula>NOT(ISERROR(SEARCH(("08:00 - 17:00"),(HG7))))</formula>
    </cfRule>
    <cfRule type="containsText" dxfId="2075" priority="3030" operator="containsText" text="07:00 - 16:00">
      <formula>NOT(ISERROR(SEARCH(("07:00 - 16:00"),(HG7))))</formula>
    </cfRule>
    <cfRule type="containsText" dxfId="2074" priority="3026" operator="containsText" text="OFF">
      <formula>NOT(ISERROR(SEARCH(("OFF"),(HG7))))</formula>
    </cfRule>
    <cfRule type="containsText" dxfId="2073" priority="3027" operator="containsText" text="06:00 - 15:00">
      <formula>NOT(ISERROR(SEARCH(("06:00 - 15:00"),(HG7))))</formula>
    </cfRule>
    <cfRule type="containsText" dxfId="2072" priority="3028" operator="containsText" text="04:00 - 13:00">
      <formula>NOT(ISERROR(SEARCH(("04:00 - 13:00"),(HG7))))</formula>
    </cfRule>
    <cfRule type="containsText" dxfId="2071" priority="3034" operator="containsText" text="12H-21H /SCO">
      <formula>NOT(ISERROR(SEARCH(("12H-21H /SCO"),(HG7))))</formula>
    </cfRule>
    <cfRule type="containsText" dxfId="2070" priority="3033" operator="containsText" text="10:00 - 19:00">
      <formula>NOT(ISERROR(SEARCH(("10:00 - 19:00"),(HG7))))</formula>
    </cfRule>
    <cfRule type="containsText" dxfId="2069" priority="3032" operator="containsText" text="09:00 - 18:00">
      <formula>NOT(ISERROR(SEARCH(("09:00 - 18:00"),(HG7))))</formula>
    </cfRule>
  </conditionalFormatting>
  <conditionalFormatting sqref="IW8:JB8 JD8 JF8:JI8 JL8:JN8 JP8 JR8:JT8 JA10:JC10 JF10:JU10 IW12:IZ12 JS13:JU13 JP14:JR14 JJ16:JK16 JQ16 JS17 JU19">
    <cfRule type="containsText" dxfId="2068" priority="3049" operator="containsText" text="06:00 - 15:00">
      <formula>NOT(ISERROR(SEARCH(("06:00 - 15:00"),(#REF!))))</formula>
    </cfRule>
    <cfRule type="containsText" dxfId="2067" priority="3050" operator="containsText" text="04:00 - 13:00">
      <formula>NOT(ISERROR(SEARCH(("04:00 - 13:00"),(#REF!))))</formula>
    </cfRule>
    <cfRule type="containsText" dxfId="2066" priority="3051" operator="containsText" text="14:00 - 23:00">
      <formula>NOT(ISERROR(SEARCH(("14:00 - 23:00"),(#REF!))))</formula>
    </cfRule>
    <cfRule type="containsText" dxfId="2065" priority="3052" operator="containsText" text="07:00 - 16:00">
      <formula>NOT(ISERROR(SEARCH(("07:00 - 16:00"),(#REF!))))</formula>
    </cfRule>
    <cfRule type="containsText" dxfId="2064" priority="3053" operator="containsText" text="08:00 - 17:00">
      <formula>NOT(ISERROR(SEARCH(("08:00 - 17:00"),(#REF!))))</formula>
    </cfRule>
    <cfRule type="containsText" dxfId="2063" priority="3054" operator="containsText" text="09:00 - 18:00">
      <formula>NOT(ISERROR(SEARCH(("09:00 - 18:00"),(#REF!))))</formula>
    </cfRule>
    <cfRule type="containsText" dxfId="2062" priority="3055" operator="containsText" text="10:00 - 19:00">
      <formula>NOT(ISERROR(SEARCH(("10:00 - 19:00"),(#REF!))))</formula>
    </cfRule>
    <cfRule type="containsText" dxfId="2061" priority="3056" operator="containsText" text="12H-21H /SCO">
      <formula>NOT(ISERROR(SEARCH(("12H-21H /SCO"),(#REF!))))</formula>
    </cfRule>
    <cfRule type="containsText" dxfId="2060" priority="3057" operator="containsText" text="12:00 - 21:00">
      <formula>NOT(ISERROR(SEARCH(("12:00 - 21:00"),(#REF!))))</formula>
    </cfRule>
    <cfRule type="containsText" dxfId="2059" priority="3058" operator="containsText" text="Congé">
      <formula>NOT(ISERROR(SEARCH(("Congé"),(#REF!))))</formula>
    </cfRule>
    <cfRule type="containsText" dxfId="2058" priority="3048" operator="containsText" text="OFF">
      <formula>NOT(ISERROR(SEARCH(("OFF"),(#REF!))))</formula>
    </cfRule>
  </conditionalFormatting>
  <conditionalFormatting sqref="JV19">
    <cfRule type="containsText" dxfId="2057" priority="2921" operator="containsText" text="08:00 - 17:00">
      <formula>NOT(ISERROR(SEARCH(("08:00 - 17:00"),(KU71))))</formula>
    </cfRule>
    <cfRule type="containsText" dxfId="2056" priority="2923" operator="containsText" text="10:00 - 19:00">
      <formula>NOT(ISERROR(SEARCH(("10:00 - 19:00"),(KU71))))</formula>
    </cfRule>
    <cfRule type="containsText" dxfId="2055" priority="2924" operator="containsText" text="12H-21H /SCO">
      <formula>NOT(ISERROR(SEARCH(("12H-21H /SCO"),(KU71))))</formula>
    </cfRule>
    <cfRule type="containsText" dxfId="2054" priority="2925" operator="containsText" text="12:00 - 21:00">
      <formula>NOT(ISERROR(SEARCH(("12:00 - 21:00"),(KU71))))</formula>
    </cfRule>
    <cfRule type="containsText" dxfId="2053" priority="2926" operator="containsText" text="Congé">
      <formula>NOT(ISERROR(SEARCH(("Congé"),(KU71))))</formula>
    </cfRule>
    <cfRule type="containsText" dxfId="2052" priority="2916" operator="containsText" text="OFF">
      <formula>NOT(ISERROR(SEARCH(("OFF"),(KU71))))</formula>
    </cfRule>
    <cfRule type="containsText" dxfId="2051" priority="2922" operator="containsText" text="09:00 - 18:00">
      <formula>NOT(ISERROR(SEARCH(("09:00 - 18:00"),(KU71))))</formula>
    </cfRule>
    <cfRule type="containsText" dxfId="2050" priority="2919" operator="containsText" text="14:00 - 23:00">
      <formula>NOT(ISERROR(SEARCH(("14:00 - 23:00"),(KU71))))</formula>
    </cfRule>
    <cfRule type="containsText" dxfId="2049" priority="2918" operator="containsText" text="04:00 - 13:00">
      <formula>NOT(ISERROR(SEARCH(("04:00 - 13:00"),(KU71))))</formula>
    </cfRule>
    <cfRule type="containsText" dxfId="2048" priority="2917" operator="containsText" text="06:00 - 15:00">
      <formula>NOT(ISERROR(SEARCH(("06:00 - 15:00"),(KU71))))</formula>
    </cfRule>
    <cfRule type="containsText" dxfId="2047" priority="2920" operator="containsText" text="07:00 - 16:00">
      <formula>NOT(ISERROR(SEARCH(("07:00 - 16:00"),(KU71))))</formula>
    </cfRule>
  </conditionalFormatting>
  <conditionalFormatting sqref="JV15:JW15 JY15:JZ15">
    <cfRule type="containsText" dxfId="2046" priority="2976" operator="containsText" text="08:00 - 17:00">
      <formula>NOT(ISERROR(SEARCH(("08:00 - 17:00"),(KU1048555))))</formula>
    </cfRule>
    <cfRule type="containsText" dxfId="2045" priority="2980" operator="containsText" text="12:00 - 21:00">
      <formula>NOT(ISERROR(SEARCH(("12:00 - 21:00"),(KU1048555))))</formula>
    </cfRule>
    <cfRule type="containsText" dxfId="2044" priority="2981" operator="containsText" text="Congé">
      <formula>NOT(ISERROR(SEARCH(("Congé"),(KU1048555))))</formula>
    </cfRule>
    <cfRule type="containsText" dxfId="2043" priority="2979" operator="containsText" text="12H-21H /SCO">
      <formula>NOT(ISERROR(SEARCH(("12H-21H /SCO"),(KU1048555))))</formula>
    </cfRule>
    <cfRule type="containsText" dxfId="2042" priority="2978" operator="containsText" text="10:00 - 19:00">
      <formula>NOT(ISERROR(SEARCH(("10:00 - 19:00"),(KU1048555))))</formula>
    </cfRule>
    <cfRule type="containsText" dxfId="2041" priority="2977" operator="containsText" text="09:00 - 18:00">
      <formula>NOT(ISERROR(SEARCH(("09:00 - 18:00"),(KU1048555))))</formula>
    </cfRule>
    <cfRule type="containsText" dxfId="2040" priority="2971" operator="containsText" text="OFF">
      <formula>NOT(ISERROR(SEARCH(("OFF"),(KU1048555))))</formula>
    </cfRule>
    <cfRule type="containsText" dxfId="2039" priority="2972" operator="containsText" text="06:00 - 15:00">
      <formula>NOT(ISERROR(SEARCH(("06:00 - 15:00"),(KU1048555))))</formula>
    </cfRule>
    <cfRule type="containsText" dxfId="2038" priority="2973" operator="containsText" text="04:00 - 13:00">
      <formula>NOT(ISERROR(SEARCH(("04:00 - 13:00"),(KU1048555))))</formula>
    </cfRule>
    <cfRule type="containsText" dxfId="2037" priority="2974" operator="containsText" text="14:00 - 23:00">
      <formula>NOT(ISERROR(SEARCH(("14:00 - 23:00"),(KU1048555))))</formula>
    </cfRule>
    <cfRule type="containsText" dxfId="2036" priority="2975" operator="containsText" text="07:00 - 16:00">
      <formula>NOT(ISERROR(SEARCH(("07:00 - 16:00"),(KU1048555))))</formula>
    </cfRule>
  </conditionalFormatting>
  <conditionalFormatting sqref="JV16:JW16">
    <cfRule type="containsText" dxfId="2035" priority="2854" operator="containsText" text="07:00 - 16:00">
      <formula>NOT(ISERROR(SEARCH(("07:00 - 16:00"),(KU71))))</formula>
    </cfRule>
    <cfRule type="containsText" dxfId="2034" priority="2850" operator="containsText" text="OFF">
      <formula>NOT(ISERROR(SEARCH(("OFF"),(KU71))))</formula>
    </cfRule>
    <cfRule type="containsText" dxfId="2033" priority="2851" operator="containsText" text="06:00 - 15:00">
      <formula>NOT(ISERROR(SEARCH(("06:00 - 15:00"),(KU71))))</formula>
    </cfRule>
    <cfRule type="containsText" dxfId="2032" priority="2852" operator="containsText" text="04:00 - 13:00">
      <formula>NOT(ISERROR(SEARCH(("04:00 - 13:00"),(KU71))))</formula>
    </cfRule>
    <cfRule type="containsText" dxfId="2031" priority="2853" operator="containsText" text="14:00 - 23:00">
      <formula>NOT(ISERROR(SEARCH(("14:00 - 23:00"),(KU71))))</formula>
    </cfRule>
    <cfRule type="containsText" dxfId="2030" priority="2855" operator="containsText" text="08:00 - 17:00">
      <formula>NOT(ISERROR(SEARCH(("08:00 - 17:00"),(KU71))))</formula>
    </cfRule>
    <cfRule type="containsText" dxfId="2029" priority="2856" operator="containsText" text="09:00 - 18:00">
      <formula>NOT(ISERROR(SEARCH(("09:00 - 18:00"),(KU71))))</formula>
    </cfRule>
    <cfRule type="containsText" dxfId="2028" priority="2857" operator="containsText" text="10:00 - 19:00">
      <formula>NOT(ISERROR(SEARCH(("10:00 - 19:00"),(KU71))))</formula>
    </cfRule>
    <cfRule type="containsText" dxfId="2027" priority="2858" operator="containsText" text="12H-21H /SCO">
      <formula>NOT(ISERROR(SEARCH(("12H-21H /SCO"),(KU71))))</formula>
    </cfRule>
    <cfRule type="containsText" dxfId="2026" priority="2859" operator="containsText" text="12:00 - 21:00">
      <formula>NOT(ISERROR(SEARCH(("12:00 - 21:00"),(KU71))))</formula>
    </cfRule>
    <cfRule type="containsText" dxfId="2025" priority="2860" operator="containsText" text="Congé">
      <formula>NOT(ISERROR(SEARCH(("Congé"),(KU71))))</formula>
    </cfRule>
  </conditionalFormatting>
  <conditionalFormatting sqref="JV18:JX18">
    <cfRule type="containsText" dxfId="2024" priority="2029" operator="containsText" text="07:00 - 16:00">
      <formula>NOT(ISERROR(SEARCH(("07:00 - 16:00"),(KU86))))</formula>
    </cfRule>
    <cfRule type="containsText" dxfId="2023" priority="2028" operator="containsText" text="14:00 - 23:00">
      <formula>NOT(ISERROR(SEARCH(("14:00 - 23:00"),(KU86))))</formula>
    </cfRule>
    <cfRule type="containsText" dxfId="2022" priority="2027" operator="containsText" text="04:00 - 13:00">
      <formula>NOT(ISERROR(SEARCH(("04:00 - 13:00"),(KU86))))</formula>
    </cfRule>
    <cfRule type="containsText" dxfId="2021" priority="2026" operator="containsText" text="06:00 - 15:00">
      <formula>NOT(ISERROR(SEARCH(("06:00 - 15:00"),(KU86))))</formula>
    </cfRule>
    <cfRule type="containsText" dxfId="2020" priority="2025" operator="containsText" text="OFF">
      <formula>NOT(ISERROR(SEARCH(("OFF"),(KU86))))</formula>
    </cfRule>
    <cfRule type="containsText" dxfId="2019" priority="2031" operator="containsText" text="09:00 - 18:00">
      <formula>NOT(ISERROR(SEARCH(("09:00 - 18:00"),(KU86))))</formula>
    </cfRule>
    <cfRule type="containsText" dxfId="2018" priority="2035" operator="containsText" text="Congé">
      <formula>NOT(ISERROR(SEARCH(("Congé"),(KU86))))</formula>
    </cfRule>
    <cfRule type="containsText" dxfId="2017" priority="2034" operator="containsText" text="12:00 - 21:00">
      <formula>NOT(ISERROR(SEARCH(("12:00 - 21:00"),(KU86))))</formula>
    </cfRule>
    <cfRule type="containsText" dxfId="2016" priority="2033" operator="containsText" text="12H-21H /SCO">
      <formula>NOT(ISERROR(SEARCH(("12H-21H /SCO"),(KU86))))</formula>
    </cfRule>
    <cfRule type="containsText" dxfId="2015" priority="2032" operator="containsText" text="10:00 - 19:00">
      <formula>NOT(ISERROR(SEARCH(("10:00 - 19:00"),(KU86))))</formula>
    </cfRule>
    <cfRule type="containsText" dxfId="2014" priority="2030" operator="containsText" text="08:00 - 17:00">
      <formula>NOT(ISERROR(SEARCH(("08:00 - 17:00"),(KU86))))</formula>
    </cfRule>
  </conditionalFormatting>
  <conditionalFormatting sqref="JW7">
    <cfRule type="containsText" dxfId="2013" priority="2849" operator="containsText" text="Congé">
      <formula>NOT(ISERROR(SEARCH(("Congé"),(KV75))))</formula>
    </cfRule>
    <cfRule type="containsText" dxfId="2012" priority="2840" operator="containsText" text="06:00 - 15:00">
      <formula>NOT(ISERROR(SEARCH(("06:00 - 15:00"),(KV75))))</formula>
    </cfRule>
    <cfRule type="containsText" dxfId="2011" priority="2841" operator="containsText" text="04:00 - 13:00">
      <formula>NOT(ISERROR(SEARCH(("04:00 - 13:00"),(KV75))))</formula>
    </cfRule>
    <cfRule type="containsText" dxfId="2010" priority="2842" operator="containsText" text="14:00 - 23:00">
      <formula>NOT(ISERROR(SEARCH(("14:00 - 23:00"),(KV75))))</formula>
    </cfRule>
    <cfRule type="containsText" dxfId="2009" priority="2843" operator="containsText" text="07:00 - 16:00">
      <formula>NOT(ISERROR(SEARCH(("07:00 - 16:00"),(KV75))))</formula>
    </cfRule>
    <cfRule type="containsText" dxfId="2008" priority="2844" operator="containsText" text="08:00 - 17:00">
      <formula>NOT(ISERROR(SEARCH(("08:00 - 17:00"),(KV75))))</formula>
    </cfRule>
    <cfRule type="containsText" dxfId="2007" priority="2845" operator="containsText" text="09:00 - 18:00">
      <formula>NOT(ISERROR(SEARCH(("09:00 - 18:00"),(KV75))))</formula>
    </cfRule>
    <cfRule type="containsText" dxfId="2006" priority="2846" operator="containsText" text="10:00 - 19:00">
      <formula>NOT(ISERROR(SEARCH(("10:00 - 19:00"),(KV75))))</formula>
    </cfRule>
    <cfRule type="containsText" dxfId="2005" priority="2847" operator="containsText" text="12H-21H /SCO">
      <formula>NOT(ISERROR(SEARCH(("12H-21H /SCO"),(KV75))))</formula>
    </cfRule>
    <cfRule type="containsText" dxfId="2004" priority="2848" operator="containsText" text="12:00 - 21:00">
      <formula>NOT(ISERROR(SEARCH(("12:00 - 21:00"),(KV75))))</formula>
    </cfRule>
    <cfRule type="containsText" dxfId="2003" priority="2839" operator="containsText" text="OFF">
      <formula>NOT(ISERROR(SEARCH(("OFF"),(KV75))))</formula>
    </cfRule>
  </conditionalFormatting>
  <conditionalFormatting sqref="JW19">
    <cfRule type="containsText" dxfId="2002" priority="2927" operator="containsText" text="OFF">
      <formula>NOT(ISERROR(SEARCH(("OFF"),(KV70))))</formula>
    </cfRule>
    <cfRule type="containsText" dxfId="2001" priority="2928" operator="containsText" text="06:00 - 15:00">
      <formula>NOT(ISERROR(SEARCH(("06:00 - 15:00"),(KV70))))</formula>
    </cfRule>
    <cfRule type="containsText" dxfId="2000" priority="2929" operator="containsText" text="04:00 - 13:00">
      <formula>NOT(ISERROR(SEARCH(("04:00 - 13:00"),(KV70))))</formula>
    </cfRule>
    <cfRule type="containsText" dxfId="1999" priority="2930" operator="containsText" text="14:00 - 23:00">
      <formula>NOT(ISERROR(SEARCH(("14:00 - 23:00"),(KV70))))</formula>
    </cfRule>
    <cfRule type="containsText" dxfId="1998" priority="2936" operator="containsText" text="12:00 - 21:00">
      <formula>NOT(ISERROR(SEARCH(("12:00 - 21:00"),(KV70))))</formula>
    </cfRule>
    <cfRule type="containsText" dxfId="1997" priority="2937" operator="containsText" text="Congé">
      <formula>NOT(ISERROR(SEARCH(("Congé"),(KV70))))</formula>
    </cfRule>
    <cfRule type="containsText" dxfId="1996" priority="2932" operator="containsText" text="08:00 - 17:00">
      <formula>NOT(ISERROR(SEARCH(("08:00 - 17:00"),(KV70))))</formula>
    </cfRule>
    <cfRule type="containsText" dxfId="1995" priority="2933" operator="containsText" text="09:00 - 18:00">
      <formula>NOT(ISERROR(SEARCH(("09:00 - 18:00"),(KV70))))</formula>
    </cfRule>
    <cfRule type="containsText" dxfId="1994" priority="2934" operator="containsText" text="10:00 - 19:00">
      <formula>NOT(ISERROR(SEARCH(("10:00 - 19:00"),(KV70))))</formula>
    </cfRule>
    <cfRule type="containsText" dxfId="1993" priority="2935" operator="containsText" text="12H-21H /SCO">
      <formula>NOT(ISERROR(SEARCH(("12H-21H /SCO"),(KV70))))</formula>
    </cfRule>
    <cfRule type="containsText" dxfId="1992" priority="2931" operator="containsText" text="07:00 - 16:00">
      <formula>NOT(ISERROR(SEARCH(("07:00 - 16:00"),(KV70))))</formula>
    </cfRule>
  </conditionalFormatting>
  <conditionalFormatting sqref="JX11">
    <cfRule type="containsText" dxfId="1991" priority="2964" operator="containsText" text="07:00 - 16:00">
      <formula>NOT(ISERROR(SEARCH(("07:00 - 16:00"),(KW71))))</formula>
    </cfRule>
    <cfRule type="containsText" dxfId="1990" priority="2963" operator="containsText" text="14:00 - 23:00">
      <formula>NOT(ISERROR(SEARCH(("14:00 - 23:00"),(KW71))))</formula>
    </cfRule>
    <cfRule type="containsText" dxfId="1989" priority="2962" operator="containsText" text="04:00 - 13:00">
      <formula>NOT(ISERROR(SEARCH(("04:00 - 13:00"),(KW71))))</formula>
    </cfRule>
    <cfRule type="containsText" dxfId="1988" priority="2961" operator="containsText" text="06:00 - 15:00">
      <formula>NOT(ISERROR(SEARCH(("06:00 - 15:00"),(KW71))))</formula>
    </cfRule>
    <cfRule type="containsText" dxfId="1987" priority="2966" operator="containsText" text="09:00 - 18:00">
      <formula>NOT(ISERROR(SEARCH(("09:00 - 18:00"),(KW71))))</formula>
    </cfRule>
    <cfRule type="containsText" dxfId="1986" priority="2970" operator="containsText" text="Congé">
      <formula>NOT(ISERROR(SEARCH(("Congé"),(KW71))))</formula>
    </cfRule>
    <cfRule type="containsText" dxfId="1985" priority="2967" operator="containsText" text="10:00 - 19:00">
      <formula>NOT(ISERROR(SEARCH(("10:00 - 19:00"),(KW71))))</formula>
    </cfRule>
    <cfRule type="containsText" dxfId="1984" priority="2968" operator="containsText" text="12H-21H /SCO">
      <formula>NOT(ISERROR(SEARCH(("12H-21H /SCO"),(KW71))))</formula>
    </cfRule>
    <cfRule type="containsText" dxfId="1983" priority="2960" operator="containsText" text="OFF">
      <formula>NOT(ISERROR(SEARCH(("OFF"),(KW71))))</formula>
    </cfRule>
    <cfRule type="containsText" dxfId="1982" priority="2969" operator="containsText" text="12:00 - 21:00">
      <formula>NOT(ISERROR(SEARCH(("12:00 - 21:00"),(KW71))))</formula>
    </cfRule>
    <cfRule type="containsText" dxfId="1981" priority="2965" operator="containsText" text="08:00 - 17:00">
      <formula>NOT(ISERROR(SEARCH(("08:00 - 17:00"),(KW71))))</formula>
    </cfRule>
  </conditionalFormatting>
  <conditionalFormatting sqref="JX14 JX17">
    <cfRule type="containsText" dxfId="1980" priority="2998" operator="containsText" text="08:00 - 17:00">
      <formula>NOT(ISERROR(SEARCH(("08:00 - 17:00"),(KW1048555))))</formula>
    </cfRule>
    <cfRule type="containsText" dxfId="1979" priority="2997" operator="containsText" text="07:00 - 16:00">
      <formula>NOT(ISERROR(SEARCH(("07:00 - 16:00"),(KW1048555))))</formula>
    </cfRule>
    <cfRule type="containsText" dxfId="1978" priority="2995" operator="containsText" text="04:00 - 13:00">
      <formula>NOT(ISERROR(SEARCH(("04:00 - 13:00"),(KW1048555))))</formula>
    </cfRule>
    <cfRule type="containsText" dxfId="1977" priority="2994" operator="containsText" text="06:00 - 15:00">
      <formula>NOT(ISERROR(SEARCH(("06:00 - 15:00"),(KW1048555))))</formula>
    </cfRule>
    <cfRule type="containsText" dxfId="1976" priority="2993" operator="containsText" text="OFF">
      <formula>NOT(ISERROR(SEARCH(("OFF"),(KW1048555))))</formula>
    </cfRule>
    <cfRule type="containsText" dxfId="1975" priority="2996" operator="containsText" text="14:00 - 23:00">
      <formula>NOT(ISERROR(SEARCH(("14:00 - 23:00"),(KW1048555))))</formula>
    </cfRule>
    <cfRule type="containsText" dxfId="1974" priority="3003" operator="containsText" text="Congé">
      <formula>NOT(ISERROR(SEARCH(("Congé"),(KW1048555))))</formula>
    </cfRule>
    <cfRule type="containsText" dxfId="1973" priority="3002" operator="containsText" text="12:00 - 21:00">
      <formula>NOT(ISERROR(SEARCH(("12:00 - 21:00"),(KW1048555))))</formula>
    </cfRule>
    <cfRule type="containsText" dxfId="1972" priority="3001" operator="containsText" text="12H-21H /SCO">
      <formula>NOT(ISERROR(SEARCH(("12H-21H /SCO"),(KW1048555))))</formula>
    </cfRule>
    <cfRule type="containsText" dxfId="1971" priority="3000" operator="containsText" text="10:00 - 19:00">
      <formula>NOT(ISERROR(SEARCH(("10:00 - 19:00"),(KW1048555))))</formula>
    </cfRule>
    <cfRule type="containsText" dxfId="1970" priority="2999" operator="containsText" text="09:00 - 18:00">
      <formula>NOT(ISERROR(SEARCH(("09:00 - 18:00"),(KW1048555))))</formula>
    </cfRule>
  </conditionalFormatting>
  <conditionalFormatting sqref="JY18">
    <cfRule type="containsText" dxfId="1969" priority="2018" operator="containsText" text="07:00 - 16:00">
      <formula>NOT(ISERROR(SEARCH(("07:00 - 16:00"),(KX83))))</formula>
    </cfRule>
    <cfRule type="containsText" dxfId="1968" priority="2019" operator="containsText" text="08:00 - 17:00">
      <formula>NOT(ISERROR(SEARCH(("08:00 - 17:00"),(KX83))))</formula>
    </cfRule>
    <cfRule type="containsText" dxfId="1967" priority="2020" operator="containsText" text="09:00 - 18:00">
      <formula>NOT(ISERROR(SEARCH(("09:00 - 18:00"),(KX83))))</formula>
    </cfRule>
    <cfRule type="containsText" dxfId="1966" priority="2021" operator="containsText" text="10:00 - 19:00">
      <formula>NOT(ISERROR(SEARCH(("10:00 - 19:00"),(KX83))))</formula>
    </cfRule>
    <cfRule type="containsText" dxfId="1965" priority="2024" operator="containsText" text="Congé">
      <formula>NOT(ISERROR(SEARCH(("Congé"),(KX83))))</formula>
    </cfRule>
    <cfRule type="containsText" dxfId="1964" priority="2016" operator="containsText" text="04:00 - 13:00">
      <formula>NOT(ISERROR(SEARCH(("04:00 - 13:00"),(KX83))))</formula>
    </cfRule>
    <cfRule type="containsText" dxfId="1963" priority="2022" operator="containsText" text="12H-21H /SCO">
      <formula>NOT(ISERROR(SEARCH(("12H-21H /SCO"),(KX83))))</formula>
    </cfRule>
    <cfRule type="containsText" dxfId="1962" priority="2015" operator="containsText" text="06:00 - 15:00">
      <formula>NOT(ISERROR(SEARCH(("06:00 - 15:00"),(KX83))))</formula>
    </cfRule>
    <cfRule type="containsText" dxfId="1961" priority="2017" operator="containsText" text="14:00 - 23:00">
      <formula>NOT(ISERROR(SEARCH(("14:00 - 23:00"),(KX83))))</formula>
    </cfRule>
    <cfRule type="containsText" dxfId="1960" priority="2014" operator="containsText" text="OFF">
      <formula>NOT(ISERROR(SEARCH(("OFF"),(KX83))))</formula>
    </cfRule>
    <cfRule type="containsText" dxfId="1959" priority="2023" operator="containsText" text="12:00 - 21:00">
      <formula>NOT(ISERROR(SEARCH(("12:00 - 21:00"),(KX83))))</formula>
    </cfRule>
  </conditionalFormatting>
  <conditionalFormatting sqref="JY13:JZ13">
    <cfRule type="containsText" dxfId="1958" priority="2913" operator="containsText" text="12H-21H /SCO">
      <formula>NOT(ISERROR(SEARCH(("12H-21H /SCO"),(KX71))))</formula>
    </cfRule>
    <cfRule type="containsText" dxfId="1957" priority="2912" operator="containsText" text="10:00 - 19:00">
      <formula>NOT(ISERROR(SEARCH(("10:00 - 19:00"),(KX71))))</formula>
    </cfRule>
    <cfRule type="containsText" dxfId="1956" priority="2911" operator="containsText" text="09:00 - 18:00">
      <formula>NOT(ISERROR(SEARCH(("09:00 - 18:00"),(KX71))))</formula>
    </cfRule>
    <cfRule type="containsText" dxfId="1955" priority="2910" operator="containsText" text="08:00 - 17:00">
      <formula>NOT(ISERROR(SEARCH(("08:00 - 17:00"),(KX71))))</formula>
    </cfRule>
    <cfRule type="containsText" dxfId="1954" priority="2914" operator="containsText" text="12:00 - 21:00">
      <formula>NOT(ISERROR(SEARCH(("12:00 - 21:00"),(KX71))))</formula>
    </cfRule>
    <cfRule type="containsText" dxfId="1953" priority="2908" operator="containsText" text="14:00 - 23:00">
      <formula>NOT(ISERROR(SEARCH(("14:00 - 23:00"),(KX71))))</formula>
    </cfRule>
    <cfRule type="containsText" dxfId="1952" priority="2907" operator="containsText" text="04:00 - 13:00">
      <formula>NOT(ISERROR(SEARCH(("04:00 - 13:00"),(KX71))))</formula>
    </cfRule>
    <cfRule type="containsText" dxfId="1951" priority="2906" operator="containsText" text="06:00 - 15:00">
      <formula>NOT(ISERROR(SEARCH(("06:00 - 15:00"),(KX71))))</formula>
    </cfRule>
    <cfRule type="containsText" dxfId="1950" priority="2905" operator="containsText" text="OFF">
      <formula>NOT(ISERROR(SEARCH(("OFF"),(KX71))))</formula>
    </cfRule>
    <cfRule type="containsText" dxfId="1949" priority="2909" operator="containsText" text="07:00 - 16:00">
      <formula>NOT(ISERROR(SEARCH(("07:00 - 16:00"),(KX71))))</formula>
    </cfRule>
    <cfRule type="containsText" dxfId="1948" priority="2915" operator="containsText" text="Congé">
      <formula>NOT(ISERROR(SEARCH(("Congé"),(KX71))))</formula>
    </cfRule>
  </conditionalFormatting>
  <conditionalFormatting sqref="JY12:KA12">
    <cfRule type="containsText" dxfId="1947" priority="3093" operator="containsText" text="06:00 - 15:00">
      <formula>NOT(ISERROR(SEARCH(("06:00 - 15:00"),(KX70))))</formula>
    </cfRule>
    <cfRule type="containsText" dxfId="1946" priority="3096" operator="containsText" text="07:00 - 16:00">
      <formula>NOT(ISERROR(SEARCH(("07:00 - 16:00"),(KX70))))</formula>
    </cfRule>
    <cfRule type="containsText" dxfId="1945" priority="3097" operator="containsText" text="08:00 - 17:00">
      <formula>NOT(ISERROR(SEARCH(("08:00 - 17:00"),(KX70))))</formula>
    </cfRule>
    <cfRule type="containsText" dxfId="1944" priority="3098" operator="containsText" text="09:00 - 18:00">
      <formula>NOT(ISERROR(SEARCH(("09:00 - 18:00"),(KX70))))</formula>
    </cfRule>
    <cfRule type="containsText" dxfId="1943" priority="3099" operator="containsText" text="10:00 - 19:00">
      <formula>NOT(ISERROR(SEARCH(("10:00 - 19:00"),(KX70))))</formula>
    </cfRule>
    <cfRule type="containsText" dxfId="1942" priority="3095" operator="containsText" text="14:00 - 23:00">
      <formula>NOT(ISERROR(SEARCH(("14:00 - 23:00"),(KX70))))</formula>
    </cfRule>
    <cfRule type="containsText" dxfId="1941" priority="3094" operator="containsText" text="04:00 - 13:00">
      <formula>NOT(ISERROR(SEARCH(("04:00 - 13:00"),(KX70))))</formula>
    </cfRule>
    <cfRule type="containsText" dxfId="1940" priority="3092" operator="containsText" text="OFF">
      <formula>NOT(ISERROR(SEARCH(("OFF"),(KX70))))</formula>
    </cfRule>
    <cfRule type="containsText" dxfId="1939" priority="3100" operator="containsText" text="12H-21H /SCO">
      <formula>NOT(ISERROR(SEARCH(("12H-21H /SCO"),(KX70))))</formula>
    </cfRule>
    <cfRule type="containsText" dxfId="1938" priority="3101" operator="containsText" text="12:00 - 21:00">
      <formula>NOT(ISERROR(SEARCH(("12:00 - 21:00"),(KX70))))</formula>
    </cfRule>
    <cfRule type="containsText" dxfId="1937" priority="3102" operator="containsText" text="Congé">
      <formula>NOT(ISERROR(SEARCH(("Congé"),(KX70))))</formula>
    </cfRule>
  </conditionalFormatting>
  <conditionalFormatting sqref="JZ8">
    <cfRule type="containsText" dxfId="1936" priority="2862" operator="containsText" text="06:00 - 15:00">
      <formula>NOT(ISERROR(SEARCH(("06:00 - 15:00"),(KY78))))</formula>
    </cfRule>
    <cfRule type="containsText" dxfId="1935" priority="2861" operator="containsText" text="OFF">
      <formula>NOT(ISERROR(SEARCH(("OFF"),(KY78))))</formula>
    </cfRule>
    <cfRule type="containsText" dxfId="1934" priority="2866" operator="containsText" text="08:00 - 17:00">
      <formula>NOT(ISERROR(SEARCH(("08:00 - 17:00"),(KY78))))</formula>
    </cfRule>
    <cfRule type="containsText" dxfId="1933" priority="2863" operator="containsText" text="04:00 - 13:00">
      <formula>NOT(ISERROR(SEARCH(("04:00 - 13:00"),(KY78))))</formula>
    </cfRule>
    <cfRule type="containsText" dxfId="1932" priority="2864" operator="containsText" text="14:00 - 23:00">
      <formula>NOT(ISERROR(SEARCH(("14:00 - 23:00"),(KY78))))</formula>
    </cfRule>
    <cfRule type="containsText" dxfId="1931" priority="2865" operator="containsText" text="07:00 - 16:00">
      <formula>NOT(ISERROR(SEARCH(("07:00 - 16:00"),(KY78))))</formula>
    </cfRule>
    <cfRule type="containsText" dxfId="1930" priority="2869" operator="containsText" text="12H-21H /SCO">
      <formula>NOT(ISERROR(SEARCH(("12H-21H /SCO"),(KY78))))</formula>
    </cfRule>
    <cfRule type="containsText" dxfId="1929" priority="2871" operator="containsText" text="Congé">
      <formula>NOT(ISERROR(SEARCH(("Congé"),(KY78))))</formula>
    </cfRule>
    <cfRule type="containsText" dxfId="1928" priority="2867" operator="containsText" text="09:00 - 18:00">
      <formula>NOT(ISERROR(SEARCH(("09:00 - 18:00"),(KY78))))</formula>
    </cfRule>
    <cfRule type="containsText" dxfId="1927" priority="2868" operator="containsText" text="10:00 - 19:00">
      <formula>NOT(ISERROR(SEARCH(("10:00 - 19:00"),(KY78))))</formula>
    </cfRule>
    <cfRule type="containsText" dxfId="1926" priority="2870" operator="containsText" text="12:00 - 21:00">
      <formula>NOT(ISERROR(SEARCH(("12:00 - 21:00"),(KY78))))</formula>
    </cfRule>
  </conditionalFormatting>
  <conditionalFormatting sqref="JZ19">
    <cfRule type="containsText" dxfId="1925" priority="2941" operator="containsText" text="14:00 - 23:00">
      <formula>NOT(ISERROR(SEARCH(("14:00 - 23:00"),(KY71))))</formula>
    </cfRule>
    <cfRule type="containsText" dxfId="1924" priority="2940" operator="containsText" text="04:00 - 13:00">
      <formula>NOT(ISERROR(SEARCH(("04:00 - 13:00"),(KY71))))</formula>
    </cfRule>
    <cfRule type="containsText" dxfId="1923" priority="2939" operator="containsText" text="06:00 - 15:00">
      <formula>NOT(ISERROR(SEARCH(("06:00 - 15:00"),(KY71))))</formula>
    </cfRule>
    <cfRule type="containsText" dxfId="1922" priority="2947" operator="containsText" text="12:00 - 21:00">
      <formula>NOT(ISERROR(SEARCH(("12:00 - 21:00"),(KY71))))</formula>
    </cfRule>
    <cfRule type="containsText" dxfId="1921" priority="2948" operator="containsText" text="Congé">
      <formula>NOT(ISERROR(SEARCH(("Congé"),(KY71))))</formula>
    </cfRule>
    <cfRule type="containsText" dxfId="1920" priority="2938" operator="containsText" text="OFF">
      <formula>NOT(ISERROR(SEARCH(("OFF"),(KY71))))</formula>
    </cfRule>
    <cfRule type="containsText" dxfId="1919" priority="2946" operator="containsText" text="12H-21H /SCO">
      <formula>NOT(ISERROR(SEARCH(("12H-21H /SCO"),(KY71))))</formula>
    </cfRule>
    <cfRule type="containsText" dxfId="1918" priority="2945" operator="containsText" text="10:00 - 19:00">
      <formula>NOT(ISERROR(SEARCH(("10:00 - 19:00"),(KY71))))</formula>
    </cfRule>
    <cfRule type="containsText" dxfId="1917" priority="2944" operator="containsText" text="09:00 - 18:00">
      <formula>NOT(ISERROR(SEARCH(("09:00 - 18:00"),(KY71))))</formula>
    </cfRule>
    <cfRule type="containsText" dxfId="1916" priority="2943" operator="containsText" text="08:00 - 17:00">
      <formula>NOT(ISERROR(SEARCH(("08:00 - 17:00"),(KY71))))</formula>
    </cfRule>
    <cfRule type="containsText" dxfId="1915" priority="2942" operator="containsText" text="07:00 - 16:00">
      <formula>NOT(ISERROR(SEARCH(("07:00 - 16:00"),(KY71))))</formula>
    </cfRule>
  </conditionalFormatting>
  <conditionalFormatting sqref="KA16">
    <cfRule type="containsText" dxfId="1914" priority="2959" operator="containsText" text="Congé">
      <formula>NOT(ISERROR(SEARCH(("Congé"),(KZ69))))</formula>
    </cfRule>
    <cfRule type="containsText" dxfId="1913" priority="2949" operator="containsText" text="OFF">
      <formula>NOT(ISERROR(SEARCH(("OFF"),(KZ69))))</formula>
    </cfRule>
    <cfRule type="containsText" dxfId="1912" priority="2957" operator="containsText" text="12H-21H /SCO">
      <formula>NOT(ISERROR(SEARCH(("12H-21H /SCO"),(KZ69))))</formula>
    </cfRule>
    <cfRule type="containsText" dxfId="1911" priority="2956" operator="containsText" text="10:00 - 19:00">
      <formula>NOT(ISERROR(SEARCH(("10:00 - 19:00"),(KZ69))))</formula>
    </cfRule>
    <cfRule type="containsText" dxfId="1910" priority="2950" operator="containsText" text="06:00 - 15:00">
      <formula>NOT(ISERROR(SEARCH(("06:00 - 15:00"),(KZ69))))</formula>
    </cfRule>
    <cfRule type="containsText" dxfId="1909" priority="2952" operator="containsText" text="14:00 - 23:00">
      <formula>NOT(ISERROR(SEARCH(("14:00 - 23:00"),(KZ69))))</formula>
    </cfRule>
    <cfRule type="containsText" dxfId="1908" priority="2951" operator="containsText" text="04:00 - 13:00">
      <formula>NOT(ISERROR(SEARCH(("04:00 - 13:00"),(KZ69))))</formula>
    </cfRule>
    <cfRule type="containsText" dxfId="1907" priority="2953" operator="containsText" text="07:00 - 16:00">
      <formula>NOT(ISERROR(SEARCH(("07:00 - 16:00"),(KZ69))))</formula>
    </cfRule>
    <cfRule type="containsText" dxfId="1906" priority="2954" operator="containsText" text="08:00 - 17:00">
      <formula>NOT(ISERROR(SEARCH(("08:00 - 17:00"),(KZ69))))</formula>
    </cfRule>
    <cfRule type="containsText" dxfId="1905" priority="2955" operator="containsText" text="09:00 - 18:00">
      <formula>NOT(ISERROR(SEARCH(("09:00 - 18:00"),(KZ69))))</formula>
    </cfRule>
    <cfRule type="containsText" dxfId="1904" priority="2958" operator="containsText" text="12:00 - 21:00">
      <formula>NOT(ISERROR(SEARCH(("12:00 - 21:00"),(KZ69))))</formula>
    </cfRule>
  </conditionalFormatting>
  <conditionalFormatting sqref="KA10:KB10 KE14">
    <cfRule type="containsText" dxfId="1903" priority="2886" operator="containsText" text="14:00 - 23:00">
      <formula>NOT(ISERROR(SEARCH(("14:00 - 23:00"),(KZ74))))</formula>
    </cfRule>
    <cfRule type="containsText" dxfId="1902" priority="2883" operator="containsText" text="OFF">
      <formula>NOT(ISERROR(SEARCH(("OFF"),(KZ74))))</formula>
    </cfRule>
    <cfRule type="containsText" dxfId="1901" priority="2887" operator="containsText" text="07:00 - 16:00">
      <formula>NOT(ISERROR(SEARCH(("07:00 - 16:00"),(KZ74))))</formula>
    </cfRule>
    <cfRule type="containsText" dxfId="1900" priority="2885" operator="containsText" text="04:00 - 13:00">
      <formula>NOT(ISERROR(SEARCH(("04:00 - 13:00"),(KZ74))))</formula>
    </cfRule>
    <cfRule type="containsText" dxfId="1899" priority="2888" operator="containsText" text="08:00 - 17:00">
      <formula>NOT(ISERROR(SEARCH(("08:00 - 17:00"),(KZ74))))</formula>
    </cfRule>
    <cfRule type="containsText" dxfId="1898" priority="2889" operator="containsText" text="09:00 - 18:00">
      <formula>NOT(ISERROR(SEARCH(("09:00 - 18:00"),(KZ74))))</formula>
    </cfRule>
    <cfRule type="containsText" dxfId="1897" priority="2890" operator="containsText" text="10:00 - 19:00">
      <formula>NOT(ISERROR(SEARCH(("10:00 - 19:00"),(KZ74))))</formula>
    </cfRule>
    <cfRule type="containsText" dxfId="1896" priority="2891" operator="containsText" text="12H-21H /SCO">
      <formula>NOT(ISERROR(SEARCH(("12H-21H /SCO"),(KZ74))))</formula>
    </cfRule>
    <cfRule type="containsText" dxfId="1895" priority="2893" operator="containsText" text="Congé">
      <formula>NOT(ISERROR(SEARCH(("Congé"),(KZ74))))</formula>
    </cfRule>
    <cfRule type="containsText" dxfId="1894" priority="2892" operator="containsText" text="12:00 - 21:00">
      <formula>NOT(ISERROR(SEARCH(("12:00 - 21:00"),(KZ74))))</formula>
    </cfRule>
    <cfRule type="containsText" dxfId="1893" priority="2884" operator="containsText" text="06:00 - 15:00">
      <formula>NOT(ISERROR(SEARCH(("06:00 - 15:00"),(KZ74))))</formula>
    </cfRule>
  </conditionalFormatting>
  <conditionalFormatting sqref="KA11:KB11">
    <cfRule type="containsText" dxfId="1892" priority="2838" operator="containsText" text="Congé">
      <formula>NOT(ISERROR(SEARCH(("Congé"),(KZ71))))</formula>
    </cfRule>
    <cfRule type="containsText" dxfId="1891" priority="2837" operator="containsText" text="12:00 - 21:00">
      <formula>NOT(ISERROR(SEARCH(("12:00 - 21:00"),(KZ71))))</formula>
    </cfRule>
    <cfRule type="containsText" dxfId="1890" priority="2836" operator="containsText" text="12H-21H /SCO">
      <formula>NOT(ISERROR(SEARCH(("12H-21H /SCO"),(KZ71))))</formula>
    </cfRule>
    <cfRule type="containsText" dxfId="1889" priority="2835" operator="containsText" text="10:00 - 19:00">
      <formula>NOT(ISERROR(SEARCH(("10:00 - 19:00"),(KZ71))))</formula>
    </cfRule>
    <cfRule type="containsText" dxfId="1888" priority="2834" operator="containsText" text="09:00 - 18:00">
      <formula>NOT(ISERROR(SEARCH(("09:00 - 18:00"),(KZ71))))</formula>
    </cfRule>
    <cfRule type="containsText" dxfId="1887" priority="2833" operator="containsText" text="08:00 - 17:00">
      <formula>NOT(ISERROR(SEARCH(("08:00 - 17:00"),(KZ71))))</formula>
    </cfRule>
    <cfRule type="containsText" dxfId="1886" priority="2831" operator="containsText" text="14:00 - 23:00">
      <formula>NOT(ISERROR(SEARCH(("14:00 - 23:00"),(KZ71))))</formula>
    </cfRule>
    <cfRule type="containsText" dxfId="1885" priority="2830" operator="containsText" text="04:00 - 13:00">
      <formula>NOT(ISERROR(SEARCH(("04:00 - 13:00"),(KZ71))))</formula>
    </cfRule>
    <cfRule type="containsText" dxfId="1884" priority="2829" operator="containsText" text="06:00 - 15:00">
      <formula>NOT(ISERROR(SEARCH(("06:00 - 15:00"),(KZ71))))</formula>
    </cfRule>
    <cfRule type="containsText" dxfId="1883" priority="2828" operator="containsText" text="OFF">
      <formula>NOT(ISERROR(SEARCH(("OFF"),(KZ71))))</formula>
    </cfRule>
    <cfRule type="containsText" dxfId="1882" priority="2832" operator="containsText" text="07:00 - 16:00">
      <formula>NOT(ISERROR(SEARCH(("07:00 - 16:00"),(KZ71))))</formula>
    </cfRule>
  </conditionalFormatting>
  <conditionalFormatting sqref="KB7">
    <cfRule type="containsText" dxfId="1881" priority="2873" operator="containsText" text="06:00 - 15:00">
      <formula>NOT(ISERROR(SEARCH(("06:00 - 15:00"),(LA80))))</formula>
    </cfRule>
    <cfRule type="containsText" dxfId="1880" priority="2881" operator="containsText" text="12:00 - 21:00">
      <formula>NOT(ISERROR(SEARCH(("12:00 - 21:00"),(LA80))))</formula>
    </cfRule>
    <cfRule type="containsText" dxfId="1879" priority="2882" operator="containsText" text="Congé">
      <formula>NOT(ISERROR(SEARCH(("Congé"),(LA80))))</formula>
    </cfRule>
    <cfRule type="containsText" dxfId="1878" priority="2880" operator="containsText" text="12H-21H /SCO">
      <formula>NOT(ISERROR(SEARCH(("12H-21H /SCO"),(LA80))))</formula>
    </cfRule>
    <cfRule type="containsText" dxfId="1877" priority="2879" operator="containsText" text="10:00 - 19:00">
      <formula>NOT(ISERROR(SEARCH(("10:00 - 19:00"),(LA80))))</formula>
    </cfRule>
    <cfRule type="containsText" dxfId="1876" priority="2878" operator="containsText" text="09:00 - 18:00">
      <formula>NOT(ISERROR(SEARCH(("09:00 - 18:00"),(LA80))))</formula>
    </cfRule>
    <cfRule type="containsText" dxfId="1875" priority="2877" operator="containsText" text="08:00 - 17:00">
      <formula>NOT(ISERROR(SEARCH(("08:00 - 17:00"),(LA80))))</formula>
    </cfRule>
    <cfRule type="containsText" dxfId="1874" priority="2876" operator="containsText" text="07:00 - 16:00">
      <formula>NOT(ISERROR(SEARCH(("07:00 - 16:00"),(LA80))))</formula>
    </cfRule>
    <cfRule type="containsText" dxfId="1873" priority="2875" operator="containsText" text="14:00 - 23:00">
      <formula>NOT(ISERROR(SEARCH(("14:00 - 23:00"),(LA80))))</formula>
    </cfRule>
    <cfRule type="containsText" dxfId="1872" priority="2874" operator="containsText" text="04:00 - 13:00">
      <formula>NOT(ISERROR(SEARCH(("04:00 - 13:00"),(LA80))))</formula>
    </cfRule>
    <cfRule type="containsText" dxfId="1871" priority="2872" operator="containsText" text="OFF">
      <formula>NOT(ISERROR(SEARCH(("OFF"),(LA80))))</formula>
    </cfRule>
  </conditionalFormatting>
  <conditionalFormatting sqref="KB8">
    <cfRule type="containsText" dxfId="1870" priority="2903" operator="containsText" text="12:00 - 21:00">
      <formula>NOT(ISERROR(SEARCH(("12:00 - 21:00"),(LA70))))</formula>
    </cfRule>
    <cfRule type="containsText" dxfId="1869" priority="2902" operator="containsText" text="12H-21H /SCO">
      <formula>NOT(ISERROR(SEARCH(("12H-21H /SCO"),(LA70))))</formula>
    </cfRule>
    <cfRule type="containsText" dxfId="1868" priority="2901" operator="containsText" text="10:00 - 19:00">
      <formula>NOT(ISERROR(SEARCH(("10:00 - 19:00"),(LA70))))</formula>
    </cfRule>
    <cfRule type="containsText" dxfId="1867" priority="2900" operator="containsText" text="09:00 - 18:00">
      <formula>NOT(ISERROR(SEARCH(("09:00 - 18:00"),(LA70))))</formula>
    </cfRule>
    <cfRule type="containsText" dxfId="1866" priority="2899" operator="containsText" text="08:00 - 17:00">
      <formula>NOT(ISERROR(SEARCH(("08:00 - 17:00"),(LA70))))</formula>
    </cfRule>
    <cfRule type="containsText" dxfId="1865" priority="2897" operator="containsText" text="14:00 - 23:00">
      <formula>NOT(ISERROR(SEARCH(("14:00 - 23:00"),(LA70))))</formula>
    </cfRule>
    <cfRule type="containsText" dxfId="1864" priority="2896" operator="containsText" text="04:00 - 13:00">
      <formula>NOT(ISERROR(SEARCH(("04:00 - 13:00"),(LA70))))</formula>
    </cfRule>
    <cfRule type="containsText" dxfId="1863" priority="2895" operator="containsText" text="06:00 - 15:00">
      <formula>NOT(ISERROR(SEARCH(("06:00 - 15:00"),(LA70))))</formula>
    </cfRule>
    <cfRule type="containsText" dxfId="1862" priority="2894" operator="containsText" text="OFF">
      <formula>NOT(ISERROR(SEARCH(("OFF"),(LA70))))</formula>
    </cfRule>
    <cfRule type="containsText" dxfId="1861" priority="2898" operator="containsText" text="07:00 - 16:00">
      <formula>NOT(ISERROR(SEARCH(("07:00 - 16:00"),(LA70))))</formula>
    </cfRule>
    <cfRule type="containsText" dxfId="1860" priority="2904" operator="containsText" text="Congé">
      <formula>NOT(ISERROR(SEARCH(("Congé"),(LA70))))</formula>
    </cfRule>
  </conditionalFormatting>
  <conditionalFormatting sqref="KC7">
    <cfRule type="containsText" dxfId="1859" priority="2548" operator="containsText" text="09:00 - 18:00">
      <formula>NOT(ISERROR(SEARCH(("09:00 - 18:00"),(LB135))))</formula>
    </cfRule>
    <cfRule type="containsText" dxfId="1858" priority="2549" operator="containsText" text="10:00 - 19:00">
      <formula>NOT(ISERROR(SEARCH(("10:00 - 19:00"),(LB135))))</formula>
    </cfRule>
    <cfRule type="containsText" dxfId="1857" priority="2550" operator="containsText" text="12H-21H /SCO">
      <formula>NOT(ISERROR(SEARCH(("12H-21H /SCO"),(LB135))))</formula>
    </cfRule>
    <cfRule type="containsText" dxfId="1856" priority="2551" operator="containsText" text="12:00 - 21:00">
      <formula>NOT(ISERROR(SEARCH(("12:00 - 21:00"),(LB135))))</formula>
    </cfRule>
    <cfRule type="containsText" dxfId="1855" priority="2543" operator="containsText" text="06:00 - 15:00">
      <formula>NOT(ISERROR(SEARCH(("06:00 - 15:00"),(LB135))))</formula>
    </cfRule>
    <cfRule type="containsText" dxfId="1854" priority="2552" operator="containsText" text="Congé">
      <formula>NOT(ISERROR(SEARCH(("Congé"),(LB135))))</formula>
    </cfRule>
    <cfRule type="containsText" dxfId="1853" priority="2542" operator="containsText" text="OFF">
      <formula>NOT(ISERROR(SEARCH(("OFF"),(LB135))))</formula>
    </cfRule>
    <cfRule type="containsText" dxfId="1852" priority="2544" operator="containsText" text="04:00 - 13:00">
      <formula>NOT(ISERROR(SEARCH(("04:00 - 13:00"),(LB135))))</formula>
    </cfRule>
    <cfRule type="containsText" dxfId="1851" priority="2545" operator="containsText" text="14:00 - 23:00">
      <formula>NOT(ISERROR(SEARCH(("14:00 - 23:00"),(LB135))))</formula>
    </cfRule>
    <cfRule type="containsText" dxfId="1850" priority="2546" operator="containsText" text="07:00 - 16:00">
      <formula>NOT(ISERROR(SEARCH(("07:00 - 16:00"),(LB135))))</formula>
    </cfRule>
    <cfRule type="containsText" dxfId="1849" priority="2547" operator="containsText" text="08:00 - 17:00">
      <formula>NOT(ISERROR(SEARCH(("08:00 - 17:00"),(LB135))))</formula>
    </cfRule>
  </conditionalFormatting>
  <conditionalFormatting sqref="KC10:KD10">
    <cfRule type="containsText" dxfId="1848" priority="2607" operator="containsText" text="Congé">
      <formula>NOT(ISERROR(SEARCH(("Congé"),(LB75))))</formula>
    </cfRule>
    <cfRule type="containsText" dxfId="1847" priority="2606" operator="containsText" text="12:00 - 21:00">
      <formula>NOT(ISERROR(SEARCH(("12:00 - 21:00"),(LB75))))</formula>
    </cfRule>
    <cfRule type="containsText" dxfId="1846" priority="2605" operator="containsText" text="12H-21H /SCO">
      <formula>NOT(ISERROR(SEARCH(("12H-21H /SCO"),(LB75))))</formula>
    </cfRule>
    <cfRule type="containsText" dxfId="1845" priority="2604" operator="containsText" text="10:00 - 19:00">
      <formula>NOT(ISERROR(SEARCH(("10:00 - 19:00"),(LB75))))</formula>
    </cfRule>
    <cfRule type="containsText" dxfId="1844" priority="2601" operator="containsText" text="07:00 - 16:00">
      <formula>NOT(ISERROR(SEARCH(("07:00 - 16:00"),(LB75))))</formula>
    </cfRule>
    <cfRule type="containsText" dxfId="1843" priority="2603" operator="containsText" text="09:00 - 18:00">
      <formula>NOT(ISERROR(SEARCH(("09:00 - 18:00"),(LB75))))</formula>
    </cfRule>
    <cfRule type="containsText" dxfId="1842" priority="2600" operator="containsText" text="14:00 - 23:00">
      <formula>NOT(ISERROR(SEARCH(("14:00 - 23:00"),(LB75))))</formula>
    </cfRule>
    <cfRule type="containsText" dxfId="1841" priority="2599" operator="containsText" text="04:00 - 13:00">
      <formula>NOT(ISERROR(SEARCH(("04:00 - 13:00"),(LB75))))</formula>
    </cfRule>
    <cfRule type="containsText" dxfId="1840" priority="2598" operator="containsText" text="06:00 - 15:00">
      <formula>NOT(ISERROR(SEARCH(("06:00 - 15:00"),(LB75))))</formula>
    </cfRule>
    <cfRule type="containsText" dxfId="1839" priority="2597" operator="containsText" text="OFF">
      <formula>NOT(ISERROR(SEARCH(("OFF"),(LB75))))</formula>
    </cfRule>
    <cfRule type="containsText" dxfId="1838" priority="2602" operator="containsText" text="08:00 - 17:00">
      <formula>NOT(ISERROR(SEARCH(("08:00 - 17:00"),(LB75))))</formula>
    </cfRule>
  </conditionalFormatting>
  <conditionalFormatting sqref="KC13:KD13">
    <cfRule type="containsText" dxfId="1837" priority="2477" operator="containsText" text="06:00 - 15:00">
      <formula>NOT(ISERROR(SEARCH(("06:00 - 15:00"),(LB135))))</formula>
    </cfRule>
    <cfRule type="containsText" dxfId="1836" priority="2483" operator="containsText" text="10:00 - 19:00">
      <formula>NOT(ISERROR(SEARCH(("10:00 - 19:00"),(LB135))))</formula>
    </cfRule>
    <cfRule type="containsText" dxfId="1835" priority="2484" operator="containsText" text="12H-21H /SCO">
      <formula>NOT(ISERROR(SEARCH(("12H-21H /SCO"),(LB135))))</formula>
    </cfRule>
    <cfRule type="containsText" dxfId="1834" priority="2485" operator="containsText" text="12:00 - 21:00">
      <formula>NOT(ISERROR(SEARCH(("12:00 - 21:00"),(LB135))))</formula>
    </cfRule>
    <cfRule type="containsText" dxfId="1833" priority="2486" operator="containsText" text="Congé">
      <formula>NOT(ISERROR(SEARCH(("Congé"),(LB135))))</formula>
    </cfRule>
    <cfRule type="containsText" dxfId="1832" priority="2476" operator="containsText" text="OFF">
      <formula>NOT(ISERROR(SEARCH(("OFF"),(LB135))))</formula>
    </cfRule>
    <cfRule type="containsText" dxfId="1831" priority="2478" operator="containsText" text="04:00 - 13:00">
      <formula>NOT(ISERROR(SEARCH(("04:00 - 13:00"),(LB135))))</formula>
    </cfRule>
    <cfRule type="containsText" dxfId="1830" priority="2479" operator="containsText" text="14:00 - 23:00">
      <formula>NOT(ISERROR(SEARCH(("14:00 - 23:00"),(LB135))))</formula>
    </cfRule>
    <cfRule type="containsText" dxfId="1829" priority="2480" operator="containsText" text="07:00 - 16:00">
      <formula>NOT(ISERROR(SEARCH(("07:00 - 16:00"),(LB135))))</formula>
    </cfRule>
    <cfRule type="containsText" dxfId="1828" priority="2481" operator="containsText" text="08:00 - 17:00">
      <formula>NOT(ISERROR(SEARCH(("08:00 - 17:00"),(LB135))))</formula>
    </cfRule>
    <cfRule type="containsText" dxfId="1827" priority="2482" operator="containsText" text="09:00 - 18:00">
      <formula>NOT(ISERROR(SEARCH(("09:00 - 18:00"),(LB135))))</formula>
    </cfRule>
  </conditionalFormatting>
  <conditionalFormatting sqref="KD7">
    <cfRule type="containsText" dxfId="1826" priority="2557" operator="containsText" text="07:00 - 16:00">
      <formula>NOT(ISERROR(SEARCH(("07:00 - 16:00"),(LC134))))</formula>
    </cfRule>
    <cfRule type="containsText" dxfId="1825" priority="2556" operator="containsText" text="14:00 - 23:00">
      <formula>NOT(ISERROR(SEARCH(("14:00 - 23:00"),(LC134))))</formula>
    </cfRule>
    <cfRule type="containsText" dxfId="1824" priority="2555" operator="containsText" text="04:00 - 13:00">
      <formula>NOT(ISERROR(SEARCH(("04:00 - 13:00"),(LC134))))</formula>
    </cfRule>
    <cfRule type="containsText" dxfId="1823" priority="2554" operator="containsText" text="06:00 - 15:00">
      <formula>NOT(ISERROR(SEARCH(("06:00 - 15:00"),(LC134))))</formula>
    </cfRule>
    <cfRule type="containsText" dxfId="1822" priority="2553" operator="containsText" text="OFF">
      <formula>NOT(ISERROR(SEARCH(("OFF"),(LC134))))</formula>
    </cfRule>
    <cfRule type="containsText" dxfId="1821" priority="2559" operator="containsText" text="09:00 - 18:00">
      <formula>NOT(ISERROR(SEARCH(("09:00 - 18:00"),(LC134))))</formula>
    </cfRule>
    <cfRule type="containsText" dxfId="1820" priority="2563" operator="containsText" text="Congé">
      <formula>NOT(ISERROR(SEARCH(("Congé"),(LC134))))</formula>
    </cfRule>
    <cfRule type="containsText" dxfId="1819" priority="2562" operator="containsText" text="12:00 - 21:00">
      <formula>NOT(ISERROR(SEARCH(("12:00 - 21:00"),(LC134))))</formula>
    </cfRule>
    <cfRule type="containsText" dxfId="1818" priority="2561" operator="containsText" text="12H-21H /SCO">
      <formula>NOT(ISERROR(SEARCH(("12H-21H /SCO"),(LC134))))</formula>
    </cfRule>
    <cfRule type="containsText" dxfId="1817" priority="2560" operator="containsText" text="10:00 - 19:00">
      <formula>NOT(ISERROR(SEARCH(("10:00 - 19:00"),(LC134))))</formula>
    </cfRule>
    <cfRule type="containsText" dxfId="1816" priority="2558" operator="containsText" text="08:00 - 17:00">
      <formula>NOT(ISERROR(SEARCH(("08:00 - 17:00"),(LC134))))</formula>
    </cfRule>
  </conditionalFormatting>
  <conditionalFormatting sqref="KD12">
    <cfRule type="containsText" dxfId="1815" priority="2474" operator="containsText" text="12:00 - 21:00">
      <formula>NOT(ISERROR(SEARCH(("12:00 - 21:00"),(LC139))))</formula>
    </cfRule>
    <cfRule type="containsText" dxfId="1814" priority="2475" operator="containsText" text="Congé">
      <formula>NOT(ISERROR(SEARCH(("Congé"),(LC139))))</formula>
    </cfRule>
    <cfRule type="containsText" dxfId="1813" priority="2470" operator="containsText" text="08:00 - 17:00">
      <formula>NOT(ISERROR(SEARCH(("08:00 - 17:00"),(LC139))))</formula>
    </cfRule>
    <cfRule type="containsText" dxfId="1812" priority="2473" operator="containsText" text="12H-21H /SCO">
      <formula>NOT(ISERROR(SEARCH(("12H-21H /SCO"),(LC139))))</formula>
    </cfRule>
    <cfRule type="containsText" dxfId="1811" priority="2472" operator="containsText" text="10:00 - 19:00">
      <formula>NOT(ISERROR(SEARCH(("10:00 - 19:00"),(LC139))))</formula>
    </cfRule>
    <cfRule type="containsText" dxfId="1810" priority="2468" operator="containsText" text="14:00 - 23:00">
      <formula>NOT(ISERROR(SEARCH(("14:00 - 23:00"),(LC139))))</formula>
    </cfRule>
    <cfRule type="containsText" dxfId="1809" priority="2469" operator="containsText" text="07:00 - 16:00">
      <formula>NOT(ISERROR(SEARCH(("07:00 - 16:00"),(LC139))))</formula>
    </cfRule>
    <cfRule type="containsText" dxfId="1808" priority="2471" operator="containsText" text="09:00 - 18:00">
      <formula>NOT(ISERROR(SEARCH(("09:00 - 18:00"),(LC139))))</formula>
    </cfRule>
    <cfRule type="containsText" dxfId="1807" priority="2465" operator="containsText" text="OFF">
      <formula>NOT(ISERROR(SEARCH(("OFF"),(LC139))))</formula>
    </cfRule>
    <cfRule type="containsText" dxfId="1806" priority="2466" operator="containsText" text="06:00 - 15:00">
      <formula>NOT(ISERROR(SEARCH(("06:00 - 15:00"),(LC139))))</formula>
    </cfRule>
    <cfRule type="containsText" dxfId="1805" priority="2467" operator="containsText" text="04:00 - 13:00">
      <formula>NOT(ISERROR(SEARCH(("04:00 - 13:00"),(LC139))))</formula>
    </cfRule>
  </conditionalFormatting>
  <conditionalFormatting sqref="KE11">
    <cfRule type="containsText" dxfId="1804" priority="2592" operator="containsText" text="09:00 - 18:00">
      <formula>NOT(ISERROR(SEARCH(("09:00 - 18:00"),(LD135))))</formula>
    </cfRule>
    <cfRule type="containsText" dxfId="1803" priority="2586" operator="containsText" text="OFF">
      <formula>NOT(ISERROR(SEARCH(("OFF"),(LD135))))</formula>
    </cfRule>
    <cfRule type="containsText" dxfId="1802" priority="2596" operator="containsText" text="Congé">
      <formula>NOT(ISERROR(SEARCH(("Congé"),(LD135))))</formula>
    </cfRule>
    <cfRule type="containsText" dxfId="1801" priority="2595" operator="containsText" text="12:00 - 21:00">
      <formula>NOT(ISERROR(SEARCH(("12:00 - 21:00"),(LD135))))</formula>
    </cfRule>
    <cfRule type="containsText" dxfId="1800" priority="2594" operator="containsText" text="12H-21H /SCO">
      <formula>NOT(ISERROR(SEARCH(("12H-21H /SCO"),(LD135))))</formula>
    </cfRule>
    <cfRule type="containsText" dxfId="1799" priority="2593" operator="containsText" text="10:00 - 19:00">
      <formula>NOT(ISERROR(SEARCH(("10:00 - 19:00"),(LD135))))</formula>
    </cfRule>
    <cfRule type="containsText" dxfId="1798" priority="2591" operator="containsText" text="08:00 - 17:00">
      <formula>NOT(ISERROR(SEARCH(("08:00 - 17:00"),(LD135))))</formula>
    </cfRule>
    <cfRule type="containsText" dxfId="1797" priority="2590" operator="containsText" text="07:00 - 16:00">
      <formula>NOT(ISERROR(SEARCH(("07:00 - 16:00"),(LD135))))</formula>
    </cfRule>
    <cfRule type="containsText" dxfId="1796" priority="2589" operator="containsText" text="14:00 - 23:00">
      <formula>NOT(ISERROR(SEARCH(("14:00 - 23:00"),(LD135))))</formula>
    </cfRule>
    <cfRule type="containsText" dxfId="1795" priority="2588" operator="containsText" text="04:00 - 13:00">
      <formula>NOT(ISERROR(SEARCH(("04:00 - 13:00"),(LD135))))</formula>
    </cfRule>
    <cfRule type="containsText" dxfId="1794" priority="2587" operator="containsText" text="06:00 - 15:00">
      <formula>NOT(ISERROR(SEARCH(("06:00 - 15:00"),(LD135))))</formula>
    </cfRule>
  </conditionalFormatting>
  <conditionalFormatting sqref="KE15">
    <cfRule type="containsText" dxfId="1793" priority="2612" operator="containsText" text="07:00 - 16:00">
      <formula>NOT(ISERROR(SEARCH(("07:00 - 16:00"),(LD75))))</formula>
    </cfRule>
    <cfRule type="containsText" dxfId="1792" priority="2617" operator="containsText" text="12:00 - 21:00">
      <formula>NOT(ISERROR(SEARCH(("12:00 - 21:00"),(LD75))))</formula>
    </cfRule>
    <cfRule type="containsText" dxfId="1791" priority="2609" operator="containsText" text="06:00 - 15:00">
      <formula>NOT(ISERROR(SEARCH(("06:00 - 15:00"),(LD75))))</formula>
    </cfRule>
    <cfRule type="containsText" dxfId="1790" priority="2615" operator="containsText" text="10:00 - 19:00">
      <formula>NOT(ISERROR(SEARCH(("10:00 - 19:00"),(LD75))))</formula>
    </cfRule>
    <cfRule type="containsText" dxfId="1789" priority="2614" operator="containsText" text="09:00 - 18:00">
      <formula>NOT(ISERROR(SEARCH(("09:00 - 18:00"),(LD75))))</formula>
    </cfRule>
    <cfRule type="containsText" dxfId="1788" priority="2608" operator="containsText" text="OFF">
      <formula>NOT(ISERROR(SEARCH(("OFF"),(LD75))))</formula>
    </cfRule>
    <cfRule type="containsText" dxfId="1787" priority="2618" operator="containsText" text="Congé">
      <formula>NOT(ISERROR(SEARCH(("Congé"),(LD75))))</formula>
    </cfRule>
    <cfRule type="containsText" dxfId="1786" priority="2613" operator="containsText" text="08:00 - 17:00">
      <formula>NOT(ISERROR(SEARCH(("08:00 - 17:00"),(LD75))))</formula>
    </cfRule>
    <cfRule type="containsText" dxfId="1785" priority="2610" operator="containsText" text="04:00 - 13:00">
      <formula>NOT(ISERROR(SEARCH(("04:00 - 13:00"),(LD75))))</formula>
    </cfRule>
    <cfRule type="containsText" dxfId="1784" priority="2611" operator="containsText" text="14:00 - 23:00">
      <formula>NOT(ISERROR(SEARCH(("14:00 - 23:00"),(LD75))))</formula>
    </cfRule>
    <cfRule type="containsText" dxfId="1783" priority="2616" operator="containsText" text="12H-21H /SCO">
      <formula>NOT(ISERROR(SEARCH(("12H-21H /SCO"),(LD75))))</formula>
    </cfRule>
  </conditionalFormatting>
  <conditionalFormatting sqref="KF16">
    <cfRule type="containsText" dxfId="1782" priority="2623" operator="containsText" text="07:00 - 16:00">
      <formula>NOT(ISERROR(SEARCH(("07:00 - 16:00"),(LE139))))</formula>
    </cfRule>
    <cfRule type="containsText" dxfId="1781" priority="2622" operator="containsText" text="14:00 - 23:00">
      <formula>NOT(ISERROR(SEARCH(("14:00 - 23:00"),(LE139))))</formula>
    </cfRule>
    <cfRule type="containsText" dxfId="1780" priority="2621" operator="containsText" text="04:00 - 13:00">
      <formula>NOT(ISERROR(SEARCH(("04:00 - 13:00"),(LE139))))</formula>
    </cfRule>
    <cfRule type="containsText" dxfId="1779" priority="2620" operator="containsText" text="06:00 - 15:00">
      <formula>NOT(ISERROR(SEARCH(("06:00 - 15:00"),(LE139))))</formula>
    </cfRule>
    <cfRule type="containsText" dxfId="1778" priority="2619" operator="containsText" text="OFF">
      <formula>NOT(ISERROR(SEARCH(("OFF"),(LE139))))</formula>
    </cfRule>
    <cfRule type="containsText" dxfId="1777" priority="2628" operator="containsText" text="12:00 - 21:00">
      <formula>NOT(ISERROR(SEARCH(("12:00 - 21:00"),(LE139))))</formula>
    </cfRule>
    <cfRule type="containsText" dxfId="1776" priority="2629" operator="containsText" text="Congé">
      <formula>NOT(ISERROR(SEARCH(("Congé"),(LE139))))</formula>
    </cfRule>
    <cfRule type="containsText" dxfId="1775" priority="2627" operator="containsText" text="12H-21H /SCO">
      <formula>NOT(ISERROR(SEARCH(("12H-21H /SCO"),(LE139))))</formula>
    </cfRule>
    <cfRule type="containsText" dxfId="1774" priority="2626" operator="containsText" text="10:00 - 19:00">
      <formula>NOT(ISERROR(SEARCH(("10:00 - 19:00"),(LE139))))</formula>
    </cfRule>
    <cfRule type="containsText" dxfId="1773" priority="2625" operator="containsText" text="09:00 - 18:00">
      <formula>NOT(ISERROR(SEARCH(("09:00 - 18:00"),(LE139))))</formula>
    </cfRule>
    <cfRule type="containsText" dxfId="1772" priority="2624" operator="containsText" text="08:00 - 17:00">
      <formula>NOT(ISERROR(SEARCH(("08:00 - 17:00"),(LE139))))</formula>
    </cfRule>
  </conditionalFormatting>
  <conditionalFormatting sqref="KF10:KG10">
    <cfRule type="containsText" dxfId="1771" priority="3085" operator="containsText" text="07:00 - 16:00">
      <formula>NOT(ISERROR(SEARCH(("07:00 - 16:00"),(LE75))))</formula>
    </cfRule>
    <cfRule type="containsText" dxfId="1770" priority="3087" operator="containsText" text="09:00 - 18:00">
      <formula>NOT(ISERROR(SEARCH(("09:00 - 18:00"),(LE75))))</formula>
    </cfRule>
    <cfRule type="containsText" dxfId="1769" priority="3086" operator="containsText" text="08:00 - 17:00">
      <formula>NOT(ISERROR(SEARCH(("08:00 - 17:00"),(LE75))))</formula>
    </cfRule>
    <cfRule type="containsText" dxfId="1768" priority="3091" operator="containsText" text="Congé">
      <formula>NOT(ISERROR(SEARCH(("Congé"),(LE75))))</formula>
    </cfRule>
    <cfRule type="containsText" dxfId="1767" priority="3081" operator="containsText" text="OFF">
      <formula>NOT(ISERROR(SEARCH(("OFF"),(LE75))))</formula>
    </cfRule>
    <cfRule type="containsText" dxfId="1766" priority="3090" operator="containsText" text="12:00 - 21:00">
      <formula>NOT(ISERROR(SEARCH(("12:00 - 21:00"),(LE75))))</formula>
    </cfRule>
    <cfRule type="containsText" dxfId="1765" priority="3089" operator="containsText" text="12H-21H /SCO">
      <formula>NOT(ISERROR(SEARCH(("12H-21H /SCO"),(LE75))))</formula>
    </cfRule>
    <cfRule type="containsText" dxfId="1764" priority="3084" operator="containsText" text="14:00 - 23:00">
      <formula>NOT(ISERROR(SEARCH(("14:00 - 23:00"),(LE75))))</formula>
    </cfRule>
    <cfRule type="containsText" dxfId="1763" priority="3083" operator="containsText" text="04:00 - 13:00">
      <formula>NOT(ISERROR(SEARCH(("04:00 - 13:00"),(LE75))))</formula>
    </cfRule>
    <cfRule type="containsText" dxfId="1762" priority="3082" operator="containsText" text="06:00 - 15:00">
      <formula>NOT(ISERROR(SEARCH(("06:00 - 15:00"),(LE75))))</formula>
    </cfRule>
    <cfRule type="containsText" dxfId="1761" priority="3088" operator="containsText" text="10:00 - 19:00">
      <formula>NOT(ISERROR(SEARCH(("10:00 - 19:00"),(LE75))))</formula>
    </cfRule>
  </conditionalFormatting>
  <conditionalFormatting sqref="KF18:KG18">
    <cfRule type="containsText" dxfId="1760" priority="2535" operator="containsText" text="07:00 - 16:00">
      <formula>NOT(ISERROR(SEARCH(("07:00 - 16:00"),(LE135))))</formula>
    </cfRule>
    <cfRule type="containsText" dxfId="1759" priority="2534" operator="containsText" text="14:00 - 23:00">
      <formula>NOT(ISERROR(SEARCH(("14:00 - 23:00"),(LE135))))</formula>
    </cfRule>
    <cfRule type="containsText" dxfId="1758" priority="2533" operator="containsText" text="04:00 - 13:00">
      <formula>NOT(ISERROR(SEARCH(("04:00 - 13:00"),(LE135))))</formula>
    </cfRule>
    <cfRule type="containsText" dxfId="1757" priority="2532" operator="containsText" text="06:00 - 15:00">
      <formula>NOT(ISERROR(SEARCH(("06:00 - 15:00"),(LE135))))</formula>
    </cfRule>
    <cfRule type="containsText" dxfId="1756" priority="2531" operator="containsText" text="OFF">
      <formula>NOT(ISERROR(SEARCH(("OFF"),(LE135))))</formula>
    </cfRule>
    <cfRule type="containsText" dxfId="1755" priority="2539" operator="containsText" text="12H-21H /SCO">
      <formula>NOT(ISERROR(SEARCH(("12H-21H /SCO"),(LE135))))</formula>
    </cfRule>
    <cfRule type="containsText" dxfId="1754" priority="2541" operator="containsText" text="Congé">
      <formula>NOT(ISERROR(SEARCH(("Congé"),(LE135))))</formula>
    </cfRule>
    <cfRule type="containsText" dxfId="1753" priority="2540" operator="containsText" text="12:00 - 21:00">
      <formula>NOT(ISERROR(SEARCH(("12:00 - 21:00"),(LE135))))</formula>
    </cfRule>
    <cfRule type="containsText" dxfId="1752" priority="2537" operator="containsText" text="09:00 - 18:00">
      <formula>NOT(ISERROR(SEARCH(("09:00 - 18:00"),(LE135))))</formula>
    </cfRule>
    <cfRule type="containsText" dxfId="1751" priority="2538" operator="containsText" text="10:00 - 19:00">
      <formula>NOT(ISERROR(SEARCH(("10:00 - 19:00"),(LE135))))</formula>
    </cfRule>
    <cfRule type="containsText" dxfId="1750" priority="2536" operator="containsText" text="08:00 - 17:00">
      <formula>NOT(ISERROR(SEARCH(("08:00 - 17:00"),(LE135))))</formula>
    </cfRule>
  </conditionalFormatting>
  <conditionalFormatting sqref="KF19:KH19">
    <cfRule type="containsText" dxfId="1749" priority="2638" operator="containsText" text="12H-21H /SCO">
      <formula>NOT(ISERROR(SEARCH(("12H-21H /SCO"),(LE134))))</formula>
    </cfRule>
    <cfRule type="containsText" dxfId="1748" priority="2637" operator="containsText" text="10:00 - 19:00">
      <formula>NOT(ISERROR(SEARCH(("10:00 - 19:00"),(LE134))))</formula>
    </cfRule>
    <cfRule type="containsText" dxfId="1747" priority="2636" operator="containsText" text="09:00 - 18:00">
      <formula>NOT(ISERROR(SEARCH(("09:00 - 18:00"),(LE134))))</formula>
    </cfRule>
    <cfRule type="containsText" dxfId="1746" priority="2635" operator="containsText" text="08:00 - 17:00">
      <formula>NOT(ISERROR(SEARCH(("08:00 - 17:00"),(LE134))))</formula>
    </cfRule>
    <cfRule type="containsText" dxfId="1745" priority="2634" operator="containsText" text="07:00 - 16:00">
      <formula>NOT(ISERROR(SEARCH(("07:00 - 16:00"),(LE134))))</formula>
    </cfRule>
    <cfRule type="containsText" dxfId="1744" priority="2639" operator="containsText" text="12:00 - 21:00">
      <formula>NOT(ISERROR(SEARCH(("12:00 - 21:00"),(LE134))))</formula>
    </cfRule>
    <cfRule type="containsText" dxfId="1743" priority="2631" operator="containsText" text="06:00 - 15:00">
      <formula>NOT(ISERROR(SEARCH(("06:00 - 15:00"),(LE134))))</formula>
    </cfRule>
    <cfRule type="containsText" dxfId="1742" priority="2640" operator="containsText" text="Congé">
      <formula>NOT(ISERROR(SEARCH(("Congé"),(LE134))))</formula>
    </cfRule>
    <cfRule type="containsText" dxfId="1741" priority="2630" operator="containsText" text="OFF">
      <formula>NOT(ISERROR(SEARCH(("OFF"),(LE134))))</formula>
    </cfRule>
    <cfRule type="containsText" dxfId="1740" priority="2633" operator="containsText" text="14:00 - 23:00">
      <formula>NOT(ISERROR(SEARCH(("14:00 - 23:00"),(LE134))))</formula>
    </cfRule>
    <cfRule type="containsText" dxfId="1739" priority="2632" operator="containsText" text="04:00 - 13:00">
      <formula>NOT(ISERROR(SEARCH(("04:00 - 13:00"),(LE134))))</formula>
    </cfRule>
  </conditionalFormatting>
  <conditionalFormatting sqref="KG7">
    <cfRule type="containsText" dxfId="1738" priority="2574" operator="containsText" text="Congé">
      <formula>NOT(ISERROR(SEARCH(("Congé"),(LF135))))</formula>
    </cfRule>
    <cfRule type="containsText" dxfId="1737" priority="2572" operator="containsText" text="12H-21H /SCO">
      <formula>NOT(ISERROR(SEARCH(("12H-21H /SCO"),(LF135))))</formula>
    </cfRule>
    <cfRule type="containsText" dxfId="1736" priority="2573" operator="containsText" text="12:00 - 21:00">
      <formula>NOT(ISERROR(SEARCH(("12:00 - 21:00"),(LF135))))</formula>
    </cfRule>
    <cfRule type="containsText" dxfId="1735" priority="2569" operator="containsText" text="08:00 - 17:00">
      <formula>NOT(ISERROR(SEARCH(("08:00 - 17:00"),(LF135))))</formula>
    </cfRule>
    <cfRule type="containsText" dxfId="1734" priority="2564" operator="containsText" text="OFF">
      <formula>NOT(ISERROR(SEARCH(("OFF"),(LF135))))</formula>
    </cfRule>
    <cfRule type="containsText" dxfId="1733" priority="2565" operator="containsText" text="06:00 - 15:00">
      <formula>NOT(ISERROR(SEARCH(("06:00 - 15:00"),(LF135))))</formula>
    </cfRule>
    <cfRule type="containsText" dxfId="1732" priority="2566" operator="containsText" text="04:00 - 13:00">
      <formula>NOT(ISERROR(SEARCH(("04:00 - 13:00"),(LF135))))</formula>
    </cfRule>
    <cfRule type="containsText" dxfId="1731" priority="2567" operator="containsText" text="14:00 - 23:00">
      <formula>NOT(ISERROR(SEARCH(("14:00 - 23:00"),(LF135))))</formula>
    </cfRule>
    <cfRule type="containsText" dxfId="1730" priority="2568" operator="containsText" text="07:00 - 16:00">
      <formula>NOT(ISERROR(SEARCH(("07:00 - 16:00"),(LF135))))</formula>
    </cfRule>
    <cfRule type="containsText" dxfId="1729" priority="2571" operator="containsText" text="10:00 - 19:00">
      <formula>NOT(ISERROR(SEARCH(("10:00 - 19:00"),(LF135))))</formula>
    </cfRule>
    <cfRule type="containsText" dxfId="1728" priority="2570" operator="containsText" text="09:00 - 18:00">
      <formula>NOT(ISERROR(SEARCH(("09:00 - 18:00"),(LF135))))</formula>
    </cfRule>
  </conditionalFormatting>
  <conditionalFormatting sqref="KG8">
    <cfRule type="containsText" dxfId="1727" priority="2493" operator="containsText" text="09:00 - 18:00">
      <formula>NOT(ISERROR(SEARCH(("09:00 - 18:00"),(LF142))))</formula>
    </cfRule>
    <cfRule type="containsText" dxfId="1726" priority="2492" operator="containsText" text="08:00 - 17:00">
      <formula>NOT(ISERROR(SEARCH(("08:00 - 17:00"),(LF142))))</formula>
    </cfRule>
    <cfRule type="containsText" dxfId="1725" priority="2491" operator="containsText" text="07:00 - 16:00">
      <formula>NOT(ISERROR(SEARCH(("07:00 - 16:00"),(LF142))))</formula>
    </cfRule>
    <cfRule type="containsText" dxfId="1724" priority="2496" operator="containsText" text="12:00 - 21:00">
      <formula>NOT(ISERROR(SEARCH(("12:00 - 21:00"),(LF142))))</formula>
    </cfRule>
    <cfRule type="containsText" dxfId="1723" priority="2490" operator="containsText" text="14:00 - 23:00">
      <formula>NOT(ISERROR(SEARCH(("14:00 - 23:00"),(LF142))))</formula>
    </cfRule>
    <cfRule type="containsText" dxfId="1722" priority="2497" operator="containsText" text="Congé">
      <formula>NOT(ISERROR(SEARCH(("Congé"),(LF142))))</formula>
    </cfRule>
    <cfRule type="containsText" dxfId="1721" priority="2487" operator="containsText" text="OFF">
      <formula>NOT(ISERROR(SEARCH(("OFF"),(LF142))))</formula>
    </cfRule>
    <cfRule type="containsText" dxfId="1720" priority="2488" operator="containsText" text="06:00 - 15:00">
      <formula>NOT(ISERROR(SEARCH(("06:00 - 15:00"),(LF142))))</formula>
    </cfRule>
    <cfRule type="containsText" dxfId="1719" priority="2489" operator="containsText" text="04:00 - 13:00">
      <formula>NOT(ISERROR(SEARCH(("04:00 - 13:00"),(LF142))))</formula>
    </cfRule>
    <cfRule type="containsText" dxfId="1718" priority="2494" operator="containsText" text="10:00 - 19:00">
      <formula>NOT(ISERROR(SEARCH(("10:00 - 19:00"),(LF142))))</formula>
    </cfRule>
    <cfRule type="containsText" dxfId="1717" priority="2495" operator="containsText" text="12H-21H /SCO">
      <formula>NOT(ISERROR(SEARCH(("12H-21H /SCO"),(LF142))))</formula>
    </cfRule>
  </conditionalFormatting>
  <conditionalFormatting sqref="KH11">
    <cfRule type="containsText" dxfId="1716" priority="2460" operator="containsText" text="09:00 - 18:00">
      <formula>NOT(ISERROR(SEARCH(("09:00 - 18:00"),(LG135))))</formula>
    </cfRule>
    <cfRule type="containsText" dxfId="1715" priority="2461" operator="containsText" text="10:00 - 19:00">
      <formula>NOT(ISERROR(SEARCH(("10:00 - 19:00"),(LG135))))</formula>
    </cfRule>
    <cfRule type="containsText" dxfId="1714" priority="2462" operator="containsText" text="12H-21H /SCO">
      <formula>NOT(ISERROR(SEARCH(("12H-21H /SCO"),(LG135))))</formula>
    </cfRule>
    <cfRule type="containsText" dxfId="1713" priority="2463" operator="containsText" text="12:00 - 21:00">
      <formula>NOT(ISERROR(SEARCH(("12:00 - 21:00"),(LG135))))</formula>
    </cfRule>
    <cfRule type="containsText" dxfId="1712" priority="2464" operator="containsText" text="Congé">
      <formula>NOT(ISERROR(SEARCH(("Congé"),(LG135))))</formula>
    </cfRule>
    <cfRule type="containsText" dxfId="1711" priority="2456" operator="containsText" text="04:00 - 13:00">
      <formula>NOT(ISERROR(SEARCH(("04:00 - 13:00"),(LG135))))</formula>
    </cfRule>
    <cfRule type="containsText" dxfId="1710" priority="2454" operator="containsText" text="OFF">
      <formula>NOT(ISERROR(SEARCH(("OFF"),(LG135))))</formula>
    </cfRule>
    <cfRule type="containsText" dxfId="1709" priority="2455" operator="containsText" text="06:00 - 15:00">
      <formula>NOT(ISERROR(SEARCH(("06:00 - 15:00"),(LG135))))</formula>
    </cfRule>
    <cfRule type="containsText" dxfId="1708" priority="2457" operator="containsText" text="14:00 - 23:00">
      <formula>NOT(ISERROR(SEARCH(("14:00 - 23:00"),(LG135))))</formula>
    </cfRule>
    <cfRule type="containsText" dxfId="1707" priority="2458" operator="containsText" text="07:00 - 16:00">
      <formula>NOT(ISERROR(SEARCH(("07:00 - 16:00"),(LG135))))</formula>
    </cfRule>
    <cfRule type="containsText" dxfId="1706" priority="2459" operator="containsText" text="08:00 - 17:00">
      <formula>NOT(ISERROR(SEARCH(("08:00 - 17:00"),(LG135))))</formula>
    </cfRule>
  </conditionalFormatting>
  <conditionalFormatting sqref="KH13">
    <cfRule type="containsText" dxfId="1705" priority="2578" operator="containsText" text="14:00 - 23:00">
      <formula>NOT(ISERROR(SEARCH(("14:00 - 23:00"),(LG133))))</formula>
    </cfRule>
    <cfRule type="containsText" dxfId="1704" priority="2585" operator="containsText" text="Congé">
      <formula>NOT(ISERROR(SEARCH(("Congé"),(LG133))))</formula>
    </cfRule>
    <cfRule type="containsText" dxfId="1703" priority="2579" operator="containsText" text="07:00 - 16:00">
      <formula>NOT(ISERROR(SEARCH(("07:00 - 16:00"),(LG133))))</formula>
    </cfRule>
    <cfRule type="containsText" dxfId="1702" priority="2575" operator="containsText" text="OFF">
      <formula>NOT(ISERROR(SEARCH(("OFF"),(LG133))))</formula>
    </cfRule>
    <cfRule type="containsText" dxfId="1701" priority="2576" operator="containsText" text="06:00 - 15:00">
      <formula>NOT(ISERROR(SEARCH(("06:00 - 15:00"),(LG133))))</formula>
    </cfRule>
    <cfRule type="containsText" dxfId="1700" priority="2581" operator="containsText" text="09:00 - 18:00">
      <formula>NOT(ISERROR(SEARCH(("09:00 - 18:00"),(LG133))))</formula>
    </cfRule>
    <cfRule type="containsText" dxfId="1699" priority="2582" operator="containsText" text="10:00 - 19:00">
      <formula>NOT(ISERROR(SEARCH(("10:00 - 19:00"),(LG133))))</formula>
    </cfRule>
    <cfRule type="containsText" dxfId="1698" priority="2584" operator="containsText" text="12:00 - 21:00">
      <formula>NOT(ISERROR(SEARCH(("12:00 - 21:00"),(LG133))))</formula>
    </cfRule>
    <cfRule type="containsText" dxfId="1697" priority="2577" operator="containsText" text="04:00 - 13:00">
      <formula>NOT(ISERROR(SEARCH(("04:00 - 13:00"),(LG133))))</formula>
    </cfRule>
    <cfRule type="containsText" dxfId="1696" priority="2583" operator="containsText" text="12H-21H /SCO">
      <formula>NOT(ISERROR(SEARCH(("12H-21H /SCO"),(LG133))))</formula>
    </cfRule>
    <cfRule type="containsText" dxfId="1695" priority="2580" operator="containsText" text="08:00 - 17:00">
      <formula>NOT(ISERROR(SEARCH(("08:00 - 17:00"),(LG133))))</formula>
    </cfRule>
  </conditionalFormatting>
  <conditionalFormatting sqref="KH16:KI16">
    <cfRule type="containsText" dxfId="1694" priority="2518" operator="containsText" text="12:00 - 21:00">
      <formula>NOT(ISERROR(SEARCH(("12:00 - 21:00"),(LG138))))</formula>
    </cfRule>
    <cfRule type="containsText" dxfId="1693" priority="2517" operator="containsText" text="12H-21H /SCO">
      <formula>NOT(ISERROR(SEARCH(("12H-21H /SCO"),(LG138))))</formula>
    </cfRule>
    <cfRule type="containsText" dxfId="1692" priority="2516" operator="containsText" text="10:00 - 19:00">
      <formula>NOT(ISERROR(SEARCH(("10:00 - 19:00"),(LG138))))</formula>
    </cfRule>
    <cfRule type="containsText" dxfId="1691" priority="2515" operator="containsText" text="09:00 - 18:00">
      <formula>NOT(ISERROR(SEARCH(("09:00 - 18:00"),(LG138))))</formula>
    </cfRule>
    <cfRule type="containsText" dxfId="1690" priority="2509" operator="containsText" text="OFF">
      <formula>NOT(ISERROR(SEARCH(("OFF"),(LG138))))</formula>
    </cfRule>
    <cfRule type="containsText" dxfId="1689" priority="2519" operator="containsText" text="Congé">
      <formula>NOT(ISERROR(SEARCH(("Congé"),(LG138))))</formula>
    </cfRule>
    <cfRule type="containsText" dxfId="1688" priority="2514" operator="containsText" text="08:00 - 17:00">
      <formula>NOT(ISERROR(SEARCH(("08:00 - 17:00"),(LG138))))</formula>
    </cfRule>
    <cfRule type="containsText" dxfId="1687" priority="2513" operator="containsText" text="07:00 - 16:00">
      <formula>NOT(ISERROR(SEARCH(("07:00 - 16:00"),(LG138))))</formula>
    </cfRule>
    <cfRule type="containsText" dxfId="1686" priority="2512" operator="containsText" text="14:00 - 23:00">
      <formula>NOT(ISERROR(SEARCH(("14:00 - 23:00"),(LG138))))</formula>
    </cfRule>
    <cfRule type="containsText" dxfId="1685" priority="2511" operator="containsText" text="04:00 - 13:00">
      <formula>NOT(ISERROR(SEARCH(("04:00 - 13:00"),(LG138))))</formula>
    </cfRule>
    <cfRule type="containsText" dxfId="1684" priority="2510" operator="containsText" text="06:00 - 15:00">
      <formula>NOT(ISERROR(SEARCH(("06:00 - 15:00"),(LG138))))</formula>
    </cfRule>
  </conditionalFormatting>
  <conditionalFormatting sqref="KI8">
    <cfRule type="containsText" dxfId="1683" priority="2525" operator="containsText" text="08:00 - 17:00">
      <formula>NOT(ISERROR(SEARCH(("08:00 - 17:00"),(LH134))))</formula>
    </cfRule>
    <cfRule type="containsText" dxfId="1682" priority="2524" operator="containsText" text="07:00 - 16:00">
      <formula>NOT(ISERROR(SEARCH(("07:00 - 16:00"),(LH134))))</formula>
    </cfRule>
    <cfRule type="containsText" dxfId="1681" priority="2530" operator="containsText" text="Congé">
      <formula>NOT(ISERROR(SEARCH(("Congé"),(LH134))))</formula>
    </cfRule>
    <cfRule type="containsText" dxfId="1680" priority="2523" operator="containsText" text="14:00 - 23:00">
      <formula>NOT(ISERROR(SEARCH(("14:00 - 23:00"),(LH134))))</formula>
    </cfRule>
    <cfRule type="containsText" dxfId="1679" priority="2529" operator="containsText" text="12:00 - 21:00">
      <formula>NOT(ISERROR(SEARCH(("12:00 - 21:00"),(LH134))))</formula>
    </cfRule>
    <cfRule type="containsText" dxfId="1678" priority="2528" operator="containsText" text="12H-21H /SCO">
      <formula>NOT(ISERROR(SEARCH(("12H-21H /SCO"),(LH134))))</formula>
    </cfRule>
    <cfRule type="containsText" dxfId="1677" priority="2527" operator="containsText" text="10:00 - 19:00">
      <formula>NOT(ISERROR(SEARCH(("10:00 - 19:00"),(LH134))))</formula>
    </cfRule>
    <cfRule type="containsText" dxfId="1676" priority="2526" operator="containsText" text="09:00 - 18:00">
      <formula>NOT(ISERROR(SEARCH(("09:00 - 18:00"),(LH134))))</formula>
    </cfRule>
    <cfRule type="containsText" dxfId="1675" priority="2520" operator="containsText" text="OFF">
      <formula>NOT(ISERROR(SEARCH(("OFF"),(LH134))))</formula>
    </cfRule>
    <cfRule type="containsText" dxfId="1674" priority="2521" operator="containsText" text="06:00 - 15:00">
      <formula>NOT(ISERROR(SEARCH(("06:00 - 15:00"),(LH134))))</formula>
    </cfRule>
    <cfRule type="containsText" dxfId="1673" priority="2522" operator="containsText" text="04:00 - 13:00">
      <formula>NOT(ISERROR(SEARCH(("04:00 - 13:00"),(LH134))))</formula>
    </cfRule>
  </conditionalFormatting>
  <conditionalFormatting sqref="KI12">
    <cfRule type="containsText" dxfId="1672" priority="2500" operator="containsText" text="04:00 - 13:00">
      <formula>NOT(ISERROR(SEARCH(("04:00 - 13:00"),(LH144))))</formula>
    </cfRule>
    <cfRule type="containsText" dxfId="1671" priority="2505" operator="containsText" text="10:00 - 19:00">
      <formula>NOT(ISERROR(SEARCH(("10:00 - 19:00"),(LH144))))</formula>
    </cfRule>
    <cfRule type="containsText" dxfId="1670" priority="2504" operator="containsText" text="09:00 - 18:00">
      <formula>NOT(ISERROR(SEARCH(("09:00 - 18:00"),(LH144))))</formula>
    </cfRule>
    <cfRule type="containsText" dxfId="1669" priority="2503" operator="containsText" text="08:00 - 17:00">
      <formula>NOT(ISERROR(SEARCH(("08:00 - 17:00"),(LH144))))</formula>
    </cfRule>
    <cfRule type="containsText" dxfId="1668" priority="2502" operator="containsText" text="07:00 - 16:00">
      <formula>NOT(ISERROR(SEARCH(("07:00 - 16:00"),(LH144))))</formula>
    </cfRule>
    <cfRule type="containsText" dxfId="1667" priority="2501" operator="containsText" text="14:00 - 23:00">
      <formula>NOT(ISERROR(SEARCH(("14:00 - 23:00"),(LH144))))</formula>
    </cfRule>
    <cfRule type="containsText" dxfId="1666" priority="2499" operator="containsText" text="06:00 - 15:00">
      <formula>NOT(ISERROR(SEARCH(("06:00 - 15:00"),(LH144))))</formula>
    </cfRule>
    <cfRule type="containsText" dxfId="1665" priority="2498" operator="containsText" text="OFF">
      <formula>NOT(ISERROR(SEARCH(("OFF"),(LH144))))</formula>
    </cfRule>
    <cfRule type="containsText" dxfId="1664" priority="2506" operator="containsText" text="12H-21H /SCO">
      <formula>NOT(ISERROR(SEARCH(("12H-21H /SCO"),(LH144))))</formula>
    </cfRule>
    <cfRule type="containsText" dxfId="1663" priority="2508" operator="containsText" text="Congé">
      <formula>NOT(ISERROR(SEARCH(("Congé"),(LH144))))</formula>
    </cfRule>
    <cfRule type="containsText" dxfId="1662" priority="2507" operator="containsText" text="12:00 - 21:00">
      <formula>NOT(ISERROR(SEARCH(("12:00 - 21:00"),(LH144))))</formula>
    </cfRule>
  </conditionalFormatting>
  <conditionalFormatting sqref="KI18">
    <cfRule type="containsText" dxfId="1661" priority="2008" operator="containsText" text="08:00 - 17:00">
      <formula>NOT(ISERROR(SEARCH(("08:00 - 17:00"),(LH144))))</formula>
    </cfRule>
    <cfRule type="containsText" dxfId="1660" priority="2007" operator="containsText" text="07:00 - 16:00">
      <formula>NOT(ISERROR(SEARCH(("07:00 - 16:00"),(LH144))))</formula>
    </cfRule>
    <cfRule type="containsText" dxfId="1659" priority="2005" operator="containsText" text="04:00 - 13:00">
      <formula>NOT(ISERROR(SEARCH(("04:00 - 13:00"),(LH144))))</formula>
    </cfRule>
    <cfRule type="containsText" dxfId="1658" priority="2010" operator="containsText" text="10:00 - 19:00">
      <formula>NOT(ISERROR(SEARCH(("10:00 - 19:00"),(LH144))))</formula>
    </cfRule>
    <cfRule type="containsText" dxfId="1657" priority="2004" operator="containsText" text="06:00 - 15:00">
      <formula>NOT(ISERROR(SEARCH(("06:00 - 15:00"),(LH144))))</formula>
    </cfRule>
    <cfRule type="containsText" dxfId="1656" priority="2009" operator="containsText" text="09:00 - 18:00">
      <formula>NOT(ISERROR(SEARCH(("09:00 - 18:00"),(LH144))))</formula>
    </cfRule>
    <cfRule type="containsText" dxfId="1655" priority="2012" operator="containsText" text="12:00 - 21:00">
      <formula>NOT(ISERROR(SEARCH(("12:00 - 21:00"),(LH144))))</formula>
    </cfRule>
    <cfRule type="containsText" dxfId="1654" priority="2011" operator="containsText" text="12H-21H /SCO">
      <formula>NOT(ISERROR(SEARCH(("12H-21H /SCO"),(LH144))))</formula>
    </cfRule>
    <cfRule type="containsText" dxfId="1653" priority="2003" operator="containsText" text="OFF">
      <formula>NOT(ISERROR(SEARCH(("OFF"),(LH144))))</formula>
    </cfRule>
    <cfRule type="containsText" dxfId="1652" priority="2006" operator="containsText" text="14:00 - 23:00">
      <formula>NOT(ISERROR(SEARCH(("14:00 - 23:00"),(LH144))))</formula>
    </cfRule>
    <cfRule type="containsText" dxfId="1651" priority="2013" operator="containsText" text="Congé">
      <formula>NOT(ISERROR(SEARCH(("Congé"),(LH144))))</formula>
    </cfRule>
  </conditionalFormatting>
  <conditionalFormatting sqref="KJ10">
    <cfRule type="containsText" dxfId="1650" priority="2335" operator="containsText" text="04:00 - 13:00">
      <formula>NOT(ISERROR(SEARCH(("04:00 - 13:00"),(LI215))))</formula>
    </cfRule>
    <cfRule type="containsText" dxfId="1649" priority="2338" operator="containsText" text="08:00 - 17:00">
      <formula>NOT(ISERROR(SEARCH(("08:00 - 17:00"),(LI215))))</formula>
    </cfRule>
    <cfRule type="containsText" dxfId="1648" priority="2339" operator="containsText" text="09:00 - 18:00">
      <formula>NOT(ISERROR(SEARCH(("09:00 - 18:00"),(LI215))))</formula>
    </cfRule>
    <cfRule type="containsText" dxfId="1647" priority="2340" operator="containsText" text="10:00 - 19:00">
      <formula>NOT(ISERROR(SEARCH(("10:00 - 19:00"),(LI215))))</formula>
    </cfRule>
    <cfRule type="containsText" dxfId="1646" priority="2341" operator="containsText" text="12H-21H /SCO">
      <formula>NOT(ISERROR(SEARCH(("12H-21H /SCO"),(LI215))))</formula>
    </cfRule>
    <cfRule type="containsText" dxfId="1645" priority="2342" operator="containsText" text="12:00 - 21:00">
      <formula>NOT(ISERROR(SEARCH(("12:00 - 21:00"),(LI215))))</formula>
    </cfRule>
    <cfRule type="containsText" dxfId="1644" priority="2343" operator="containsText" text="Congé">
      <formula>NOT(ISERROR(SEARCH(("Congé"),(LI215))))</formula>
    </cfRule>
    <cfRule type="containsText" dxfId="1643" priority="2337" operator="containsText" text="07:00 - 16:00">
      <formula>NOT(ISERROR(SEARCH(("07:00 - 16:00"),(LI215))))</formula>
    </cfRule>
    <cfRule type="containsText" dxfId="1642" priority="2333" operator="containsText" text="OFF">
      <formula>NOT(ISERROR(SEARCH(("OFF"),(LI215))))</formula>
    </cfRule>
    <cfRule type="containsText" dxfId="1641" priority="2334" operator="containsText" text="06:00 - 15:00">
      <formula>NOT(ISERROR(SEARCH(("06:00 - 15:00"),(LI215))))</formula>
    </cfRule>
    <cfRule type="containsText" dxfId="1640" priority="2336" operator="containsText" text="14:00 - 23:00">
      <formula>NOT(ISERROR(SEARCH(("14:00 - 23:00"),(LI215))))</formula>
    </cfRule>
  </conditionalFormatting>
  <conditionalFormatting sqref="KJ15:KK15">
    <cfRule type="containsText" dxfId="1639" priority="2273" operator="containsText" text="09:00 - 18:00">
      <formula>NOT(ISERROR(SEARCH(("09:00 - 18:00"),(LI215))))</formula>
    </cfRule>
    <cfRule type="containsText" dxfId="1638" priority="2274" operator="containsText" text="10:00 - 19:00">
      <formula>NOT(ISERROR(SEARCH(("10:00 - 19:00"),(LI215))))</formula>
    </cfRule>
    <cfRule type="containsText" dxfId="1637" priority="2275" operator="containsText" text="12H-21H /SCO">
      <formula>NOT(ISERROR(SEARCH(("12H-21H /SCO"),(LI215))))</formula>
    </cfRule>
    <cfRule type="containsText" dxfId="1636" priority="2276" operator="containsText" text="12:00 - 21:00">
      <formula>NOT(ISERROR(SEARCH(("12:00 - 21:00"),(LI215))))</formula>
    </cfRule>
    <cfRule type="containsText" dxfId="1635" priority="2277" operator="containsText" text="Congé">
      <formula>NOT(ISERROR(SEARCH(("Congé"),(LI215))))</formula>
    </cfRule>
    <cfRule type="containsText" dxfId="1634" priority="2272" operator="containsText" text="08:00 - 17:00">
      <formula>NOT(ISERROR(SEARCH(("08:00 - 17:00"),(LI215))))</formula>
    </cfRule>
    <cfRule type="containsText" dxfId="1633" priority="2267" operator="containsText" text="OFF">
      <formula>NOT(ISERROR(SEARCH(("OFF"),(LI215))))</formula>
    </cfRule>
    <cfRule type="containsText" dxfId="1632" priority="2268" operator="containsText" text="06:00 - 15:00">
      <formula>NOT(ISERROR(SEARCH(("06:00 - 15:00"),(LI215))))</formula>
    </cfRule>
    <cfRule type="containsText" dxfId="1631" priority="2269" operator="containsText" text="04:00 - 13:00">
      <formula>NOT(ISERROR(SEARCH(("04:00 - 13:00"),(LI215))))</formula>
    </cfRule>
    <cfRule type="containsText" dxfId="1630" priority="2270" operator="containsText" text="14:00 - 23:00">
      <formula>NOT(ISERROR(SEARCH(("14:00 - 23:00"),(LI215))))</formula>
    </cfRule>
    <cfRule type="containsText" dxfId="1629" priority="2271" operator="containsText" text="07:00 - 16:00">
      <formula>NOT(ISERROR(SEARCH(("07:00 - 16:00"),(LI215))))</formula>
    </cfRule>
  </conditionalFormatting>
  <conditionalFormatting sqref="KJ16:KK16">
    <cfRule type="containsText" dxfId="1628" priority="2396" operator="containsText" text="12H-21H /SCO">
      <formula>NOT(ISERROR(SEARCH(("12H-21H /SCO"),(LI142))))</formula>
    </cfRule>
    <cfRule type="containsText" dxfId="1627" priority="2389" operator="containsText" text="06:00 - 15:00">
      <formula>NOT(ISERROR(SEARCH(("06:00 - 15:00"),(LI142))))</formula>
    </cfRule>
    <cfRule type="containsText" dxfId="1626" priority="2390" operator="containsText" text="04:00 - 13:00">
      <formula>NOT(ISERROR(SEARCH(("04:00 - 13:00"),(LI142))))</formula>
    </cfRule>
    <cfRule type="containsText" dxfId="1625" priority="2391" operator="containsText" text="14:00 - 23:00">
      <formula>NOT(ISERROR(SEARCH(("14:00 - 23:00"),(LI142))))</formula>
    </cfRule>
    <cfRule type="containsText" dxfId="1624" priority="2394" operator="containsText" text="09:00 - 18:00">
      <formula>NOT(ISERROR(SEARCH(("09:00 - 18:00"),(LI142))))</formula>
    </cfRule>
    <cfRule type="containsText" dxfId="1623" priority="2392" operator="containsText" text="07:00 - 16:00">
      <formula>NOT(ISERROR(SEARCH(("07:00 - 16:00"),(LI142))))</formula>
    </cfRule>
    <cfRule type="containsText" dxfId="1622" priority="2398" operator="containsText" text="Congé">
      <formula>NOT(ISERROR(SEARCH(("Congé"),(LI142))))</formula>
    </cfRule>
    <cfRule type="containsText" dxfId="1621" priority="2393" operator="containsText" text="08:00 - 17:00">
      <formula>NOT(ISERROR(SEARCH(("08:00 - 17:00"),(LI142))))</formula>
    </cfRule>
    <cfRule type="containsText" dxfId="1620" priority="2395" operator="containsText" text="10:00 - 19:00">
      <formula>NOT(ISERROR(SEARCH(("10:00 - 19:00"),(LI142))))</formula>
    </cfRule>
    <cfRule type="containsText" dxfId="1619" priority="2397" operator="containsText" text="12:00 - 21:00">
      <formula>NOT(ISERROR(SEARCH(("12:00 - 21:00"),(LI142))))</formula>
    </cfRule>
    <cfRule type="containsText" dxfId="1618" priority="2388" operator="containsText" text="OFF">
      <formula>NOT(ISERROR(SEARCH(("OFF"),(LI142))))</formula>
    </cfRule>
  </conditionalFormatting>
  <conditionalFormatting sqref="KK10">
    <cfRule type="containsText" dxfId="1617" priority="2346" operator="containsText" text="04:00 - 13:00">
      <formula>NOT(ISERROR(SEARCH(("04:00 - 13:00"),(LJ214))))</formula>
    </cfRule>
    <cfRule type="containsText" dxfId="1616" priority="2345" operator="containsText" text="06:00 - 15:00">
      <formula>NOT(ISERROR(SEARCH(("06:00 - 15:00"),(LJ214))))</formula>
    </cfRule>
    <cfRule type="containsText" dxfId="1615" priority="2344" operator="containsText" text="OFF">
      <formula>NOT(ISERROR(SEARCH(("OFF"),(LJ214))))</formula>
    </cfRule>
    <cfRule type="containsText" dxfId="1614" priority="2350" operator="containsText" text="09:00 - 18:00">
      <formula>NOT(ISERROR(SEARCH(("09:00 - 18:00"),(LJ214))))</formula>
    </cfRule>
    <cfRule type="containsText" dxfId="1613" priority="2354" operator="containsText" text="Congé">
      <formula>NOT(ISERROR(SEARCH(("Congé"),(LJ214))))</formula>
    </cfRule>
    <cfRule type="containsText" dxfId="1612" priority="2353" operator="containsText" text="12:00 - 21:00">
      <formula>NOT(ISERROR(SEARCH(("12:00 - 21:00"),(LJ214))))</formula>
    </cfRule>
    <cfRule type="containsText" dxfId="1611" priority="2347" operator="containsText" text="14:00 - 23:00">
      <formula>NOT(ISERROR(SEARCH(("14:00 - 23:00"),(LJ214))))</formula>
    </cfRule>
    <cfRule type="containsText" dxfId="1610" priority="2348" operator="containsText" text="07:00 - 16:00">
      <formula>NOT(ISERROR(SEARCH(("07:00 - 16:00"),(LJ214))))</formula>
    </cfRule>
    <cfRule type="containsText" dxfId="1609" priority="2349" operator="containsText" text="08:00 - 17:00">
      <formula>NOT(ISERROR(SEARCH(("08:00 - 17:00"),(LJ214))))</formula>
    </cfRule>
    <cfRule type="containsText" dxfId="1608" priority="2351" operator="containsText" text="10:00 - 19:00">
      <formula>NOT(ISERROR(SEARCH(("10:00 - 19:00"),(LJ214))))</formula>
    </cfRule>
    <cfRule type="containsText" dxfId="1607" priority="2352" operator="containsText" text="12H-21H /SCO">
      <formula>NOT(ISERROR(SEARCH(("12H-21H /SCO"),(LJ214))))</formula>
    </cfRule>
  </conditionalFormatting>
  <conditionalFormatting sqref="KK19">
    <cfRule type="containsText" dxfId="1606" priority="2266" operator="containsText" text="Congé">
      <formula>NOT(ISERROR(SEARCH(("Congé"),(LJ219))))</formula>
    </cfRule>
    <cfRule type="containsText" dxfId="1605" priority="2265" operator="containsText" text="12:00 - 21:00">
      <formula>NOT(ISERROR(SEARCH(("12:00 - 21:00"),(LJ219))))</formula>
    </cfRule>
    <cfRule type="containsText" dxfId="1604" priority="2264" operator="containsText" text="12H-21H /SCO">
      <formula>NOT(ISERROR(SEARCH(("12H-21H /SCO"),(LJ219))))</formula>
    </cfRule>
    <cfRule type="containsText" dxfId="1603" priority="2263" operator="containsText" text="10:00 - 19:00">
      <formula>NOT(ISERROR(SEARCH(("10:00 - 19:00"),(LJ219))))</formula>
    </cfRule>
    <cfRule type="containsText" dxfId="1602" priority="2262" operator="containsText" text="09:00 - 18:00">
      <formula>NOT(ISERROR(SEARCH(("09:00 - 18:00"),(LJ219))))</formula>
    </cfRule>
    <cfRule type="containsText" dxfId="1601" priority="2259" operator="containsText" text="14:00 - 23:00">
      <formula>NOT(ISERROR(SEARCH(("14:00 - 23:00"),(LJ219))))</formula>
    </cfRule>
    <cfRule type="containsText" dxfId="1600" priority="2258" operator="containsText" text="04:00 - 13:00">
      <formula>NOT(ISERROR(SEARCH(("04:00 - 13:00"),(LJ219))))</formula>
    </cfRule>
    <cfRule type="containsText" dxfId="1599" priority="2257" operator="containsText" text="06:00 - 15:00">
      <formula>NOT(ISERROR(SEARCH(("06:00 - 15:00"),(LJ219))))</formula>
    </cfRule>
    <cfRule type="containsText" dxfId="1598" priority="2260" operator="containsText" text="07:00 - 16:00">
      <formula>NOT(ISERROR(SEARCH(("07:00 - 16:00"),(LJ219))))</formula>
    </cfRule>
    <cfRule type="containsText" dxfId="1597" priority="2256" operator="containsText" text="OFF">
      <formula>NOT(ISERROR(SEARCH(("OFF"),(LJ219))))</formula>
    </cfRule>
    <cfRule type="containsText" dxfId="1596" priority="2261" operator="containsText" text="08:00 - 17:00">
      <formula>NOT(ISERROR(SEARCH(("08:00 - 17:00"),(LJ219))))</formula>
    </cfRule>
  </conditionalFormatting>
  <conditionalFormatting sqref="KL11">
    <cfRule type="containsText" dxfId="1595" priority="2437" operator="containsText" text="08:00 - 17:00">
      <formula>NOT(ISERROR(SEARCH(("08:00 - 17:00"),(LK145))))</formula>
    </cfRule>
    <cfRule type="containsText" dxfId="1594" priority="2434" operator="containsText" text="04:00 - 13:00">
      <formula>NOT(ISERROR(SEARCH(("04:00 - 13:00"),(LK145))))</formula>
    </cfRule>
    <cfRule type="containsText" dxfId="1593" priority="2433" operator="containsText" text="06:00 - 15:00">
      <formula>NOT(ISERROR(SEARCH(("06:00 - 15:00"),(LK145))))</formula>
    </cfRule>
    <cfRule type="containsText" dxfId="1592" priority="2438" operator="containsText" text="09:00 - 18:00">
      <formula>NOT(ISERROR(SEARCH(("09:00 - 18:00"),(LK145))))</formula>
    </cfRule>
    <cfRule type="containsText" dxfId="1591" priority="2435" operator="containsText" text="14:00 - 23:00">
      <formula>NOT(ISERROR(SEARCH(("14:00 - 23:00"),(LK145))))</formula>
    </cfRule>
    <cfRule type="containsText" dxfId="1590" priority="2436" operator="containsText" text="07:00 - 16:00">
      <formula>NOT(ISERROR(SEARCH(("07:00 - 16:00"),(LK145))))</formula>
    </cfRule>
    <cfRule type="containsText" dxfId="1589" priority="2442" operator="containsText" text="Congé">
      <formula>NOT(ISERROR(SEARCH(("Congé"),(LK145))))</formula>
    </cfRule>
    <cfRule type="containsText" dxfId="1588" priority="2432" operator="containsText" text="OFF">
      <formula>NOT(ISERROR(SEARCH(("OFF"),(LK145))))</formula>
    </cfRule>
    <cfRule type="containsText" dxfId="1587" priority="2439" operator="containsText" text="10:00 - 19:00">
      <formula>NOT(ISERROR(SEARCH(("10:00 - 19:00"),(LK145))))</formula>
    </cfRule>
    <cfRule type="containsText" dxfId="1586" priority="2440" operator="containsText" text="12H-21H /SCO">
      <formula>NOT(ISERROR(SEARCH(("12H-21H /SCO"),(LK145))))</formula>
    </cfRule>
    <cfRule type="containsText" dxfId="1585" priority="2441" operator="containsText" text="12:00 - 21:00">
      <formula>NOT(ISERROR(SEARCH(("12:00 - 21:00"),(LK145))))</formula>
    </cfRule>
  </conditionalFormatting>
  <conditionalFormatting sqref="KL12">
    <cfRule type="containsText" dxfId="1584" priority="2406" operator="containsText" text="10:00 - 19:00">
      <formula>NOT(ISERROR(SEARCH(("10:00 - 19:00"),(LK142))))</formula>
    </cfRule>
    <cfRule type="containsText" dxfId="1583" priority="2407" operator="containsText" text="12H-21H /SCO">
      <formula>NOT(ISERROR(SEARCH(("12H-21H /SCO"),(LK142))))</formula>
    </cfRule>
    <cfRule type="containsText" dxfId="1582" priority="2408" operator="containsText" text="12:00 - 21:00">
      <formula>NOT(ISERROR(SEARCH(("12:00 - 21:00"),(LK142))))</formula>
    </cfRule>
    <cfRule type="containsText" dxfId="1581" priority="2409" operator="containsText" text="Congé">
      <formula>NOT(ISERROR(SEARCH(("Congé"),(LK142))))</formula>
    </cfRule>
    <cfRule type="containsText" dxfId="1580" priority="2399" operator="containsText" text="OFF">
      <formula>NOT(ISERROR(SEARCH(("OFF"),(LK142))))</formula>
    </cfRule>
    <cfRule type="containsText" dxfId="1579" priority="2400" operator="containsText" text="06:00 - 15:00">
      <formula>NOT(ISERROR(SEARCH(("06:00 - 15:00"),(LK142))))</formula>
    </cfRule>
    <cfRule type="containsText" dxfId="1578" priority="2401" operator="containsText" text="04:00 - 13:00">
      <formula>NOT(ISERROR(SEARCH(("04:00 - 13:00"),(LK142))))</formula>
    </cfRule>
    <cfRule type="containsText" dxfId="1577" priority="2402" operator="containsText" text="14:00 - 23:00">
      <formula>NOT(ISERROR(SEARCH(("14:00 - 23:00"),(LK142))))</formula>
    </cfRule>
    <cfRule type="containsText" dxfId="1576" priority="2403" operator="containsText" text="07:00 - 16:00">
      <formula>NOT(ISERROR(SEARCH(("07:00 - 16:00"),(LK142))))</formula>
    </cfRule>
    <cfRule type="containsText" dxfId="1575" priority="2404" operator="containsText" text="08:00 - 17:00">
      <formula>NOT(ISERROR(SEARCH(("08:00 - 17:00"),(LK142))))</formula>
    </cfRule>
    <cfRule type="containsText" dxfId="1574" priority="2405" operator="containsText" text="09:00 - 18:00">
      <formula>NOT(ISERROR(SEARCH(("09:00 - 18:00"),(LK142))))</formula>
    </cfRule>
  </conditionalFormatting>
  <conditionalFormatting sqref="KL17">
    <cfRule type="containsText" dxfId="1573" priority="2384" operator="containsText" text="10:00 - 19:00">
      <formula>NOT(ISERROR(SEARCH(("10:00 - 19:00"),(LK215))))</formula>
    </cfRule>
    <cfRule type="containsText" dxfId="1572" priority="2383" operator="containsText" text="09:00 - 18:00">
      <formula>NOT(ISERROR(SEARCH(("09:00 - 18:00"),(LK215))))</formula>
    </cfRule>
    <cfRule type="containsText" dxfId="1571" priority="2382" operator="containsText" text="08:00 - 17:00">
      <formula>NOT(ISERROR(SEARCH(("08:00 - 17:00"),(LK215))))</formula>
    </cfRule>
    <cfRule type="containsText" dxfId="1570" priority="2381" operator="containsText" text="07:00 - 16:00">
      <formula>NOT(ISERROR(SEARCH(("07:00 - 16:00"),(LK215))))</formula>
    </cfRule>
    <cfRule type="containsText" dxfId="1569" priority="2380" operator="containsText" text="14:00 - 23:00">
      <formula>NOT(ISERROR(SEARCH(("14:00 - 23:00"),(LK215))))</formula>
    </cfRule>
    <cfRule type="containsText" dxfId="1568" priority="2379" operator="containsText" text="04:00 - 13:00">
      <formula>NOT(ISERROR(SEARCH(("04:00 - 13:00"),(LK215))))</formula>
    </cfRule>
    <cfRule type="containsText" dxfId="1567" priority="2386" operator="containsText" text="12:00 - 21:00">
      <formula>NOT(ISERROR(SEARCH(("12:00 - 21:00"),(LK215))))</formula>
    </cfRule>
    <cfRule type="containsText" dxfId="1566" priority="2387" operator="containsText" text="Congé">
      <formula>NOT(ISERROR(SEARCH(("Congé"),(LK215))))</formula>
    </cfRule>
    <cfRule type="containsText" dxfId="1565" priority="2385" operator="containsText" text="12H-21H /SCO">
      <formula>NOT(ISERROR(SEARCH(("12H-21H /SCO"),(LK215))))</formula>
    </cfRule>
    <cfRule type="containsText" dxfId="1564" priority="2378" operator="containsText" text="06:00 - 15:00">
      <formula>NOT(ISERROR(SEARCH(("06:00 - 15:00"),(LK215))))</formula>
    </cfRule>
    <cfRule type="containsText" dxfId="1563" priority="2377" operator="containsText" text="OFF">
      <formula>NOT(ISERROR(SEARCH(("OFF"),(LK215))))</formula>
    </cfRule>
  </conditionalFormatting>
  <conditionalFormatting sqref="KM7">
    <cfRule type="containsText" dxfId="1562" priority="2416" operator="containsText" text="09:00 - 18:00">
      <formula>NOT(ISERROR(SEARCH(("09:00 - 18:00"),(LL219))))</formula>
    </cfRule>
    <cfRule type="containsText" dxfId="1561" priority="2417" operator="containsText" text="10:00 - 19:00">
      <formula>NOT(ISERROR(SEARCH(("10:00 - 19:00"),(LL219))))</formula>
    </cfRule>
    <cfRule type="containsText" dxfId="1560" priority="2418" operator="containsText" text="12H-21H /SCO">
      <formula>NOT(ISERROR(SEARCH(("12H-21H /SCO"),(LL219))))</formula>
    </cfRule>
    <cfRule type="containsText" dxfId="1559" priority="2419" operator="containsText" text="12:00 - 21:00">
      <formula>NOT(ISERROR(SEARCH(("12:00 - 21:00"),(LL219))))</formula>
    </cfRule>
    <cfRule type="containsText" dxfId="1558" priority="2420" operator="containsText" text="Congé">
      <formula>NOT(ISERROR(SEARCH(("Congé"),(LL219))))</formula>
    </cfRule>
    <cfRule type="containsText" dxfId="1557" priority="2415" operator="containsText" text="08:00 - 17:00">
      <formula>NOT(ISERROR(SEARCH(("08:00 - 17:00"),(LL219))))</formula>
    </cfRule>
    <cfRule type="containsText" dxfId="1556" priority="2410" operator="containsText" text="OFF">
      <formula>NOT(ISERROR(SEARCH(("OFF"),(LL219))))</formula>
    </cfRule>
    <cfRule type="containsText" dxfId="1555" priority="2411" operator="containsText" text="06:00 - 15:00">
      <formula>NOT(ISERROR(SEARCH(("06:00 - 15:00"),(LL219))))</formula>
    </cfRule>
    <cfRule type="containsText" dxfId="1554" priority="2412" operator="containsText" text="04:00 - 13:00">
      <formula>NOT(ISERROR(SEARCH(("04:00 - 13:00"),(LL219))))</formula>
    </cfRule>
    <cfRule type="containsText" dxfId="1553" priority="2413" operator="containsText" text="14:00 - 23:00">
      <formula>NOT(ISERROR(SEARCH(("14:00 - 23:00"),(LL219))))</formula>
    </cfRule>
    <cfRule type="containsText" dxfId="1552" priority="2414" operator="containsText" text="07:00 - 16:00">
      <formula>NOT(ISERROR(SEARCH(("07:00 - 16:00"),(LL219))))</formula>
    </cfRule>
  </conditionalFormatting>
  <conditionalFormatting sqref="KM16:KN16">
    <cfRule type="containsText" dxfId="1551" priority="2451" operator="containsText" text="12H-21H /SCO">
      <formula>NOT(ISERROR(SEARCH(("12H-21H /SCO"),(LL142))))</formula>
    </cfRule>
    <cfRule type="containsText" dxfId="1550" priority="2445" operator="containsText" text="04:00 - 13:00">
      <formula>NOT(ISERROR(SEARCH(("04:00 - 13:00"),(LL142))))</formula>
    </cfRule>
    <cfRule type="containsText" dxfId="1549" priority="2444" operator="containsText" text="06:00 - 15:00">
      <formula>NOT(ISERROR(SEARCH(("06:00 - 15:00"),(LL142))))</formula>
    </cfRule>
    <cfRule type="containsText" dxfId="1548" priority="2450" operator="containsText" text="10:00 - 19:00">
      <formula>NOT(ISERROR(SEARCH(("10:00 - 19:00"),(LL142))))</formula>
    </cfRule>
    <cfRule type="containsText" dxfId="1547" priority="2443" operator="containsText" text="OFF">
      <formula>NOT(ISERROR(SEARCH(("OFF"),(LL142))))</formula>
    </cfRule>
    <cfRule type="containsText" dxfId="1546" priority="2449" operator="containsText" text="09:00 - 18:00">
      <formula>NOT(ISERROR(SEARCH(("09:00 - 18:00"),(LL142))))</formula>
    </cfRule>
    <cfRule type="containsText" dxfId="1545" priority="2448" operator="containsText" text="08:00 - 17:00">
      <formula>NOT(ISERROR(SEARCH(("08:00 - 17:00"),(LL142))))</formula>
    </cfRule>
    <cfRule type="containsText" dxfId="1544" priority="2447" operator="containsText" text="07:00 - 16:00">
      <formula>NOT(ISERROR(SEARCH(("07:00 - 16:00"),(LL142))))</formula>
    </cfRule>
    <cfRule type="containsText" dxfId="1543" priority="2452" operator="containsText" text="12:00 - 21:00">
      <formula>NOT(ISERROR(SEARCH(("12:00 - 21:00"),(LL142))))</formula>
    </cfRule>
    <cfRule type="containsText" dxfId="1542" priority="2446" operator="containsText" text="14:00 - 23:00">
      <formula>NOT(ISERROR(SEARCH(("14:00 - 23:00"),(LL142))))</formula>
    </cfRule>
    <cfRule type="containsText" dxfId="1541" priority="2453" operator="containsText" text="Congé">
      <formula>NOT(ISERROR(SEARCH(("Congé"),(LL142))))</formula>
    </cfRule>
  </conditionalFormatting>
  <conditionalFormatting sqref="KM18:KN18">
    <cfRule type="containsText" dxfId="1540" priority="2329" operator="containsText" text="10:00 - 19:00">
      <formula>NOT(ISERROR(SEARCH(("10:00 - 19:00"),(LL215))))</formula>
    </cfRule>
    <cfRule type="containsText" dxfId="1539" priority="2332" operator="containsText" text="Congé">
      <formula>NOT(ISERROR(SEARCH(("Congé"),(LL215))))</formula>
    </cfRule>
    <cfRule type="containsText" dxfId="1538" priority="2331" operator="containsText" text="12:00 - 21:00">
      <formula>NOT(ISERROR(SEARCH(("12:00 - 21:00"),(LL215))))</formula>
    </cfRule>
    <cfRule type="containsText" dxfId="1537" priority="2330" operator="containsText" text="12H-21H /SCO">
      <formula>NOT(ISERROR(SEARCH(("12H-21H /SCO"),(LL215))))</formula>
    </cfRule>
    <cfRule type="containsText" dxfId="1536" priority="2328" operator="containsText" text="09:00 - 18:00">
      <formula>NOT(ISERROR(SEARCH(("09:00 - 18:00"),(LL215))))</formula>
    </cfRule>
    <cfRule type="containsText" dxfId="1535" priority="2327" operator="containsText" text="08:00 - 17:00">
      <formula>NOT(ISERROR(SEARCH(("08:00 - 17:00"),(LL215))))</formula>
    </cfRule>
    <cfRule type="containsText" dxfId="1534" priority="2326" operator="containsText" text="07:00 - 16:00">
      <formula>NOT(ISERROR(SEARCH(("07:00 - 16:00"),(LL215))))</formula>
    </cfRule>
    <cfRule type="containsText" dxfId="1533" priority="2325" operator="containsText" text="14:00 - 23:00">
      <formula>NOT(ISERROR(SEARCH(("14:00 - 23:00"),(LL215))))</formula>
    </cfRule>
    <cfRule type="containsText" dxfId="1532" priority="2324" operator="containsText" text="04:00 - 13:00">
      <formula>NOT(ISERROR(SEARCH(("04:00 - 13:00"),(LL215))))</formula>
    </cfRule>
    <cfRule type="containsText" dxfId="1531" priority="2323" operator="containsText" text="06:00 - 15:00">
      <formula>NOT(ISERROR(SEARCH(("06:00 - 15:00"),(LL215))))</formula>
    </cfRule>
    <cfRule type="containsText" dxfId="1530" priority="2322" operator="containsText" text="OFF">
      <formula>NOT(ISERROR(SEARCH(("OFF"),(LL215))))</formula>
    </cfRule>
  </conditionalFormatting>
  <conditionalFormatting sqref="KM13:KO13">
    <cfRule type="containsText" dxfId="1529" priority="2425" operator="containsText" text="07:00 - 16:00">
      <formula>NOT(ISERROR(SEARCH(("07:00 - 16:00"),(LL214))))</formula>
    </cfRule>
    <cfRule type="containsText" dxfId="1528" priority="2429" operator="containsText" text="12H-21H /SCO">
      <formula>NOT(ISERROR(SEARCH(("12H-21H /SCO"),(LL214))))</formula>
    </cfRule>
    <cfRule type="containsText" dxfId="1527" priority="2430" operator="containsText" text="12:00 - 21:00">
      <formula>NOT(ISERROR(SEARCH(("12:00 - 21:00"),(LL214))))</formula>
    </cfRule>
    <cfRule type="containsText" dxfId="1526" priority="2431" operator="containsText" text="Congé">
      <formula>NOT(ISERROR(SEARCH(("Congé"),(LL214))))</formula>
    </cfRule>
    <cfRule type="containsText" dxfId="1525" priority="2421" operator="containsText" text="OFF">
      <formula>NOT(ISERROR(SEARCH(("OFF"),(LL214))))</formula>
    </cfRule>
    <cfRule type="containsText" dxfId="1524" priority="2422" operator="containsText" text="06:00 - 15:00">
      <formula>NOT(ISERROR(SEARCH(("06:00 - 15:00"),(LL214))))</formula>
    </cfRule>
    <cfRule type="containsText" dxfId="1523" priority="2423" operator="containsText" text="04:00 - 13:00">
      <formula>NOT(ISERROR(SEARCH(("04:00 - 13:00"),(LL214))))</formula>
    </cfRule>
    <cfRule type="containsText" dxfId="1522" priority="2424" operator="containsText" text="14:00 - 23:00">
      <formula>NOT(ISERROR(SEARCH(("14:00 - 23:00"),(LL214))))</formula>
    </cfRule>
    <cfRule type="containsText" dxfId="1521" priority="2426" operator="containsText" text="08:00 - 17:00">
      <formula>NOT(ISERROR(SEARCH(("08:00 - 17:00"),(LL214))))</formula>
    </cfRule>
    <cfRule type="containsText" dxfId="1520" priority="2427" operator="containsText" text="09:00 - 18:00">
      <formula>NOT(ISERROR(SEARCH(("09:00 - 18:00"),(LL214))))</formula>
    </cfRule>
    <cfRule type="containsText" dxfId="1519" priority="2428" operator="containsText" text="10:00 - 19:00">
      <formula>NOT(ISERROR(SEARCH(("10:00 - 19:00"),(LL214))))</formula>
    </cfRule>
  </conditionalFormatting>
  <conditionalFormatting sqref="KN8">
    <cfRule type="containsText" dxfId="1518" priority="2286" operator="containsText" text="12H-21H /SCO">
      <formula>NOT(ISERROR(SEARCH(("12H-21H /SCO"),(LM222))))</formula>
    </cfRule>
    <cfRule type="containsText" dxfId="1517" priority="2285" operator="containsText" text="10:00 - 19:00">
      <formula>NOT(ISERROR(SEARCH(("10:00 - 19:00"),(LM222))))</formula>
    </cfRule>
    <cfRule type="containsText" dxfId="1516" priority="2284" operator="containsText" text="09:00 - 18:00">
      <formula>NOT(ISERROR(SEARCH(("09:00 - 18:00"),(LM222))))</formula>
    </cfRule>
    <cfRule type="containsText" dxfId="1515" priority="2287" operator="containsText" text="12:00 - 21:00">
      <formula>NOT(ISERROR(SEARCH(("12:00 - 21:00"),(LM222))))</formula>
    </cfRule>
    <cfRule type="containsText" dxfId="1514" priority="2283" operator="containsText" text="08:00 - 17:00">
      <formula>NOT(ISERROR(SEARCH(("08:00 - 17:00"),(LM222))))</formula>
    </cfRule>
    <cfRule type="containsText" dxfId="1513" priority="2281" operator="containsText" text="14:00 - 23:00">
      <formula>NOT(ISERROR(SEARCH(("14:00 - 23:00"),(LM222))))</formula>
    </cfRule>
    <cfRule type="containsText" dxfId="1512" priority="2282" operator="containsText" text="07:00 - 16:00">
      <formula>NOT(ISERROR(SEARCH(("07:00 - 16:00"),(LM222))))</formula>
    </cfRule>
    <cfRule type="containsText" dxfId="1511" priority="2280" operator="containsText" text="04:00 - 13:00">
      <formula>NOT(ISERROR(SEARCH(("04:00 - 13:00"),(LM222))))</formula>
    </cfRule>
    <cfRule type="containsText" dxfId="1510" priority="2279" operator="containsText" text="06:00 - 15:00">
      <formula>NOT(ISERROR(SEARCH(("06:00 - 15:00"),(LM222))))</formula>
    </cfRule>
    <cfRule type="containsText" dxfId="1509" priority="2288" operator="containsText" text="Congé">
      <formula>NOT(ISERROR(SEARCH(("Congé"),(LM222))))</formula>
    </cfRule>
    <cfRule type="containsText" dxfId="1508" priority="2278" operator="containsText" text="OFF">
      <formula>NOT(ISERROR(SEARCH(("OFF"),(LM222))))</formula>
    </cfRule>
  </conditionalFormatting>
  <conditionalFormatting sqref="KN10">
    <cfRule type="containsText" dxfId="1507" priority="2359" operator="containsText" text="07:00 - 16:00">
      <formula>NOT(ISERROR(SEARCH(("07:00 - 16:00"),(LM215))))</formula>
    </cfRule>
    <cfRule type="containsText" dxfId="1506" priority="2357" operator="containsText" text="04:00 - 13:00">
      <formula>NOT(ISERROR(SEARCH(("04:00 - 13:00"),(LM215))))</formula>
    </cfRule>
    <cfRule type="containsText" dxfId="1505" priority="2356" operator="containsText" text="06:00 - 15:00">
      <formula>NOT(ISERROR(SEARCH(("06:00 - 15:00"),(LM215))))</formula>
    </cfRule>
    <cfRule type="containsText" dxfId="1504" priority="2361" operator="containsText" text="09:00 - 18:00">
      <formula>NOT(ISERROR(SEARCH(("09:00 - 18:00"),(LM215))))</formula>
    </cfRule>
    <cfRule type="containsText" dxfId="1503" priority="2362" operator="containsText" text="10:00 - 19:00">
      <formula>NOT(ISERROR(SEARCH(("10:00 - 19:00"),(LM215))))</formula>
    </cfRule>
    <cfRule type="containsText" dxfId="1502" priority="2363" operator="containsText" text="12H-21H /SCO">
      <formula>NOT(ISERROR(SEARCH(("12H-21H /SCO"),(LM215))))</formula>
    </cfRule>
    <cfRule type="containsText" dxfId="1501" priority="2364" operator="containsText" text="12:00 - 21:00">
      <formula>NOT(ISERROR(SEARCH(("12:00 - 21:00"),(LM215))))</formula>
    </cfRule>
    <cfRule type="containsText" dxfId="1500" priority="2365" operator="containsText" text="Congé">
      <formula>NOT(ISERROR(SEARCH(("Congé"),(LM215))))</formula>
    </cfRule>
    <cfRule type="containsText" dxfId="1499" priority="2358" operator="containsText" text="14:00 - 23:00">
      <formula>NOT(ISERROR(SEARCH(("14:00 - 23:00"),(LM215))))</formula>
    </cfRule>
    <cfRule type="containsText" dxfId="1498" priority="2360" operator="containsText" text="08:00 - 17:00">
      <formula>NOT(ISERROR(SEARCH(("08:00 - 17:00"),(LM215))))</formula>
    </cfRule>
    <cfRule type="containsText" dxfId="1497" priority="2355" operator="containsText" text="OFF">
      <formula>NOT(ISERROR(SEARCH(("OFF"),(LM215))))</formula>
    </cfRule>
  </conditionalFormatting>
  <conditionalFormatting sqref="KO15">
    <cfRule type="containsText" dxfId="1496" priority="2366" operator="containsText" text="OFF">
      <formula>NOT(ISERROR(SEARCH(("OFF"),(LN213))))</formula>
    </cfRule>
    <cfRule type="containsText" dxfId="1495" priority="2367" operator="containsText" text="06:00 - 15:00">
      <formula>NOT(ISERROR(SEARCH(("06:00 - 15:00"),(LN213))))</formula>
    </cfRule>
    <cfRule type="containsText" dxfId="1494" priority="2368" operator="containsText" text="04:00 - 13:00">
      <formula>NOT(ISERROR(SEARCH(("04:00 - 13:00"),(LN213))))</formula>
    </cfRule>
    <cfRule type="containsText" dxfId="1493" priority="2370" operator="containsText" text="07:00 - 16:00">
      <formula>NOT(ISERROR(SEARCH(("07:00 - 16:00"),(LN213))))</formula>
    </cfRule>
    <cfRule type="containsText" dxfId="1492" priority="2376" operator="containsText" text="Congé">
      <formula>NOT(ISERROR(SEARCH(("Congé"),(LN213))))</formula>
    </cfRule>
    <cfRule type="containsText" dxfId="1491" priority="2372" operator="containsText" text="09:00 - 18:00">
      <formula>NOT(ISERROR(SEARCH(("09:00 - 18:00"),(LN213))))</formula>
    </cfRule>
    <cfRule type="containsText" dxfId="1490" priority="2371" operator="containsText" text="08:00 - 17:00">
      <formula>NOT(ISERROR(SEARCH(("08:00 - 17:00"),(LN213))))</formula>
    </cfRule>
    <cfRule type="containsText" dxfId="1489" priority="2375" operator="containsText" text="12:00 - 21:00">
      <formula>NOT(ISERROR(SEARCH(("12:00 - 21:00"),(LN213))))</formula>
    </cfRule>
    <cfRule type="containsText" dxfId="1488" priority="2369" operator="containsText" text="14:00 - 23:00">
      <formula>NOT(ISERROR(SEARCH(("14:00 - 23:00"),(LN213))))</formula>
    </cfRule>
    <cfRule type="containsText" dxfId="1487" priority="2374" operator="containsText" text="12H-21H /SCO">
      <formula>NOT(ISERROR(SEARCH(("12H-21H /SCO"),(LN213))))</formula>
    </cfRule>
    <cfRule type="containsText" dxfId="1486" priority="2373" operator="containsText" text="10:00 - 19:00">
      <formula>NOT(ISERROR(SEARCH(("10:00 - 19:00"),(LN213))))</formula>
    </cfRule>
  </conditionalFormatting>
  <conditionalFormatting sqref="KO7:KP7">
    <cfRule type="containsText" dxfId="1485" priority="2308" operator="containsText" text="12H-21H /SCO">
      <formula>NOT(ISERROR(SEARCH(("12H-21H /SCO"),(LN218))))</formula>
    </cfRule>
    <cfRule type="containsText" dxfId="1484" priority="2309" operator="containsText" text="12:00 - 21:00">
      <formula>NOT(ISERROR(SEARCH(("12:00 - 21:00"),(LN218))))</formula>
    </cfRule>
    <cfRule type="containsText" dxfId="1483" priority="2310" operator="containsText" text="Congé">
      <formula>NOT(ISERROR(SEARCH(("Congé"),(LN218))))</formula>
    </cfRule>
    <cfRule type="containsText" dxfId="1482" priority="2300" operator="containsText" text="OFF">
      <formula>NOT(ISERROR(SEARCH(("OFF"),(LN218))))</formula>
    </cfRule>
    <cfRule type="containsText" dxfId="1481" priority="2301" operator="containsText" text="06:00 - 15:00">
      <formula>NOT(ISERROR(SEARCH(("06:00 - 15:00"),(LN218))))</formula>
    </cfRule>
    <cfRule type="containsText" dxfId="1480" priority="2302" operator="containsText" text="04:00 - 13:00">
      <formula>NOT(ISERROR(SEARCH(("04:00 - 13:00"),(LN218))))</formula>
    </cfRule>
    <cfRule type="containsText" dxfId="1479" priority="2303" operator="containsText" text="14:00 - 23:00">
      <formula>NOT(ISERROR(SEARCH(("14:00 - 23:00"),(LN218))))</formula>
    </cfRule>
    <cfRule type="containsText" dxfId="1478" priority="2304" operator="containsText" text="07:00 - 16:00">
      <formula>NOT(ISERROR(SEARCH(("07:00 - 16:00"),(LN218))))</formula>
    </cfRule>
    <cfRule type="containsText" dxfId="1477" priority="2305" operator="containsText" text="08:00 - 17:00">
      <formula>NOT(ISERROR(SEARCH(("08:00 - 17:00"),(LN218))))</formula>
    </cfRule>
    <cfRule type="containsText" dxfId="1476" priority="2306" operator="containsText" text="09:00 - 18:00">
      <formula>NOT(ISERROR(SEARCH(("09:00 - 18:00"),(LN218))))</formula>
    </cfRule>
    <cfRule type="containsText" dxfId="1475" priority="2307" operator="containsText" text="10:00 - 19:00">
      <formula>NOT(ISERROR(SEARCH(("10:00 - 19:00"),(LN218))))</formula>
    </cfRule>
  </conditionalFormatting>
  <conditionalFormatting sqref="KO17:KP17">
    <cfRule type="containsText" dxfId="1474" priority="2248" operator="containsText" text="14:00 - 23:00">
      <formula>NOT(ISERROR(SEARCH(("14:00 - 23:00"),(LN215))))</formula>
    </cfRule>
    <cfRule type="containsText" dxfId="1473" priority="2246" operator="containsText" text="06:00 - 15:00">
      <formula>NOT(ISERROR(SEARCH(("06:00 - 15:00"),(LN215))))</formula>
    </cfRule>
    <cfRule type="containsText" dxfId="1472" priority="2247" operator="containsText" text="04:00 - 13:00">
      <formula>NOT(ISERROR(SEARCH(("04:00 - 13:00"),(LN215))))</formula>
    </cfRule>
    <cfRule type="containsText" dxfId="1471" priority="2250" operator="containsText" text="08:00 - 17:00">
      <formula>NOT(ISERROR(SEARCH(("08:00 - 17:00"),(LN215))))</formula>
    </cfRule>
    <cfRule type="containsText" dxfId="1470" priority="2251" operator="containsText" text="09:00 - 18:00">
      <formula>NOT(ISERROR(SEARCH(("09:00 - 18:00"),(LN215))))</formula>
    </cfRule>
    <cfRule type="containsText" dxfId="1469" priority="2252" operator="containsText" text="10:00 - 19:00">
      <formula>NOT(ISERROR(SEARCH(("10:00 - 19:00"),(LN215))))</formula>
    </cfRule>
    <cfRule type="containsText" dxfId="1468" priority="2255" operator="containsText" text="Congé">
      <formula>NOT(ISERROR(SEARCH(("Congé"),(LN215))))</formula>
    </cfRule>
    <cfRule type="containsText" dxfId="1467" priority="2253" operator="containsText" text="12H-21H /SCO">
      <formula>NOT(ISERROR(SEARCH(("12H-21H /SCO"),(LN215))))</formula>
    </cfRule>
    <cfRule type="containsText" dxfId="1466" priority="2254" operator="containsText" text="12:00 - 21:00">
      <formula>NOT(ISERROR(SEARCH(("12:00 - 21:00"),(LN215))))</formula>
    </cfRule>
    <cfRule type="containsText" dxfId="1465" priority="2245" operator="containsText" text="OFF">
      <formula>NOT(ISERROR(SEARCH(("OFF"),(LN215))))</formula>
    </cfRule>
    <cfRule type="containsText" dxfId="1464" priority="2249" operator="containsText" text="07:00 - 16:00">
      <formula>NOT(ISERROR(SEARCH(("07:00 - 16:00"),(LN215))))</formula>
    </cfRule>
  </conditionalFormatting>
  <conditionalFormatting sqref="KP8">
    <cfRule type="containsText" dxfId="1463" priority="2311" operator="containsText" text="OFF">
      <formula>NOT(ISERROR(SEARCH(("OFF"),(LO214))))</formula>
    </cfRule>
    <cfRule type="containsText" dxfId="1462" priority="2312" operator="containsText" text="06:00 - 15:00">
      <formula>NOT(ISERROR(SEARCH(("06:00 - 15:00"),(LO214))))</formula>
    </cfRule>
    <cfRule type="containsText" dxfId="1461" priority="2313" operator="containsText" text="04:00 - 13:00">
      <formula>NOT(ISERROR(SEARCH(("04:00 - 13:00"),(LO214))))</formula>
    </cfRule>
    <cfRule type="containsText" dxfId="1460" priority="2314" operator="containsText" text="14:00 - 23:00">
      <formula>NOT(ISERROR(SEARCH(("14:00 - 23:00"),(LO214))))</formula>
    </cfRule>
    <cfRule type="containsText" dxfId="1459" priority="2316" operator="containsText" text="08:00 - 17:00">
      <formula>NOT(ISERROR(SEARCH(("08:00 - 17:00"),(LO214))))</formula>
    </cfRule>
    <cfRule type="containsText" dxfId="1458" priority="2317" operator="containsText" text="09:00 - 18:00">
      <formula>NOT(ISERROR(SEARCH(("09:00 - 18:00"),(LO214))))</formula>
    </cfRule>
    <cfRule type="containsText" dxfId="1457" priority="2318" operator="containsText" text="10:00 - 19:00">
      <formula>NOT(ISERROR(SEARCH(("10:00 - 19:00"),(LO214))))</formula>
    </cfRule>
    <cfRule type="containsText" dxfId="1456" priority="2319" operator="containsText" text="12H-21H /SCO">
      <formula>NOT(ISERROR(SEARCH(("12H-21H /SCO"),(LO214))))</formula>
    </cfRule>
    <cfRule type="containsText" dxfId="1455" priority="2320" operator="containsText" text="12:00 - 21:00">
      <formula>NOT(ISERROR(SEARCH(("12:00 - 21:00"),(LO214))))</formula>
    </cfRule>
    <cfRule type="containsText" dxfId="1454" priority="2321" operator="containsText" text="Congé">
      <formula>NOT(ISERROR(SEARCH(("Congé"),(LO214))))</formula>
    </cfRule>
    <cfRule type="containsText" dxfId="1453" priority="2315" operator="containsText" text="07:00 - 16:00">
      <formula>NOT(ISERROR(SEARCH(("07:00 - 16:00"),(LO214))))</formula>
    </cfRule>
  </conditionalFormatting>
  <conditionalFormatting sqref="KP19">
    <cfRule type="containsText" dxfId="1452" priority="2298" operator="containsText" text="12:00 - 21:00">
      <formula>NOT(ISERROR(SEARCH(("12:00 - 21:00"),(LO224))))</formula>
    </cfRule>
    <cfRule type="containsText" dxfId="1451" priority="2299" operator="containsText" text="Congé">
      <formula>NOT(ISERROR(SEARCH(("Congé"),(LO224))))</formula>
    </cfRule>
    <cfRule type="containsText" dxfId="1450" priority="2297" operator="containsText" text="12H-21H /SCO">
      <formula>NOT(ISERROR(SEARCH(("12H-21H /SCO"),(LO224))))</formula>
    </cfRule>
    <cfRule type="containsText" dxfId="1449" priority="2296" operator="containsText" text="10:00 - 19:00">
      <formula>NOT(ISERROR(SEARCH(("10:00 - 19:00"),(LO224))))</formula>
    </cfRule>
    <cfRule type="containsText" dxfId="1448" priority="2293" operator="containsText" text="07:00 - 16:00">
      <formula>NOT(ISERROR(SEARCH(("07:00 - 16:00"),(LO224))))</formula>
    </cfRule>
    <cfRule type="containsText" dxfId="1447" priority="2292" operator="containsText" text="14:00 - 23:00">
      <formula>NOT(ISERROR(SEARCH(("14:00 - 23:00"),(LO224))))</formula>
    </cfRule>
    <cfRule type="containsText" dxfId="1446" priority="2291" operator="containsText" text="04:00 - 13:00">
      <formula>NOT(ISERROR(SEARCH(("04:00 - 13:00"),(LO224))))</formula>
    </cfRule>
    <cfRule type="containsText" dxfId="1445" priority="2290" operator="containsText" text="06:00 - 15:00">
      <formula>NOT(ISERROR(SEARCH(("06:00 - 15:00"),(LO224))))</formula>
    </cfRule>
    <cfRule type="containsText" dxfId="1444" priority="2289" operator="containsText" text="OFF">
      <formula>NOT(ISERROR(SEARCH(("OFF"),(LO224))))</formula>
    </cfRule>
    <cfRule type="containsText" dxfId="1443" priority="2294" operator="containsText" text="08:00 - 17:00">
      <formula>NOT(ISERROR(SEARCH(("08:00 - 17:00"),(LO224))))</formula>
    </cfRule>
    <cfRule type="containsText" dxfId="1442" priority="2295" operator="containsText" text="09:00 - 18:00">
      <formula>NOT(ISERROR(SEARCH(("09:00 - 18:00"),(LO224))))</formula>
    </cfRule>
  </conditionalFormatting>
  <conditionalFormatting sqref="KQ11">
    <cfRule type="containsText" dxfId="1441" priority="1981" operator="containsText" text="OFF">
      <formula>NOT(ISERROR(SEARCH(("OFF"),(LP291))))</formula>
    </cfRule>
    <cfRule type="containsText" dxfId="1440" priority="1982" operator="containsText" text="06:00 - 15:00">
      <formula>NOT(ISERROR(SEARCH(("06:00 - 15:00"),(LP291))))</formula>
    </cfRule>
    <cfRule type="containsText" dxfId="1439" priority="1983" operator="containsText" text="04:00 - 13:00">
      <formula>NOT(ISERROR(SEARCH(("04:00 - 13:00"),(LP291))))</formula>
    </cfRule>
    <cfRule type="containsText" dxfId="1438" priority="1984" operator="containsText" text="14:00 - 23:00">
      <formula>NOT(ISERROR(SEARCH(("14:00 - 23:00"),(LP291))))</formula>
    </cfRule>
    <cfRule type="containsText" dxfId="1437" priority="1985" operator="containsText" text="07:00 - 16:00">
      <formula>NOT(ISERROR(SEARCH(("07:00 - 16:00"),(LP291))))</formula>
    </cfRule>
    <cfRule type="containsText" dxfId="1436" priority="1986" operator="containsText" text="08:00 - 17:00">
      <formula>NOT(ISERROR(SEARCH(("08:00 - 17:00"),(LP291))))</formula>
    </cfRule>
    <cfRule type="containsText" dxfId="1435" priority="1987" operator="containsText" text="09:00 - 18:00">
      <formula>NOT(ISERROR(SEARCH(("09:00 - 18:00"),(LP291))))</formula>
    </cfRule>
    <cfRule type="containsText" dxfId="1434" priority="1988" operator="containsText" text="10:00 - 19:00">
      <formula>NOT(ISERROR(SEARCH(("10:00 - 19:00"),(LP291))))</formula>
    </cfRule>
    <cfRule type="containsText" dxfId="1433" priority="1990" operator="containsText" text="12:00 - 21:00">
      <formula>NOT(ISERROR(SEARCH(("12:00 - 21:00"),(LP291))))</formula>
    </cfRule>
    <cfRule type="containsText" dxfId="1432" priority="1989" operator="containsText" text="12H-21H /SCO">
      <formula>NOT(ISERROR(SEARCH(("12H-21H /SCO"),(LP291))))</formula>
    </cfRule>
    <cfRule type="containsText" dxfId="1431" priority="1991" operator="containsText" text="Congé">
      <formula>NOT(ISERROR(SEARCH(("Congé"),(LP291))))</formula>
    </cfRule>
  </conditionalFormatting>
  <conditionalFormatting sqref="KQ7:KR7">
    <cfRule type="containsText" dxfId="1430" priority="2184" operator="containsText" text="08:00 - 17:00">
      <formula>NOT(ISERROR(SEARCH(("08:00 - 17:00"),(LP222))))</formula>
    </cfRule>
    <cfRule type="containsText" dxfId="1429" priority="2183" operator="containsText" text="07:00 - 16:00">
      <formula>NOT(ISERROR(SEARCH(("07:00 - 16:00"),(LP222))))</formula>
    </cfRule>
    <cfRule type="containsText" dxfId="1428" priority="2182" operator="containsText" text="14:00 - 23:00">
      <formula>NOT(ISERROR(SEARCH(("14:00 - 23:00"),(LP222))))</formula>
    </cfRule>
    <cfRule type="containsText" dxfId="1427" priority="2181" operator="containsText" text="04:00 - 13:00">
      <formula>NOT(ISERROR(SEARCH(("04:00 - 13:00"),(LP222))))</formula>
    </cfRule>
    <cfRule type="containsText" dxfId="1426" priority="2180" operator="containsText" text="06:00 - 15:00">
      <formula>NOT(ISERROR(SEARCH(("06:00 - 15:00"),(LP222))))</formula>
    </cfRule>
    <cfRule type="containsText" dxfId="1425" priority="2179" operator="containsText" text="OFF">
      <formula>NOT(ISERROR(SEARCH(("OFF"),(LP222))))</formula>
    </cfRule>
    <cfRule type="containsText" dxfId="1424" priority="2186" operator="containsText" text="10:00 - 19:00">
      <formula>NOT(ISERROR(SEARCH(("10:00 - 19:00"),(LP222))))</formula>
    </cfRule>
    <cfRule type="containsText" dxfId="1423" priority="2185" operator="containsText" text="09:00 - 18:00">
      <formula>NOT(ISERROR(SEARCH(("09:00 - 18:00"),(LP222))))</formula>
    </cfRule>
    <cfRule type="containsText" dxfId="1422" priority="2187" operator="containsText" text="12H-21H /SCO">
      <formula>NOT(ISERROR(SEARCH(("12H-21H /SCO"),(LP222))))</formula>
    </cfRule>
    <cfRule type="containsText" dxfId="1421" priority="2188" operator="containsText" text="12:00 - 21:00">
      <formula>NOT(ISERROR(SEARCH(("12:00 - 21:00"),(LP222))))</formula>
    </cfRule>
    <cfRule type="containsText" dxfId="1420" priority="2189" operator="containsText" text="Congé">
      <formula>NOT(ISERROR(SEARCH(("Congé"),(LP222))))</formula>
    </cfRule>
  </conditionalFormatting>
  <conditionalFormatting sqref="KQ14:KR14">
    <cfRule type="containsText" dxfId="1419" priority="2058" operator="containsText" text="OFF">
      <formula>NOT(ISERROR(SEARCH(("OFF"),(LP295))))</formula>
    </cfRule>
    <cfRule type="containsText" dxfId="1418" priority="2061" operator="containsText" text="14:00 - 23:00">
      <formula>NOT(ISERROR(SEARCH(("14:00 - 23:00"),(LP295))))</formula>
    </cfRule>
    <cfRule type="containsText" dxfId="1417" priority="2059" operator="containsText" text="06:00 - 15:00">
      <formula>NOT(ISERROR(SEARCH(("06:00 - 15:00"),(LP295))))</formula>
    </cfRule>
    <cfRule type="containsText" dxfId="1416" priority="2068" operator="containsText" text="Congé">
      <formula>NOT(ISERROR(SEARCH(("Congé"),(LP295))))</formula>
    </cfRule>
    <cfRule type="containsText" dxfId="1415" priority="2067" operator="containsText" text="12:00 - 21:00">
      <formula>NOT(ISERROR(SEARCH(("12:00 - 21:00"),(LP295))))</formula>
    </cfRule>
    <cfRule type="containsText" dxfId="1414" priority="2066" operator="containsText" text="12H-21H /SCO">
      <formula>NOT(ISERROR(SEARCH(("12H-21H /SCO"),(LP295))))</formula>
    </cfRule>
    <cfRule type="containsText" dxfId="1413" priority="2065" operator="containsText" text="10:00 - 19:00">
      <formula>NOT(ISERROR(SEARCH(("10:00 - 19:00"),(LP295))))</formula>
    </cfRule>
    <cfRule type="containsText" dxfId="1412" priority="2064" operator="containsText" text="09:00 - 18:00">
      <formula>NOT(ISERROR(SEARCH(("09:00 - 18:00"),(LP295))))</formula>
    </cfRule>
    <cfRule type="containsText" dxfId="1411" priority="2063" operator="containsText" text="08:00 - 17:00">
      <formula>NOT(ISERROR(SEARCH(("08:00 - 17:00"),(LP295))))</formula>
    </cfRule>
    <cfRule type="containsText" dxfId="1410" priority="2062" operator="containsText" text="07:00 - 16:00">
      <formula>NOT(ISERROR(SEARCH(("07:00 - 16:00"),(LP295))))</formula>
    </cfRule>
    <cfRule type="containsText" dxfId="1409" priority="2060" operator="containsText" text="04:00 - 13:00">
      <formula>NOT(ISERROR(SEARCH(("04:00 - 13:00"),(LP295))))</formula>
    </cfRule>
  </conditionalFormatting>
  <conditionalFormatting sqref="KR11">
    <cfRule type="containsText" dxfId="1408" priority="2001" operator="containsText" text="12:00 - 21:00">
      <formula>NOT(ISERROR(SEARCH(("12:00 - 21:00"),(LQ290))))</formula>
    </cfRule>
    <cfRule type="containsText" dxfId="1407" priority="2002" operator="containsText" text="Congé">
      <formula>NOT(ISERROR(SEARCH(("Congé"),(LQ290))))</formula>
    </cfRule>
    <cfRule type="containsText" dxfId="1406" priority="2000" operator="containsText" text="12H-21H /SCO">
      <formula>NOT(ISERROR(SEARCH(("12H-21H /SCO"),(LQ290))))</formula>
    </cfRule>
    <cfRule type="containsText" dxfId="1405" priority="1999" operator="containsText" text="10:00 - 19:00">
      <formula>NOT(ISERROR(SEARCH(("10:00 - 19:00"),(LQ290))))</formula>
    </cfRule>
    <cfRule type="containsText" dxfId="1404" priority="1998" operator="containsText" text="09:00 - 18:00">
      <formula>NOT(ISERROR(SEARCH(("09:00 - 18:00"),(LQ290))))</formula>
    </cfRule>
    <cfRule type="containsText" dxfId="1403" priority="1997" operator="containsText" text="08:00 - 17:00">
      <formula>NOT(ISERROR(SEARCH(("08:00 - 17:00"),(LQ290))))</formula>
    </cfRule>
    <cfRule type="containsText" dxfId="1402" priority="1996" operator="containsText" text="07:00 - 16:00">
      <formula>NOT(ISERROR(SEARCH(("07:00 - 16:00"),(LQ290))))</formula>
    </cfRule>
    <cfRule type="containsText" dxfId="1401" priority="1995" operator="containsText" text="14:00 - 23:00">
      <formula>NOT(ISERROR(SEARCH(("14:00 - 23:00"),(LQ290))))</formula>
    </cfRule>
    <cfRule type="containsText" dxfId="1400" priority="1994" operator="containsText" text="04:00 - 13:00">
      <formula>NOT(ISERROR(SEARCH(("04:00 - 13:00"),(LQ290))))</formula>
    </cfRule>
    <cfRule type="containsText" dxfId="1399" priority="1993" operator="containsText" text="06:00 - 15:00">
      <formula>NOT(ISERROR(SEARCH(("06:00 - 15:00"),(LQ290))))</formula>
    </cfRule>
    <cfRule type="containsText" dxfId="1398" priority="1992" operator="containsText" text="OFF">
      <formula>NOT(ISERROR(SEARCH(("OFF"),(LQ290))))</formula>
    </cfRule>
  </conditionalFormatting>
  <conditionalFormatting sqref="KR13">
    <cfRule type="containsText" dxfId="1397" priority="2047" operator="containsText" text="OFF">
      <formula>NOT(ISERROR(SEARCH(("OFF"),(LQ299))))</formula>
    </cfRule>
    <cfRule type="containsText" dxfId="1396" priority="2057" operator="containsText" text="Congé">
      <formula>NOT(ISERROR(SEARCH(("Congé"),(LQ299))))</formula>
    </cfRule>
    <cfRule type="containsText" dxfId="1395" priority="2055" operator="containsText" text="12H-21H /SCO">
      <formula>NOT(ISERROR(SEARCH(("12H-21H /SCO"),(LQ299))))</formula>
    </cfRule>
    <cfRule type="containsText" dxfId="1394" priority="2054" operator="containsText" text="10:00 - 19:00">
      <formula>NOT(ISERROR(SEARCH(("10:00 - 19:00"),(LQ299))))</formula>
    </cfRule>
    <cfRule type="containsText" dxfId="1393" priority="2053" operator="containsText" text="09:00 - 18:00">
      <formula>NOT(ISERROR(SEARCH(("09:00 - 18:00"),(LQ299))))</formula>
    </cfRule>
    <cfRule type="containsText" dxfId="1392" priority="2052" operator="containsText" text="08:00 - 17:00">
      <formula>NOT(ISERROR(SEARCH(("08:00 - 17:00"),(LQ299))))</formula>
    </cfRule>
    <cfRule type="containsText" dxfId="1391" priority="2051" operator="containsText" text="07:00 - 16:00">
      <formula>NOT(ISERROR(SEARCH(("07:00 - 16:00"),(LQ299))))</formula>
    </cfRule>
    <cfRule type="containsText" dxfId="1390" priority="2056" operator="containsText" text="12:00 - 21:00">
      <formula>NOT(ISERROR(SEARCH(("12:00 - 21:00"),(LQ299))))</formula>
    </cfRule>
    <cfRule type="containsText" dxfId="1389" priority="2050" operator="containsText" text="14:00 - 23:00">
      <formula>NOT(ISERROR(SEARCH(("14:00 - 23:00"),(LQ299))))</formula>
    </cfRule>
    <cfRule type="containsText" dxfId="1388" priority="2049" operator="containsText" text="04:00 - 13:00">
      <formula>NOT(ISERROR(SEARCH(("04:00 - 13:00"),(LQ299))))</formula>
    </cfRule>
    <cfRule type="containsText" dxfId="1387" priority="2048" operator="containsText" text="06:00 - 15:00">
      <formula>NOT(ISERROR(SEARCH(("06:00 - 15:00"),(LQ299))))</formula>
    </cfRule>
  </conditionalFormatting>
  <conditionalFormatting sqref="KS16">
    <cfRule type="containsText" dxfId="1386" priority="2169" operator="containsText" text="06:00 - 15:00">
      <formula>NOT(ISERROR(SEARCH(("06:00 - 15:00"),(LR295))))</formula>
    </cfRule>
    <cfRule type="containsText" dxfId="1385" priority="2168" operator="containsText" text="OFF">
      <formula>NOT(ISERROR(SEARCH(("OFF"),(LR295))))</formula>
    </cfRule>
    <cfRule type="containsText" dxfId="1384" priority="2170" operator="containsText" text="04:00 - 13:00">
      <formula>NOT(ISERROR(SEARCH(("04:00 - 13:00"),(LR295))))</formula>
    </cfRule>
    <cfRule type="containsText" dxfId="1383" priority="2178" operator="containsText" text="Congé">
      <formula>NOT(ISERROR(SEARCH(("Congé"),(LR295))))</formula>
    </cfRule>
    <cfRule type="containsText" dxfId="1382" priority="2171" operator="containsText" text="14:00 - 23:00">
      <formula>NOT(ISERROR(SEARCH(("14:00 - 23:00"),(LR295))))</formula>
    </cfRule>
    <cfRule type="containsText" dxfId="1381" priority="2172" operator="containsText" text="07:00 - 16:00">
      <formula>NOT(ISERROR(SEARCH(("07:00 - 16:00"),(LR295))))</formula>
    </cfRule>
    <cfRule type="containsText" dxfId="1380" priority="2173" operator="containsText" text="08:00 - 17:00">
      <formula>NOT(ISERROR(SEARCH(("08:00 - 17:00"),(LR295))))</formula>
    </cfRule>
    <cfRule type="containsText" dxfId="1379" priority="2174" operator="containsText" text="09:00 - 18:00">
      <formula>NOT(ISERROR(SEARCH(("09:00 - 18:00"),(LR295))))</formula>
    </cfRule>
    <cfRule type="containsText" dxfId="1378" priority="2175" operator="containsText" text="10:00 - 19:00">
      <formula>NOT(ISERROR(SEARCH(("10:00 - 19:00"),(LR295))))</formula>
    </cfRule>
    <cfRule type="containsText" dxfId="1377" priority="2176" operator="containsText" text="12H-21H /SCO">
      <formula>NOT(ISERROR(SEARCH(("12H-21H /SCO"),(LR295))))</formula>
    </cfRule>
    <cfRule type="containsText" dxfId="1376" priority="2177" operator="containsText" text="12:00 - 21:00">
      <formula>NOT(ISERROR(SEARCH(("12:00 - 21:00"),(LR295))))</formula>
    </cfRule>
  </conditionalFormatting>
  <conditionalFormatting sqref="KS18">
    <cfRule type="containsText" dxfId="1375" priority="2228" operator="containsText" text="08:00 - 17:00">
      <formula>NOT(ISERROR(SEARCH(("08:00 - 17:00"),(LR225))))</formula>
    </cfRule>
    <cfRule type="containsText" dxfId="1374" priority="2223" operator="containsText" text="OFF">
      <formula>NOT(ISERROR(SEARCH(("OFF"),(LR225))))</formula>
    </cfRule>
    <cfRule type="containsText" dxfId="1373" priority="2224" operator="containsText" text="06:00 - 15:00">
      <formula>NOT(ISERROR(SEARCH(("06:00 - 15:00"),(LR225))))</formula>
    </cfRule>
    <cfRule type="containsText" dxfId="1372" priority="2225" operator="containsText" text="04:00 - 13:00">
      <formula>NOT(ISERROR(SEARCH(("04:00 - 13:00"),(LR225))))</formula>
    </cfRule>
    <cfRule type="containsText" dxfId="1371" priority="2226" operator="containsText" text="14:00 - 23:00">
      <formula>NOT(ISERROR(SEARCH(("14:00 - 23:00"),(LR225))))</formula>
    </cfRule>
    <cfRule type="containsText" dxfId="1370" priority="2227" operator="containsText" text="07:00 - 16:00">
      <formula>NOT(ISERROR(SEARCH(("07:00 - 16:00"),(LR225))))</formula>
    </cfRule>
    <cfRule type="containsText" dxfId="1369" priority="2229" operator="containsText" text="09:00 - 18:00">
      <formula>NOT(ISERROR(SEARCH(("09:00 - 18:00"),(LR225))))</formula>
    </cfRule>
    <cfRule type="containsText" dxfId="1368" priority="2230" operator="containsText" text="10:00 - 19:00">
      <formula>NOT(ISERROR(SEARCH(("10:00 - 19:00"),(LR225))))</formula>
    </cfRule>
    <cfRule type="containsText" dxfId="1367" priority="2231" operator="containsText" text="12H-21H /SCO">
      <formula>NOT(ISERROR(SEARCH(("12H-21H /SCO"),(LR225))))</formula>
    </cfRule>
    <cfRule type="containsText" dxfId="1366" priority="2232" operator="containsText" text="12:00 - 21:00">
      <formula>NOT(ISERROR(SEARCH(("12:00 - 21:00"),(LR225))))</formula>
    </cfRule>
    <cfRule type="containsText" dxfId="1365" priority="2233" operator="containsText" text="Congé">
      <formula>NOT(ISERROR(SEARCH(("Congé"),(LR225))))</formula>
    </cfRule>
  </conditionalFormatting>
  <conditionalFormatting sqref="KT7:KU7">
    <cfRule type="containsText" dxfId="1364" priority="2234" operator="containsText" text="OFF">
      <formula>NOT(ISERROR(SEARCH(("OFF"),(LS222))))</formula>
    </cfRule>
    <cfRule type="containsText" dxfId="1363" priority="2243" operator="containsText" text="12:00 - 21:00">
      <formula>NOT(ISERROR(SEARCH(("12:00 - 21:00"),(LS222))))</formula>
    </cfRule>
    <cfRule type="containsText" dxfId="1362" priority="2242" operator="containsText" text="12H-21H /SCO">
      <formula>NOT(ISERROR(SEARCH(("12H-21H /SCO"),(LS222))))</formula>
    </cfRule>
    <cfRule type="containsText" dxfId="1361" priority="2241" operator="containsText" text="10:00 - 19:00">
      <formula>NOT(ISERROR(SEARCH(("10:00 - 19:00"),(LS222))))</formula>
    </cfRule>
    <cfRule type="containsText" dxfId="1360" priority="2240" operator="containsText" text="09:00 - 18:00">
      <formula>NOT(ISERROR(SEARCH(("09:00 - 18:00"),(LS222))))</formula>
    </cfRule>
    <cfRule type="containsText" dxfId="1359" priority="2239" operator="containsText" text="08:00 - 17:00">
      <formula>NOT(ISERROR(SEARCH(("08:00 - 17:00"),(LS222))))</formula>
    </cfRule>
    <cfRule type="containsText" dxfId="1358" priority="2238" operator="containsText" text="07:00 - 16:00">
      <formula>NOT(ISERROR(SEARCH(("07:00 - 16:00"),(LS222))))</formula>
    </cfRule>
    <cfRule type="containsText" dxfId="1357" priority="2236" operator="containsText" text="04:00 - 13:00">
      <formula>NOT(ISERROR(SEARCH(("04:00 - 13:00"),(LS222))))</formula>
    </cfRule>
    <cfRule type="containsText" dxfId="1356" priority="2235" operator="containsText" text="06:00 - 15:00">
      <formula>NOT(ISERROR(SEARCH(("06:00 - 15:00"),(LS222))))</formula>
    </cfRule>
    <cfRule type="containsText" dxfId="1355" priority="2244" operator="containsText" text="Congé">
      <formula>NOT(ISERROR(SEARCH(("Congé"),(LS222))))</formula>
    </cfRule>
    <cfRule type="containsText" dxfId="1354" priority="2237" operator="containsText" text="14:00 - 23:00">
      <formula>NOT(ISERROR(SEARCH(("14:00 - 23:00"),(LS222))))</formula>
    </cfRule>
  </conditionalFormatting>
  <conditionalFormatting sqref="KT11:KU11">
    <cfRule type="containsText" dxfId="1353" priority="1966" operator="containsText" text="10:00 - 19:00">
      <formula>NOT(ISERROR(SEARCH(("10:00 - 19:00"),(LS293))))</formula>
    </cfRule>
    <cfRule type="containsText" dxfId="1352" priority="1969" operator="containsText" text="Congé">
      <formula>NOT(ISERROR(SEARCH(("Congé"),(LS293))))</formula>
    </cfRule>
    <cfRule type="containsText" dxfId="1351" priority="1968" operator="containsText" text="12:00 - 21:00">
      <formula>NOT(ISERROR(SEARCH(("12:00 - 21:00"),(LS293))))</formula>
    </cfRule>
    <cfRule type="containsText" dxfId="1350" priority="1967" operator="containsText" text="12H-21H /SCO">
      <formula>NOT(ISERROR(SEARCH(("12H-21H /SCO"),(LS293))))</formula>
    </cfRule>
    <cfRule type="containsText" dxfId="1349" priority="1965" operator="containsText" text="09:00 - 18:00">
      <formula>NOT(ISERROR(SEARCH(("09:00 - 18:00"),(LS293))))</formula>
    </cfRule>
    <cfRule type="containsText" dxfId="1348" priority="1964" operator="containsText" text="08:00 - 17:00">
      <formula>NOT(ISERROR(SEARCH(("08:00 - 17:00"),(LS293))))</formula>
    </cfRule>
    <cfRule type="containsText" dxfId="1347" priority="1963" operator="containsText" text="07:00 - 16:00">
      <formula>NOT(ISERROR(SEARCH(("07:00 - 16:00"),(LS293))))</formula>
    </cfRule>
    <cfRule type="containsText" dxfId="1346" priority="1962" operator="containsText" text="14:00 - 23:00">
      <formula>NOT(ISERROR(SEARCH(("14:00 - 23:00"),(LS293))))</formula>
    </cfRule>
    <cfRule type="containsText" dxfId="1345" priority="1961" operator="containsText" text="04:00 - 13:00">
      <formula>NOT(ISERROR(SEARCH(("04:00 - 13:00"),(LS293))))</formula>
    </cfRule>
    <cfRule type="containsText" dxfId="1344" priority="1960" operator="containsText" text="06:00 - 15:00">
      <formula>NOT(ISERROR(SEARCH(("06:00 - 15:00"),(LS293))))</formula>
    </cfRule>
    <cfRule type="containsText" dxfId="1343" priority="1959" operator="containsText" text="OFF">
      <formula>NOT(ISERROR(SEARCH(("OFF"),(LS293))))</formula>
    </cfRule>
  </conditionalFormatting>
  <conditionalFormatting sqref="KT17:KV17">
    <cfRule type="containsText" dxfId="1342" priority="2123" operator="containsText" text="Congé">
      <formula>NOT(ISERROR(SEARCH(("Congé"),(LS295))))</formula>
    </cfRule>
    <cfRule type="containsText" dxfId="1341" priority="2120" operator="containsText" text="10:00 - 19:00">
      <formula>NOT(ISERROR(SEARCH(("10:00 - 19:00"),(LS295))))</formula>
    </cfRule>
    <cfRule type="containsText" dxfId="1340" priority="2122" operator="containsText" text="12:00 - 21:00">
      <formula>NOT(ISERROR(SEARCH(("12:00 - 21:00"),(LS295))))</formula>
    </cfRule>
    <cfRule type="containsText" dxfId="1339" priority="2121" operator="containsText" text="12H-21H /SCO">
      <formula>NOT(ISERROR(SEARCH(("12H-21H /SCO"),(LS295))))</formula>
    </cfRule>
    <cfRule type="containsText" dxfId="1338" priority="2119" operator="containsText" text="09:00 - 18:00">
      <formula>NOT(ISERROR(SEARCH(("09:00 - 18:00"),(LS295))))</formula>
    </cfRule>
    <cfRule type="containsText" dxfId="1337" priority="2118" operator="containsText" text="08:00 - 17:00">
      <formula>NOT(ISERROR(SEARCH(("08:00 - 17:00"),(LS295))))</formula>
    </cfRule>
    <cfRule type="containsText" dxfId="1336" priority="2117" operator="containsText" text="07:00 - 16:00">
      <formula>NOT(ISERROR(SEARCH(("07:00 - 16:00"),(LS295))))</formula>
    </cfRule>
    <cfRule type="containsText" dxfId="1335" priority="2116" operator="containsText" text="14:00 - 23:00">
      <formula>NOT(ISERROR(SEARCH(("14:00 - 23:00"),(LS295))))</formula>
    </cfRule>
    <cfRule type="containsText" dxfId="1334" priority="2115" operator="containsText" text="04:00 - 13:00">
      <formula>NOT(ISERROR(SEARCH(("04:00 - 13:00"),(LS295))))</formula>
    </cfRule>
    <cfRule type="containsText" dxfId="1333" priority="2113" operator="containsText" text="OFF">
      <formula>NOT(ISERROR(SEARCH(("OFF"),(LS295))))</formula>
    </cfRule>
    <cfRule type="containsText" dxfId="1332" priority="2114" operator="containsText" text="06:00 - 15:00">
      <formula>NOT(ISERROR(SEARCH(("06:00 - 15:00"),(LS295))))</formula>
    </cfRule>
  </conditionalFormatting>
  <conditionalFormatting sqref="KU8">
    <cfRule type="containsText" dxfId="1331" priority="2077" operator="containsText" text="12H-21H /SCO">
      <formula>NOT(ISERROR(SEARCH(("12H-21H /SCO"),(LT302))))</formula>
    </cfRule>
    <cfRule type="containsText" dxfId="1330" priority="2079" operator="containsText" text="Congé">
      <formula>NOT(ISERROR(SEARCH(("Congé"),(LT302))))</formula>
    </cfRule>
    <cfRule type="containsText" dxfId="1329" priority="2078" operator="containsText" text="12:00 - 21:00">
      <formula>NOT(ISERROR(SEARCH(("12:00 - 21:00"),(LT302))))</formula>
    </cfRule>
    <cfRule type="containsText" dxfId="1328" priority="2076" operator="containsText" text="10:00 - 19:00">
      <formula>NOT(ISERROR(SEARCH(("10:00 - 19:00"),(LT302))))</formula>
    </cfRule>
    <cfRule type="containsText" dxfId="1327" priority="2075" operator="containsText" text="09:00 - 18:00">
      <formula>NOT(ISERROR(SEARCH(("09:00 - 18:00"),(LT302))))</formula>
    </cfRule>
    <cfRule type="containsText" dxfId="1326" priority="2074" operator="containsText" text="08:00 - 17:00">
      <formula>NOT(ISERROR(SEARCH(("08:00 - 17:00"),(LT302))))</formula>
    </cfRule>
    <cfRule type="containsText" dxfId="1325" priority="2073" operator="containsText" text="07:00 - 16:00">
      <formula>NOT(ISERROR(SEARCH(("07:00 - 16:00"),(LT302))))</formula>
    </cfRule>
    <cfRule type="containsText" dxfId="1324" priority="2072" operator="containsText" text="14:00 - 23:00">
      <formula>NOT(ISERROR(SEARCH(("14:00 - 23:00"),(LT302))))</formula>
    </cfRule>
    <cfRule type="containsText" dxfId="1323" priority="2071" operator="containsText" text="04:00 - 13:00">
      <formula>NOT(ISERROR(SEARCH(("04:00 - 13:00"),(LT302))))</formula>
    </cfRule>
    <cfRule type="containsText" dxfId="1322" priority="2070" operator="containsText" text="06:00 - 15:00">
      <formula>NOT(ISERROR(SEARCH(("06:00 - 15:00"),(LT302))))</formula>
    </cfRule>
    <cfRule type="containsText" dxfId="1321" priority="2069" operator="containsText" text="OFF">
      <formula>NOT(ISERROR(SEARCH(("OFF"),(LT302))))</formula>
    </cfRule>
  </conditionalFormatting>
  <conditionalFormatting sqref="KU12:KV12">
    <cfRule type="containsText" dxfId="1320" priority="2222" operator="containsText" text="Congé">
      <formula>NOT(ISERROR(SEARCH(("Congé"),(LT294))))</formula>
    </cfRule>
    <cfRule type="containsText" dxfId="1319" priority="2213" operator="containsText" text="06:00 - 15:00">
      <formula>NOT(ISERROR(SEARCH(("06:00 - 15:00"),(LT294))))</formula>
    </cfRule>
    <cfRule type="containsText" dxfId="1318" priority="2218" operator="containsText" text="09:00 - 18:00">
      <formula>NOT(ISERROR(SEARCH(("09:00 - 18:00"),(LT294))))</formula>
    </cfRule>
    <cfRule type="containsText" dxfId="1317" priority="2221" operator="containsText" text="12:00 - 21:00">
      <formula>NOT(ISERROR(SEARCH(("12:00 - 21:00"),(LT294))))</formula>
    </cfRule>
    <cfRule type="containsText" dxfId="1316" priority="2220" operator="containsText" text="12H-21H /SCO">
      <formula>NOT(ISERROR(SEARCH(("12H-21H /SCO"),(LT294))))</formula>
    </cfRule>
    <cfRule type="containsText" dxfId="1315" priority="2219" operator="containsText" text="10:00 - 19:00">
      <formula>NOT(ISERROR(SEARCH(("10:00 - 19:00"),(LT294))))</formula>
    </cfRule>
    <cfRule type="containsText" dxfId="1314" priority="2217" operator="containsText" text="08:00 - 17:00">
      <formula>NOT(ISERROR(SEARCH(("08:00 - 17:00"),(LT294))))</formula>
    </cfRule>
    <cfRule type="containsText" dxfId="1313" priority="2216" operator="containsText" text="07:00 - 16:00">
      <formula>NOT(ISERROR(SEARCH(("07:00 - 16:00"),(LT294))))</formula>
    </cfRule>
    <cfRule type="containsText" dxfId="1312" priority="2215" operator="containsText" text="14:00 - 23:00">
      <formula>NOT(ISERROR(SEARCH(("14:00 - 23:00"),(LT294))))</formula>
    </cfRule>
    <cfRule type="containsText" dxfId="1311" priority="2214" operator="containsText" text="04:00 - 13:00">
      <formula>NOT(ISERROR(SEARCH(("04:00 - 13:00"),(LT294))))</formula>
    </cfRule>
    <cfRule type="containsText" dxfId="1310" priority="2212" operator="containsText" text="OFF">
      <formula>NOT(ISERROR(SEARCH(("OFF"),(LT294))))</formula>
    </cfRule>
  </conditionalFormatting>
  <conditionalFormatting sqref="KV14">
    <cfRule type="containsText" dxfId="1309" priority="2165" operator="containsText" text="12H-21H /SCO">
      <formula>NOT(ISERROR(SEARCH(("12H-21H /SCO"),(LU293))))</formula>
    </cfRule>
    <cfRule type="containsText" dxfId="1308" priority="2160" operator="containsText" text="14:00 - 23:00">
      <formula>NOT(ISERROR(SEARCH(("14:00 - 23:00"),(LU293))))</formula>
    </cfRule>
    <cfRule type="containsText" dxfId="1307" priority="2161" operator="containsText" text="07:00 - 16:00">
      <formula>NOT(ISERROR(SEARCH(("07:00 - 16:00"),(LU293))))</formula>
    </cfRule>
    <cfRule type="containsText" dxfId="1306" priority="2162" operator="containsText" text="08:00 - 17:00">
      <formula>NOT(ISERROR(SEARCH(("08:00 - 17:00"),(LU293))))</formula>
    </cfRule>
    <cfRule type="containsText" dxfId="1305" priority="2164" operator="containsText" text="10:00 - 19:00">
      <formula>NOT(ISERROR(SEARCH(("10:00 - 19:00"),(LU293))))</formula>
    </cfRule>
    <cfRule type="containsText" dxfId="1304" priority="2167" operator="containsText" text="Congé">
      <formula>NOT(ISERROR(SEARCH(("Congé"),(LU293))))</formula>
    </cfRule>
    <cfRule type="containsText" dxfId="1303" priority="2163" operator="containsText" text="09:00 - 18:00">
      <formula>NOT(ISERROR(SEARCH(("09:00 - 18:00"),(LU293))))</formula>
    </cfRule>
    <cfRule type="containsText" dxfId="1302" priority="2166" operator="containsText" text="12:00 - 21:00">
      <formula>NOT(ISERROR(SEARCH(("12:00 - 21:00"),(LU293))))</formula>
    </cfRule>
    <cfRule type="containsText" dxfId="1301" priority="2159" operator="containsText" text="04:00 - 13:00">
      <formula>NOT(ISERROR(SEARCH(("04:00 - 13:00"),(LU293))))</formula>
    </cfRule>
    <cfRule type="containsText" dxfId="1300" priority="2158" operator="containsText" text="06:00 - 15:00">
      <formula>NOT(ISERROR(SEARCH(("06:00 - 15:00"),(LU293))))</formula>
    </cfRule>
    <cfRule type="containsText" dxfId="1299" priority="2157" operator="containsText" text="OFF">
      <formula>NOT(ISERROR(SEARCH(("OFF"),(LU293))))</formula>
    </cfRule>
  </conditionalFormatting>
  <conditionalFormatting sqref="KV10:KW10">
    <cfRule type="containsText" dxfId="1298" priority="2101" operator="containsText" text="Congé">
      <formula>NOT(ISERROR(SEARCH(("Congé"),(LU298))))</formula>
    </cfRule>
    <cfRule type="containsText" dxfId="1297" priority="2092" operator="containsText" text="06:00 - 15:00">
      <formula>NOT(ISERROR(SEARCH(("06:00 - 15:00"),(LU298))))</formula>
    </cfRule>
    <cfRule type="containsText" dxfId="1296" priority="2100" operator="containsText" text="12:00 - 21:00">
      <formula>NOT(ISERROR(SEARCH(("12:00 - 21:00"),(LU298))))</formula>
    </cfRule>
    <cfRule type="containsText" dxfId="1295" priority="2098" operator="containsText" text="10:00 - 19:00">
      <formula>NOT(ISERROR(SEARCH(("10:00 - 19:00"),(LU298))))</formula>
    </cfRule>
    <cfRule type="containsText" dxfId="1294" priority="2099" operator="containsText" text="12H-21H /SCO">
      <formula>NOT(ISERROR(SEARCH(("12H-21H /SCO"),(LU298))))</formula>
    </cfRule>
    <cfRule type="containsText" dxfId="1293" priority="2097" operator="containsText" text="09:00 - 18:00">
      <formula>NOT(ISERROR(SEARCH(("09:00 - 18:00"),(LU298))))</formula>
    </cfRule>
    <cfRule type="containsText" dxfId="1292" priority="2096" operator="containsText" text="08:00 - 17:00">
      <formula>NOT(ISERROR(SEARCH(("08:00 - 17:00"),(LU298))))</formula>
    </cfRule>
    <cfRule type="containsText" dxfId="1291" priority="2095" operator="containsText" text="07:00 - 16:00">
      <formula>NOT(ISERROR(SEARCH(("07:00 - 16:00"),(LU298))))</formula>
    </cfRule>
    <cfRule type="containsText" dxfId="1290" priority="2094" operator="containsText" text="14:00 - 23:00">
      <formula>NOT(ISERROR(SEARCH(("14:00 - 23:00"),(LU298))))</formula>
    </cfRule>
    <cfRule type="containsText" dxfId="1289" priority="2093" operator="containsText" text="04:00 - 13:00">
      <formula>NOT(ISERROR(SEARCH(("04:00 - 13:00"),(LU298))))</formula>
    </cfRule>
    <cfRule type="containsText" dxfId="1288" priority="2091" operator="containsText" text="OFF">
      <formula>NOT(ISERROR(SEARCH(("OFF"),(LU298))))</formula>
    </cfRule>
  </conditionalFormatting>
  <conditionalFormatting sqref="KW8">
    <cfRule type="containsText" dxfId="1287" priority="2106" operator="containsText" text="07:00 - 16:00">
      <formula>NOT(ISERROR(SEARCH(("07:00 - 16:00"),(LV294))))</formula>
    </cfRule>
    <cfRule type="containsText" dxfId="1286" priority="2103" operator="containsText" text="06:00 - 15:00">
      <formula>NOT(ISERROR(SEARCH(("06:00 - 15:00"),(LV294))))</formula>
    </cfRule>
    <cfRule type="containsText" dxfId="1285" priority="2102" operator="containsText" text="OFF">
      <formula>NOT(ISERROR(SEARCH(("OFF"),(LV294))))</formula>
    </cfRule>
    <cfRule type="containsText" dxfId="1284" priority="2104" operator="containsText" text="04:00 - 13:00">
      <formula>NOT(ISERROR(SEARCH(("04:00 - 13:00"),(LV294))))</formula>
    </cfRule>
    <cfRule type="containsText" dxfId="1283" priority="2105" operator="containsText" text="14:00 - 23:00">
      <formula>NOT(ISERROR(SEARCH(("14:00 - 23:00"),(LV294))))</formula>
    </cfRule>
    <cfRule type="containsText" dxfId="1282" priority="2112" operator="containsText" text="Congé">
      <formula>NOT(ISERROR(SEARCH(("Congé"),(LV294))))</formula>
    </cfRule>
    <cfRule type="containsText" dxfId="1281" priority="2111" operator="containsText" text="12:00 - 21:00">
      <formula>NOT(ISERROR(SEARCH(("12:00 - 21:00"),(LV294))))</formula>
    </cfRule>
    <cfRule type="containsText" dxfId="1280" priority="2110" operator="containsText" text="12H-21H /SCO">
      <formula>NOT(ISERROR(SEARCH(("12H-21H /SCO"),(LV294))))</formula>
    </cfRule>
    <cfRule type="containsText" dxfId="1279" priority="2109" operator="containsText" text="10:00 - 19:00">
      <formula>NOT(ISERROR(SEARCH(("10:00 - 19:00"),(LV294))))</formula>
    </cfRule>
    <cfRule type="containsText" dxfId="1278" priority="2108" operator="containsText" text="09:00 - 18:00">
      <formula>NOT(ISERROR(SEARCH(("09:00 - 18:00"),(LV294))))</formula>
    </cfRule>
    <cfRule type="containsText" dxfId="1277" priority="2107" operator="containsText" text="08:00 - 17:00">
      <formula>NOT(ISERROR(SEARCH(("08:00 - 17:00"),(LV294))))</formula>
    </cfRule>
  </conditionalFormatting>
  <conditionalFormatting sqref="KW13">
    <cfRule type="containsText" dxfId="1276" priority="2087" operator="containsText" text="10:00 - 19:00">
      <formula>NOT(ISERROR(SEARCH(("10:00 - 19:00"),(LV304))))</formula>
    </cfRule>
    <cfRule type="containsText" dxfId="1275" priority="2088" operator="containsText" text="12H-21H /SCO">
      <formula>NOT(ISERROR(SEARCH(("12H-21H /SCO"),(LV304))))</formula>
    </cfRule>
    <cfRule type="containsText" dxfId="1274" priority="2089" operator="containsText" text="12:00 - 21:00">
      <formula>NOT(ISERROR(SEARCH(("12:00 - 21:00"),(LV304))))</formula>
    </cfRule>
    <cfRule type="containsText" dxfId="1273" priority="2090" operator="containsText" text="Congé">
      <formula>NOT(ISERROR(SEARCH(("Congé"),(LV304))))</formula>
    </cfRule>
    <cfRule type="containsText" dxfId="1272" priority="2080" operator="containsText" text="OFF">
      <formula>NOT(ISERROR(SEARCH(("OFF"),(LV304))))</formula>
    </cfRule>
    <cfRule type="containsText" dxfId="1271" priority="2081" operator="containsText" text="06:00 - 15:00">
      <formula>NOT(ISERROR(SEARCH(("06:00 - 15:00"),(LV304))))</formula>
    </cfRule>
    <cfRule type="containsText" dxfId="1270" priority="2082" operator="containsText" text="04:00 - 13:00">
      <formula>NOT(ISERROR(SEARCH(("04:00 - 13:00"),(LV304))))</formula>
    </cfRule>
    <cfRule type="containsText" dxfId="1269" priority="2083" operator="containsText" text="14:00 - 23:00">
      <formula>NOT(ISERROR(SEARCH(("14:00 - 23:00"),(LV304))))</formula>
    </cfRule>
    <cfRule type="containsText" dxfId="1268" priority="2084" operator="containsText" text="07:00 - 16:00">
      <formula>NOT(ISERROR(SEARCH(("07:00 - 16:00"),(LV304))))</formula>
    </cfRule>
    <cfRule type="containsText" dxfId="1267" priority="2085" operator="containsText" text="08:00 - 17:00">
      <formula>NOT(ISERROR(SEARCH(("08:00 - 17:00"),(LV304))))</formula>
    </cfRule>
    <cfRule type="containsText" dxfId="1266" priority="2086" operator="containsText" text="09:00 - 18:00">
      <formula>NOT(ISERROR(SEARCH(("09:00 - 18:00"),(LV304))))</formula>
    </cfRule>
  </conditionalFormatting>
  <conditionalFormatting sqref="KW16">
    <cfRule type="containsText" dxfId="1265" priority="2045" operator="containsText" text="12:00 - 21:00">
      <formula>NOT(ISERROR(SEARCH(("12:00 - 21:00"),(LV295))))</formula>
    </cfRule>
    <cfRule type="containsText" dxfId="1264" priority="2037" operator="containsText" text="06:00 - 15:00">
      <formula>NOT(ISERROR(SEARCH(("06:00 - 15:00"),(LV295))))</formula>
    </cfRule>
    <cfRule type="containsText" dxfId="1263" priority="2042" operator="containsText" text="09:00 - 18:00">
      <formula>NOT(ISERROR(SEARCH(("09:00 - 18:00"),(LV295))))</formula>
    </cfRule>
    <cfRule type="containsText" dxfId="1262" priority="2036" operator="containsText" text="OFF">
      <formula>NOT(ISERROR(SEARCH(("OFF"),(LV295))))</formula>
    </cfRule>
    <cfRule type="containsText" dxfId="1261" priority="2044" operator="containsText" text="12H-21H /SCO">
      <formula>NOT(ISERROR(SEARCH(("12H-21H /SCO"),(LV295))))</formula>
    </cfRule>
    <cfRule type="containsText" dxfId="1260" priority="2046" operator="containsText" text="Congé">
      <formula>NOT(ISERROR(SEARCH(("Congé"),(LV295))))</formula>
    </cfRule>
    <cfRule type="containsText" dxfId="1259" priority="2043" operator="containsText" text="10:00 - 19:00">
      <formula>NOT(ISERROR(SEARCH(("10:00 - 19:00"),(LV295))))</formula>
    </cfRule>
    <cfRule type="containsText" dxfId="1258" priority="2041" operator="containsText" text="08:00 - 17:00">
      <formula>NOT(ISERROR(SEARCH(("08:00 - 17:00"),(LV295))))</formula>
    </cfRule>
    <cfRule type="containsText" dxfId="1257" priority="2040" operator="containsText" text="07:00 - 16:00">
      <formula>NOT(ISERROR(SEARCH(("07:00 - 16:00"),(LV295))))</formula>
    </cfRule>
    <cfRule type="containsText" dxfId="1256" priority="2039" operator="containsText" text="14:00 - 23:00">
      <formula>NOT(ISERROR(SEARCH(("14:00 - 23:00"),(LV295))))</formula>
    </cfRule>
    <cfRule type="containsText" dxfId="1255" priority="2038" operator="containsText" text="04:00 - 13:00">
      <formula>NOT(ISERROR(SEARCH(("04:00 - 13:00"),(LV295))))</formula>
    </cfRule>
  </conditionalFormatting>
  <conditionalFormatting sqref="KX10">
    <cfRule type="containsText" dxfId="1254" priority="1786" operator="containsText" text="14:00 - 23:00">
      <formula>NOT(ISERROR(SEARCH(("14:00 - 23:00"),(LP373))))</formula>
    </cfRule>
    <cfRule type="containsText" dxfId="1253" priority="1783" operator="containsText" text="OFF">
      <formula>NOT(ISERROR(SEARCH(("OFF"),(LP373))))</formula>
    </cfRule>
    <cfRule type="containsText" dxfId="1252" priority="1784" operator="containsText" text="06:00 - 15:00">
      <formula>NOT(ISERROR(SEARCH(("06:00 - 15:00"),(LP373))))</formula>
    </cfRule>
    <cfRule type="containsText" dxfId="1251" priority="1785" operator="containsText" text="04:00 - 13:00">
      <formula>NOT(ISERROR(SEARCH(("04:00 - 13:00"),(LP373))))</formula>
    </cfRule>
    <cfRule type="containsText" dxfId="1250" priority="1787" operator="containsText" text="07:00 - 16:00">
      <formula>NOT(ISERROR(SEARCH(("07:00 - 16:00"),(LP373))))</formula>
    </cfRule>
    <cfRule type="containsText" dxfId="1249" priority="1788" operator="containsText" text="08:00 - 17:00">
      <formula>NOT(ISERROR(SEARCH(("08:00 - 17:00"),(LP373))))</formula>
    </cfRule>
    <cfRule type="containsText" dxfId="1248" priority="1789" operator="containsText" text="09:00 - 18:00">
      <formula>NOT(ISERROR(SEARCH(("09:00 - 18:00"),(LP373))))</formula>
    </cfRule>
    <cfRule type="containsText" dxfId="1247" priority="1790" operator="containsText" text="10:00 - 19:00">
      <formula>NOT(ISERROR(SEARCH(("10:00 - 19:00"),(LP373))))</formula>
    </cfRule>
    <cfRule type="containsText" dxfId="1246" priority="1792" operator="containsText" text="12:00 - 21:00">
      <formula>NOT(ISERROR(SEARCH(("12:00 - 21:00"),(LP373))))</formula>
    </cfRule>
    <cfRule type="containsText" dxfId="1245" priority="1791" operator="containsText" text="12H-21H /SCO">
      <formula>NOT(ISERROR(SEARCH(("12H-21H /SCO"),(LP373))))</formula>
    </cfRule>
    <cfRule type="containsText" dxfId="1244" priority="1793" operator="containsText" text="Congé">
      <formula>NOT(ISERROR(SEARCH(("Congé"),(LP373))))</formula>
    </cfRule>
  </conditionalFormatting>
  <conditionalFormatting sqref="KX15:KY15">
    <cfRule type="containsText" dxfId="1243" priority="1832" operator="containsText" text="08:00 - 17:00">
      <formula>NOT(ISERROR(SEARCH(("08:00 - 17:00"),(LP377))))</formula>
    </cfRule>
    <cfRule type="containsText" dxfId="1242" priority="1833" operator="containsText" text="09:00 - 18:00">
      <formula>NOT(ISERROR(SEARCH(("09:00 - 18:00"),(LP377))))</formula>
    </cfRule>
    <cfRule type="containsText" dxfId="1241" priority="1834" operator="containsText" text="10:00 - 19:00">
      <formula>NOT(ISERROR(SEARCH(("10:00 - 19:00"),(LP377))))</formula>
    </cfRule>
    <cfRule type="containsText" dxfId="1240" priority="1835" operator="containsText" text="12H-21H /SCO">
      <formula>NOT(ISERROR(SEARCH(("12H-21H /SCO"),(LP377))))</formula>
    </cfRule>
    <cfRule type="containsText" dxfId="1239" priority="1837" operator="containsText" text="Congé">
      <formula>NOT(ISERROR(SEARCH(("Congé"),(LP377))))</formula>
    </cfRule>
    <cfRule type="containsText" dxfId="1238" priority="1831" operator="containsText" text="07:00 - 16:00">
      <formula>NOT(ISERROR(SEARCH(("07:00 - 16:00"),(LP377))))</formula>
    </cfRule>
    <cfRule type="containsText" dxfId="1237" priority="1830" operator="containsText" text="14:00 - 23:00">
      <formula>NOT(ISERROR(SEARCH(("14:00 - 23:00"),(LP377))))</formula>
    </cfRule>
    <cfRule type="containsText" dxfId="1236" priority="1829" operator="containsText" text="04:00 - 13:00">
      <formula>NOT(ISERROR(SEARCH(("04:00 - 13:00"),(LP377))))</formula>
    </cfRule>
    <cfRule type="containsText" dxfId="1235" priority="1828" operator="containsText" text="06:00 - 15:00">
      <formula>NOT(ISERROR(SEARCH(("06:00 - 15:00"),(LP377))))</formula>
    </cfRule>
    <cfRule type="containsText" dxfId="1234" priority="1827" operator="containsText" text="OFF">
      <formula>NOT(ISERROR(SEARCH(("OFF"),(LP377))))</formula>
    </cfRule>
    <cfRule type="containsText" dxfId="1233" priority="1836" operator="containsText" text="12:00 - 21:00">
      <formula>NOT(ISERROR(SEARCH(("12:00 - 21:00"),(LP377))))</formula>
    </cfRule>
  </conditionalFormatting>
  <conditionalFormatting sqref="KX18:KY18">
    <cfRule type="containsText" dxfId="1232" priority="1915" operator="containsText" text="OFF">
      <formula>NOT(ISERROR(SEARCH(("OFF"),(LP304))))</formula>
    </cfRule>
    <cfRule type="containsText" dxfId="1231" priority="1922" operator="containsText" text="10:00 - 19:00">
      <formula>NOT(ISERROR(SEARCH(("10:00 - 19:00"),(LP304))))</formula>
    </cfRule>
    <cfRule type="containsText" dxfId="1230" priority="1925" operator="containsText" text="Congé">
      <formula>NOT(ISERROR(SEARCH(("Congé"),(LP304))))</formula>
    </cfRule>
    <cfRule type="containsText" dxfId="1229" priority="1924" operator="containsText" text="12:00 - 21:00">
      <formula>NOT(ISERROR(SEARCH(("12:00 - 21:00"),(LP304))))</formula>
    </cfRule>
    <cfRule type="containsText" dxfId="1228" priority="1919" operator="containsText" text="07:00 - 16:00">
      <formula>NOT(ISERROR(SEARCH(("07:00 - 16:00"),(LP304))))</formula>
    </cfRule>
    <cfRule type="containsText" dxfId="1227" priority="1918" operator="containsText" text="14:00 - 23:00">
      <formula>NOT(ISERROR(SEARCH(("14:00 - 23:00"),(LP304))))</formula>
    </cfRule>
    <cfRule type="containsText" dxfId="1226" priority="1923" operator="containsText" text="12H-21H /SCO">
      <formula>NOT(ISERROR(SEARCH(("12H-21H /SCO"),(LP304))))</formula>
    </cfRule>
    <cfRule type="containsText" dxfId="1225" priority="1916" operator="containsText" text="06:00 - 15:00">
      <formula>NOT(ISERROR(SEARCH(("06:00 - 15:00"),(LP304))))</formula>
    </cfRule>
    <cfRule type="containsText" dxfId="1224" priority="1920" operator="containsText" text="08:00 - 17:00">
      <formula>NOT(ISERROR(SEARCH(("08:00 - 17:00"),(LP304))))</formula>
    </cfRule>
    <cfRule type="containsText" dxfId="1223" priority="1921" operator="containsText" text="09:00 - 18:00">
      <formula>NOT(ISERROR(SEARCH(("09:00 - 18:00"),(LP304))))</formula>
    </cfRule>
    <cfRule type="containsText" dxfId="1222" priority="1917" operator="containsText" text="04:00 - 13:00">
      <formula>NOT(ISERROR(SEARCH(("04:00 - 13:00"),(LP304))))</formula>
    </cfRule>
  </conditionalFormatting>
  <conditionalFormatting sqref="KY10">
    <cfRule type="containsText" dxfId="1221" priority="1804" operator="containsText" text="Congé">
      <formula>NOT(ISERROR(SEARCH(("Congé"),(LQ372))))</formula>
    </cfRule>
    <cfRule type="containsText" dxfId="1220" priority="1798" operator="containsText" text="07:00 - 16:00">
      <formula>NOT(ISERROR(SEARCH(("07:00 - 16:00"),(LQ372))))</formula>
    </cfRule>
    <cfRule type="containsText" dxfId="1219" priority="1797" operator="containsText" text="14:00 - 23:00">
      <formula>NOT(ISERROR(SEARCH(("14:00 - 23:00"),(LQ372))))</formula>
    </cfRule>
    <cfRule type="containsText" dxfId="1218" priority="1796" operator="containsText" text="04:00 - 13:00">
      <formula>NOT(ISERROR(SEARCH(("04:00 - 13:00"),(LQ372))))</formula>
    </cfRule>
    <cfRule type="containsText" dxfId="1217" priority="1795" operator="containsText" text="06:00 - 15:00">
      <formula>NOT(ISERROR(SEARCH(("06:00 - 15:00"),(LQ372))))</formula>
    </cfRule>
    <cfRule type="containsText" dxfId="1216" priority="1799" operator="containsText" text="08:00 - 17:00">
      <formula>NOT(ISERROR(SEARCH(("08:00 - 17:00"),(LQ372))))</formula>
    </cfRule>
    <cfRule type="containsText" dxfId="1215" priority="1794" operator="containsText" text="OFF">
      <formula>NOT(ISERROR(SEARCH(("OFF"),(LQ372))))</formula>
    </cfRule>
    <cfRule type="containsText" dxfId="1214" priority="1800" operator="containsText" text="09:00 - 18:00">
      <formula>NOT(ISERROR(SEARCH(("09:00 - 18:00"),(LQ372))))</formula>
    </cfRule>
    <cfRule type="containsText" dxfId="1213" priority="1803" operator="containsText" text="12:00 - 21:00">
      <formula>NOT(ISERROR(SEARCH(("12:00 - 21:00"),(LQ372))))</formula>
    </cfRule>
    <cfRule type="containsText" dxfId="1212" priority="1802" operator="containsText" text="12H-21H /SCO">
      <formula>NOT(ISERROR(SEARCH(("12H-21H /SCO"),(LQ372))))</formula>
    </cfRule>
    <cfRule type="containsText" dxfId="1211" priority="1801" operator="containsText" text="10:00 - 19:00">
      <formula>NOT(ISERROR(SEARCH(("10:00 - 19:00"),(LQ372))))</formula>
    </cfRule>
  </conditionalFormatting>
  <conditionalFormatting sqref="KZ16">
    <cfRule type="containsText" dxfId="1210" priority="1524" operator="containsText" text="08:00 - 17:00">
      <formula>NOT(ISERROR(SEARCH(("08:00 - 17:00"),(LR316))))</formula>
    </cfRule>
    <cfRule type="containsText" dxfId="1209" priority="1523" operator="containsText" text="07:00 - 16:00">
      <formula>NOT(ISERROR(SEARCH(("07:00 - 16:00"),(LR316))))</formula>
    </cfRule>
    <cfRule type="containsText" dxfId="1208" priority="1522" operator="containsText" text="14:00 - 23:00">
      <formula>NOT(ISERROR(SEARCH(("14:00 - 23:00"),(LR316))))</formula>
    </cfRule>
    <cfRule type="containsText" dxfId="1207" priority="1520" operator="containsText" text="06:00 - 15:00">
      <formula>NOT(ISERROR(SEARCH(("06:00 - 15:00"),(LR316))))</formula>
    </cfRule>
    <cfRule type="containsText" dxfId="1206" priority="1527" operator="containsText" text="12H-21H /SCO">
      <formula>NOT(ISERROR(SEARCH(("12H-21H /SCO"),(LR316))))</formula>
    </cfRule>
    <cfRule type="containsText" dxfId="1205" priority="1526" operator="containsText" text="10:00 - 19:00">
      <formula>NOT(ISERROR(SEARCH(("10:00 - 19:00"),(LR316))))</formula>
    </cfRule>
    <cfRule type="containsText" dxfId="1204" priority="1525" operator="containsText" text="09:00 - 18:00">
      <formula>NOT(ISERROR(SEARCH(("09:00 - 18:00"),(LR316))))</formula>
    </cfRule>
    <cfRule type="containsText" dxfId="1203" priority="1528" operator="containsText" text="12:00 - 21:00">
      <formula>NOT(ISERROR(SEARCH(("12:00 - 21:00"),(LR316))))</formula>
    </cfRule>
    <cfRule type="containsText" dxfId="1202" priority="1519" operator="containsText" text="OFF">
      <formula>NOT(ISERROR(SEARCH(("OFF"),(LR316))))</formula>
    </cfRule>
    <cfRule type="containsText" dxfId="1201" priority="1521" operator="containsText" text="04:00 - 13:00">
      <formula>NOT(ISERROR(SEARCH(("04:00 - 13:00"),(LR316))))</formula>
    </cfRule>
    <cfRule type="containsText" dxfId="1200" priority="1529" operator="containsText" text="Congé">
      <formula>NOT(ISERROR(SEARCH(("Congé"),(LR316))))</formula>
    </cfRule>
  </conditionalFormatting>
  <conditionalFormatting sqref="LA17">
    <cfRule type="containsText" dxfId="1199" priority="646" operator="containsText" text="10:00 - 19:00">
      <formula>NOT(ISERROR(SEARCH(("10:00 - 19:00"),(LS379))))</formula>
    </cfRule>
    <cfRule type="containsText" dxfId="1198" priority="648" operator="containsText" text="12:00 - 21:00">
      <formula>NOT(ISERROR(SEARCH(("12:00 - 21:00"),(LS379))))</formula>
    </cfRule>
    <cfRule type="containsText" dxfId="1197" priority="647" operator="containsText" text="12H-21H /SCO">
      <formula>NOT(ISERROR(SEARCH(("12H-21H /SCO"),(LS379))))</formula>
    </cfRule>
    <cfRule type="containsText" dxfId="1196" priority="639" operator="containsText" text="OFF">
      <formula>NOT(ISERROR(SEARCH(("OFF"),(LS379))))</formula>
    </cfRule>
    <cfRule type="containsText" dxfId="1195" priority="640" operator="containsText" text="06:00 - 15:00">
      <formula>NOT(ISERROR(SEARCH(("06:00 - 15:00"),(LS379))))</formula>
    </cfRule>
    <cfRule type="containsText" dxfId="1194" priority="641" operator="containsText" text="04:00 - 13:00">
      <formula>NOT(ISERROR(SEARCH(("04:00 - 13:00"),(LS379))))</formula>
    </cfRule>
    <cfRule type="containsText" dxfId="1193" priority="642" operator="containsText" text="14:00 - 23:00">
      <formula>NOT(ISERROR(SEARCH(("14:00 - 23:00"),(LS379))))</formula>
    </cfRule>
    <cfRule type="containsText" dxfId="1192" priority="643" operator="containsText" text="07:00 - 16:00">
      <formula>NOT(ISERROR(SEARCH(("07:00 - 16:00"),(LS379))))</formula>
    </cfRule>
    <cfRule type="containsText" dxfId="1191" priority="644" operator="containsText" text="08:00 - 17:00">
      <formula>NOT(ISERROR(SEARCH(("08:00 - 17:00"),(LS379))))</formula>
    </cfRule>
    <cfRule type="containsText" dxfId="1190" priority="645" operator="containsText" text="09:00 - 18:00">
      <formula>NOT(ISERROR(SEARCH(("09:00 - 18:00"),(LS379))))</formula>
    </cfRule>
    <cfRule type="containsText" dxfId="1189" priority="649" operator="containsText" text="Congé">
      <formula>NOT(ISERROR(SEARCH(("Congé"),(LS379))))</formula>
    </cfRule>
  </conditionalFormatting>
  <conditionalFormatting sqref="LA18:LB18">
    <cfRule type="containsText" dxfId="1188" priority="1953" operator="containsText" text="08:00 - 17:00">
      <formula>NOT(ISERROR(SEARCH(("08:00 - 17:00"),(LS304))))</formula>
    </cfRule>
    <cfRule type="containsText" dxfId="1187" priority="1952" operator="containsText" text="07:00 - 16:00">
      <formula>NOT(ISERROR(SEARCH(("07:00 - 16:00"),(LS304))))</formula>
    </cfRule>
    <cfRule type="containsText" dxfId="1186" priority="1951" operator="containsText" text="14:00 - 23:00">
      <formula>NOT(ISERROR(SEARCH(("14:00 - 23:00"),(LS304))))</formula>
    </cfRule>
    <cfRule type="containsText" dxfId="1185" priority="1950" operator="containsText" text="04:00 - 13:00">
      <formula>NOT(ISERROR(SEARCH(("04:00 - 13:00"),(LS304))))</formula>
    </cfRule>
    <cfRule type="containsText" dxfId="1184" priority="1949" operator="containsText" text="06:00 - 15:00">
      <formula>NOT(ISERROR(SEARCH(("06:00 - 15:00"),(LS304))))</formula>
    </cfRule>
    <cfRule type="containsText" dxfId="1183" priority="1948" operator="containsText" text="OFF">
      <formula>NOT(ISERROR(SEARCH(("OFF"),(LS304))))</formula>
    </cfRule>
    <cfRule type="containsText" dxfId="1182" priority="1958" operator="containsText" text="Congé">
      <formula>NOT(ISERROR(SEARCH(("Congé"),(LS304))))</formula>
    </cfRule>
    <cfRule type="containsText" dxfId="1181" priority="1957" operator="containsText" text="12:00 - 21:00">
      <formula>NOT(ISERROR(SEARCH(("12:00 - 21:00"),(LS304))))</formula>
    </cfRule>
    <cfRule type="containsText" dxfId="1180" priority="1956" operator="containsText" text="12H-21H /SCO">
      <formula>NOT(ISERROR(SEARCH(("12H-21H /SCO"),(LS304))))</formula>
    </cfRule>
    <cfRule type="containsText" dxfId="1179" priority="1955" operator="containsText" text="10:00 - 19:00">
      <formula>NOT(ISERROR(SEARCH(("10:00 - 19:00"),(LS304))))</formula>
    </cfRule>
    <cfRule type="containsText" dxfId="1178" priority="1954" operator="containsText" text="09:00 - 18:00">
      <formula>NOT(ISERROR(SEARCH(("09:00 - 18:00"),(LS304))))</formula>
    </cfRule>
  </conditionalFormatting>
  <conditionalFormatting sqref="LB8">
    <cfRule type="containsText" dxfId="1177" priority="1839" operator="containsText" text="06:00 - 15:00">
      <formula>NOT(ISERROR(SEARCH(("06:00 - 15:00"),(LT384))))</formula>
    </cfRule>
    <cfRule type="containsText" dxfId="1176" priority="1838" operator="containsText" text="OFF">
      <formula>NOT(ISERROR(SEARCH(("OFF"),(LT384))))</formula>
    </cfRule>
    <cfRule type="containsText" dxfId="1175" priority="1848" operator="containsText" text="Congé">
      <formula>NOT(ISERROR(SEARCH(("Congé"),(LT384))))</formula>
    </cfRule>
    <cfRule type="containsText" dxfId="1174" priority="1847" operator="containsText" text="12:00 - 21:00">
      <formula>NOT(ISERROR(SEARCH(("12:00 - 21:00"),(LT384))))</formula>
    </cfRule>
    <cfRule type="containsText" dxfId="1173" priority="1846" operator="containsText" text="12H-21H /SCO">
      <formula>NOT(ISERROR(SEARCH(("12H-21H /SCO"),(LT384))))</formula>
    </cfRule>
    <cfRule type="containsText" dxfId="1172" priority="1844" operator="containsText" text="09:00 - 18:00">
      <formula>NOT(ISERROR(SEARCH(("09:00 - 18:00"),(LT384))))</formula>
    </cfRule>
    <cfRule type="containsText" dxfId="1171" priority="1843" operator="containsText" text="08:00 - 17:00">
      <formula>NOT(ISERROR(SEARCH(("08:00 - 17:00"),(LT384))))</formula>
    </cfRule>
    <cfRule type="containsText" dxfId="1170" priority="1845" operator="containsText" text="10:00 - 19:00">
      <formula>NOT(ISERROR(SEARCH(("10:00 - 19:00"),(LT384))))</formula>
    </cfRule>
    <cfRule type="containsText" dxfId="1169" priority="1841" operator="containsText" text="14:00 - 23:00">
      <formula>NOT(ISERROR(SEARCH(("14:00 - 23:00"),(LT384))))</formula>
    </cfRule>
    <cfRule type="containsText" dxfId="1168" priority="1840" operator="containsText" text="04:00 - 13:00">
      <formula>NOT(ISERROR(SEARCH(("04:00 - 13:00"),(LT384))))</formula>
    </cfRule>
    <cfRule type="containsText" dxfId="1167" priority="1842" operator="containsText" text="07:00 - 16:00">
      <formula>NOT(ISERROR(SEARCH(("07:00 - 16:00"),(LT384))))</formula>
    </cfRule>
  </conditionalFormatting>
  <conditionalFormatting sqref="LB15">
    <cfRule type="containsText" dxfId="1166" priority="572" operator="containsText" text="Congé">
      <formula>NOT(ISERROR(SEARCH(("Congé"),(LT377))))</formula>
    </cfRule>
    <cfRule type="containsText" dxfId="1165" priority="571" operator="containsText" text="12:00 - 21:00">
      <formula>NOT(ISERROR(SEARCH(("12:00 - 21:00"),(LT377))))</formula>
    </cfRule>
    <cfRule type="containsText" dxfId="1164" priority="570" operator="containsText" text="12H-21H /SCO">
      <formula>NOT(ISERROR(SEARCH(("12H-21H /SCO"),(LT377))))</formula>
    </cfRule>
    <cfRule type="containsText" dxfId="1163" priority="569" operator="containsText" text="10:00 - 19:00">
      <formula>NOT(ISERROR(SEARCH(("10:00 - 19:00"),(LT377))))</formula>
    </cfRule>
    <cfRule type="containsText" dxfId="1162" priority="566" operator="containsText" text="07:00 - 16:00">
      <formula>NOT(ISERROR(SEARCH(("07:00 - 16:00"),(LT377))))</formula>
    </cfRule>
    <cfRule type="containsText" dxfId="1161" priority="563" operator="containsText" text="06:00 - 15:00">
      <formula>NOT(ISERROR(SEARCH(("06:00 - 15:00"),(LT377))))</formula>
    </cfRule>
    <cfRule type="containsText" dxfId="1160" priority="562" operator="containsText" text="OFF">
      <formula>NOT(ISERROR(SEARCH(("OFF"),(LT377))))</formula>
    </cfRule>
    <cfRule type="containsText" dxfId="1159" priority="567" operator="containsText" text="08:00 - 17:00">
      <formula>NOT(ISERROR(SEARCH(("08:00 - 17:00"),(LT377))))</formula>
    </cfRule>
    <cfRule type="containsText" dxfId="1158" priority="565" operator="containsText" text="14:00 - 23:00">
      <formula>NOT(ISERROR(SEARCH(("14:00 - 23:00"),(LT377))))</formula>
    </cfRule>
    <cfRule type="containsText" dxfId="1157" priority="564" operator="containsText" text="04:00 - 13:00">
      <formula>NOT(ISERROR(SEARCH(("04:00 - 13:00"),(LT377))))</formula>
    </cfRule>
    <cfRule type="containsText" dxfId="1156" priority="568" operator="containsText" text="09:00 - 18:00">
      <formula>NOT(ISERROR(SEARCH(("09:00 - 18:00"),(LT377))))</formula>
    </cfRule>
  </conditionalFormatting>
  <conditionalFormatting sqref="LB14:LC14">
    <cfRule type="containsText" dxfId="1155" priority="1928" operator="containsText" text="04:00 - 13:00">
      <formula>NOT(ISERROR(SEARCH(("04:00 - 13:00"),(LT376))))</formula>
    </cfRule>
    <cfRule type="containsText" dxfId="1154" priority="1927" operator="containsText" text="06:00 - 15:00">
      <formula>NOT(ISERROR(SEARCH(("06:00 - 15:00"),(LT376))))</formula>
    </cfRule>
    <cfRule type="containsText" dxfId="1153" priority="1926" operator="containsText" text="OFF">
      <formula>NOT(ISERROR(SEARCH(("OFF"),(LT376))))</formula>
    </cfRule>
    <cfRule type="containsText" dxfId="1152" priority="1929" operator="containsText" text="14:00 - 23:00">
      <formula>NOT(ISERROR(SEARCH(("14:00 - 23:00"),(LT376))))</formula>
    </cfRule>
    <cfRule type="containsText" dxfId="1151" priority="1930" operator="containsText" text="07:00 - 16:00">
      <formula>NOT(ISERROR(SEARCH(("07:00 - 16:00"),(LT376))))</formula>
    </cfRule>
    <cfRule type="containsText" dxfId="1150" priority="1931" operator="containsText" text="08:00 - 17:00">
      <formula>NOT(ISERROR(SEARCH(("08:00 - 17:00"),(LT376))))</formula>
    </cfRule>
    <cfRule type="containsText" dxfId="1149" priority="1936" operator="containsText" text="Congé">
      <formula>NOT(ISERROR(SEARCH(("Congé"),(LT376))))</formula>
    </cfRule>
    <cfRule type="containsText" dxfId="1148" priority="1932" operator="containsText" text="09:00 - 18:00">
      <formula>NOT(ISERROR(SEARCH(("09:00 - 18:00"),(LT376))))</formula>
    </cfRule>
    <cfRule type="containsText" dxfId="1147" priority="1933" operator="containsText" text="10:00 - 19:00">
      <formula>NOT(ISERROR(SEARCH(("10:00 - 19:00"),(LT376))))</formula>
    </cfRule>
    <cfRule type="containsText" dxfId="1146" priority="1934" operator="containsText" text="12H-21H /SCO">
      <formula>NOT(ISERROR(SEARCH(("12H-21H /SCO"),(LT376))))</formula>
    </cfRule>
    <cfRule type="containsText" dxfId="1145" priority="1935" operator="containsText" text="12:00 - 21:00">
      <formula>NOT(ISERROR(SEARCH(("12:00 - 21:00"),(LT376))))</formula>
    </cfRule>
  </conditionalFormatting>
  <conditionalFormatting sqref="LC11">
    <cfRule type="containsText" dxfId="1144" priority="1895" operator="containsText" text="04:00 - 13:00">
      <formula>NOT(ISERROR(SEARCH(("04:00 - 13:00"),(LU375))))</formula>
    </cfRule>
    <cfRule type="containsText" dxfId="1143" priority="1903" operator="containsText" text="Congé">
      <formula>NOT(ISERROR(SEARCH(("Congé"),(LU375))))</formula>
    </cfRule>
    <cfRule type="containsText" dxfId="1142" priority="1902" operator="containsText" text="12:00 - 21:00">
      <formula>NOT(ISERROR(SEARCH(("12:00 - 21:00"),(LU375))))</formula>
    </cfRule>
    <cfRule type="containsText" dxfId="1141" priority="1901" operator="containsText" text="12H-21H /SCO">
      <formula>NOT(ISERROR(SEARCH(("12H-21H /SCO"),(LU375))))</formula>
    </cfRule>
    <cfRule type="containsText" dxfId="1140" priority="1897" operator="containsText" text="07:00 - 16:00">
      <formula>NOT(ISERROR(SEARCH(("07:00 - 16:00"),(LU375))))</formula>
    </cfRule>
    <cfRule type="containsText" dxfId="1139" priority="1900" operator="containsText" text="10:00 - 19:00">
      <formula>NOT(ISERROR(SEARCH(("10:00 - 19:00"),(LU375))))</formula>
    </cfRule>
    <cfRule type="containsText" dxfId="1138" priority="1899" operator="containsText" text="09:00 - 18:00">
      <formula>NOT(ISERROR(SEARCH(("09:00 - 18:00"),(LU375))))</formula>
    </cfRule>
    <cfRule type="containsText" dxfId="1137" priority="1898" operator="containsText" text="08:00 - 17:00">
      <formula>NOT(ISERROR(SEARCH(("08:00 - 17:00"),(LU375))))</formula>
    </cfRule>
    <cfRule type="containsText" dxfId="1136" priority="1893" operator="containsText" text="OFF">
      <formula>NOT(ISERROR(SEARCH(("OFF"),(LU375))))</formula>
    </cfRule>
    <cfRule type="containsText" dxfId="1135" priority="1894" operator="containsText" text="06:00 - 15:00">
      <formula>NOT(ISERROR(SEARCH(("06:00 - 15:00"),(LU375))))</formula>
    </cfRule>
    <cfRule type="containsText" dxfId="1134" priority="1896" operator="containsText" text="14:00 - 23:00">
      <formula>NOT(ISERROR(SEARCH(("14:00 - 23:00"),(LU375))))</formula>
    </cfRule>
  </conditionalFormatting>
  <conditionalFormatting sqref="LC15">
    <cfRule type="containsText" dxfId="1133" priority="585" operator="containsText" text="06:00 - 15:00">
      <formula>NOT(ISERROR(SEARCH(("06:00 - 15:00"),(LU375))))</formula>
    </cfRule>
    <cfRule type="containsText" dxfId="1132" priority="584" operator="containsText" text="OFF">
      <formula>NOT(ISERROR(SEARCH(("OFF"),(LU375))))</formula>
    </cfRule>
    <cfRule type="containsText" dxfId="1131" priority="586" operator="containsText" text="04:00 - 13:00">
      <formula>NOT(ISERROR(SEARCH(("04:00 - 13:00"),(LU375))))</formula>
    </cfRule>
    <cfRule type="containsText" dxfId="1130" priority="587" operator="containsText" text="14:00 - 23:00">
      <formula>NOT(ISERROR(SEARCH(("14:00 - 23:00"),(LU375))))</formula>
    </cfRule>
    <cfRule type="containsText" dxfId="1129" priority="588" operator="containsText" text="07:00 - 16:00">
      <formula>NOT(ISERROR(SEARCH(("07:00 - 16:00"),(LU375))))</formula>
    </cfRule>
    <cfRule type="containsText" dxfId="1128" priority="589" operator="containsText" text="08:00 - 17:00">
      <formula>NOT(ISERROR(SEARCH(("08:00 - 17:00"),(LU375))))</formula>
    </cfRule>
    <cfRule type="containsText" dxfId="1127" priority="590" operator="containsText" text="09:00 - 18:00">
      <formula>NOT(ISERROR(SEARCH(("09:00 - 18:00"),(LU375))))</formula>
    </cfRule>
    <cfRule type="containsText" dxfId="1126" priority="591" operator="containsText" text="10:00 - 19:00">
      <formula>NOT(ISERROR(SEARCH(("10:00 - 19:00"),(LU375))))</formula>
    </cfRule>
    <cfRule type="containsText" dxfId="1125" priority="592" operator="containsText" text="12H-21H /SCO">
      <formula>NOT(ISERROR(SEARCH(("12H-21H /SCO"),(LU375))))</formula>
    </cfRule>
    <cfRule type="containsText" dxfId="1124" priority="593" operator="containsText" text="12:00 - 21:00">
      <formula>NOT(ISERROR(SEARCH(("12:00 - 21:00"),(LU375))))</formula>
    </cfRule>
    <cfRule type="containsText" dxfId="1123" priority="594" operator="containsText" text="Congé">
      <formula>NOT(ISERROR(SEARCH(("Congé"),(LU375))))</formula>
    </cfRule>
  </conditionalFormatting>
  <conditionalFormatting sqref="LD8">
    <cfRule type="containsText" dxfId="1122" priority="1880" operator="containsText" text="12:00 - 21:00">
      <formula>NOT(ISERROR(SEARCH(("12:00 - 21:00"),(LV376))))</formula>
    </cfRule>
    <cfRule type="containsText" dxfId="1121" priority="1881" operator="containsText" text="Congé">
      <formula>NOT(ISERROR(SEARCH(("Congé"),(LV376))))</formula>
    </cfRule>
    <cfRule type="containsText" dxfId="1120" priority="1871" operator="containsText" text="OFF">
      <formula>NOT(ISERROR(SEARCH(("OFF"),(LV376))))</formula>
    </cfRule>
    <cfRule type="containsText" dxfId="1119" priority="1872" operator="containsText" text="06:00 - 15:00">
      <formula>NOT(ISERROR(SEARCH(("06:00 - 15:00"),(LV376))))</formula>
    </cfRule>
    <cfRule type="containsText" dxfId="1118" priority="1878" operator="containsText" text="10:00 - 19:00">
      <formula>NOT(ISERROR(SEARCH(("10:00 - 19:00"),(LV376))))</formula>
    </cfRule>
    <cfRule type="containsText" dxfId="1117" priority="1873" operator="containsText" text="04:00 - 13:00">
      <formula>NOT(ISERROR(SEARCH(("04:00 - 13:00"),(LV376))))</formula>
    </cfRule>
    <cfRule type="containsText" dxfId="1116" priority="1874" operator="containsText" text="14:00 - 23:00">
      <formula>NOT(ISERROR(SEARCH(("14:00 - 23:00"),(LV376))))</formula>
    </cfRule>
    <cfRule type="containsText" dxfId="1115" priority="1875" operator="containsText" text="07:00 - 16:00">
      <formula>NOT(ISERROR(SEARCH(("07:00 - 16:00"),(LV376))))</formula>
    </cfRule>
    <cfRule type="containsText" dxfId="1114" priority="1876" operator="containsText" text="08:00 - 17:00">
      <formula>NOT(ISERROR(SEARCH(("08:00 - 17:00"),(LV376))))</formula>
    </cfRule>
    <cfRule type="containsText" dxfId="1113" priority="1879" operator="containsText" text="12H-21H /SCO">
      <formula>NOT(ISERROR(SEARCH(("12H-21H /SCO"),(LV376))))</formula>
    </cfRule>
    <cfRule type="containsText" dxfId="1112" priority="1877" operator="containsText" text="09:00 - 18:00">
      <formula>NOT(ISERROR(SEARCH(("09:00 - 18:00"),(LV376))))</formula>
    </cfRule>
  </conditionalFormatting>
  <conditionalFormatting sqref="LD10">
    <cfRule type="containsText" dxfId="1111" priority="1807" operator="containsText" text="04:00 - 13:00">
      <formula>NOT(ISERROR(SEARCH(("04:00 - 13:00"),(LV377))))</formula>
    </cfRule>
    <cfRule type="containsText" dxfId="1110" priority="1806" operator="containsText" text="06:00 - 15:00">
      <formula>NOT(ISERROR(SEARCH(("06:00 - 15:00"),(LV377))))</formula>
    </cfRule>
    <cfRule type="containsText" dxfId="1109" priority="1805" operator="containsText" text="OFF">
      <formula>NOT(ISERROR(SEARCH(("OFF"),(LV377))))</formula>
    </cfRule>
    <cfRule type="containsText" dxfId="1108" priority="1808" operator="containsText" text="14:00 - 23:00">
      <formula>NOT(ISERROR(SEARCH(("14:00 - 23:00"),(LV377))))</formula>
    </cfRule>
    <cfRule type="containsText" dxfId="1107" priority="1815" operator="containsText" text="Congé">
      <formula>NOT(ISERROR(SEARCH(("Congé"),(LV377))))</formula>
    </cfRule>
    <cfRule type="containsText" dxfId="1106" priority="1811" operator="containsText" text="09:00 - 18:00">
      <formula>NOT(ISERROR(SEARCH(("09:00 - 18:00"),(LV377))))</formula>
    </cfRule>
    <cfRule type="containsText" dxfId="1105" priority="1814" operator="containsText" text="12:00 - 21:00">
      <formula>NOT(ISERROR(SEARCH(("12:00 - 21:00"),(LV377))))</formula>
    </cfRule>
    <cfRule type="containsText" dxfId="1104" priority="1813" operator="containsText" text="12H-21H /SCO">
      <formula>NOT(ISERROR(SEARCH(("12H-21H /SCO"),(LV377))))</formula>
    </cfRule>
    <cfRule type="containsText" dxfId="1103" priority="1812" operator="containsText" text="10:00 - 19:00">
      <formula>NOT(ISERROR(SEARCH(("10:00 - 19:00"),(LV377))))</formula>
    </cfRule>
    <cfRule type="containsText" dxfId="1102" priority="1810" operator="containsText" text="08:00 - 17:00">
      <formula>NOT(ISERROR(SEARCH(("08:00 - 17:00"),(LV377))))</formula>
    </cfRule>
    <cfRule type="containsText" dxfId="1101" priority="1809" operator="containsText" text="07:00 - 16:00">
      <formula>NOT(ISERROR(SEARCH(("07:00 - 16:00"),(LV377))))</formula>
    </cfRule>
  </conditionalFormatting>
  <conditionalFormatting sqref="LD12">
    <cfRule type="containsText" dxfId="1100" priority="1864" operator="containsText" text="07:00 - 16:00">
      <formula>NOT(ISERROR(SEARCH(("07:00 - 16:00"),(LV380))))</formula>
    </cfRule>
    <cfRule type="containsText" dxfId="1099" priority="1860" operator="containsText" text="OFF">
      <formula>NOT(ISERROR(SEARCH(("OFF"),(LV380))))</formula>
    </cfRule>
    <cfRule type="containsText" dxfId="1098" priority="1861" operator="containsText" text="06:00 - 15:00">
      <formula>NOT(ISERROR(SEARCH(("06:00 - 15:00"),(LV380))))</formula>
    </cfRule>
    <cfRule type="containsText" dxfId="1097" priority="1862" operator="containsText" text="04:00 - 13:00">
      <formula>NOT(ISERROR(SEARCH(("04:00 - 13:00"),(LV380))))</formula>
    </cfRule>
    <cfRule type="containsText" dxfId="1096" priority="1863" operator="containsText" text="14:00 - 23:00">
      <formula>NOT(ISERROR(SEARCH(("14:00 - 23:00"),(LV380))))</formula>
    </cfRule>
    <cfRule type="containsText" dxfId="1095" priority="1865" operator="containsText" text="08:00 - 17:00">
      <formula>NOT(ISERROR(SEARCH(("08:00 - 17:00"),(LV380))))</formula>
    </cfRule>
    <cfRule type="containsText" dxfId="1094" priority="1866" operator="containsText" text="09:00 - 18:00">
      <formula>NOT(ISERROR(SEARCH(("09:00 - 18:00"),(LV380))))</formula>
    </cfRule>
    <cfRule type="containsText" dxfId="1093" priority="1867" operator="containsText" text="10:00 - 19:00">
      <formula>NOT(ISERROR(SEARCH(("10:00 - 19:00"),(LV380))))</formula>
    </cfRule>
    <cfRule type="containsText" dxfId="1092" priority="1868" operator="containsText" text="12H-21H /SCO">
      <formula>NOT(ISERROR(SEARCH(("12H-21H /SCO"),(LV380))))</formula>
    </cfRule>
    <cfRule type="containsText" dxfId="1091" priority="1869" operator="containsText" text="12:00 - 21:00">
      <formula>NOT(ISERROR(SEARCH(("12:00 - 21:00"),(LV380))))</formula>
    </cfRule>
    <cfRule type="containsText" dxfId="1090" priority="1870" operator="containsText" text="Congé">
      <formula>NOT(ISERROR(SEARCH(("Congé"),(LV380))))</formula>
    </cfRule>
  </conditionalFormatting>
  <conditionalFormatting sqref="LE10">
    <cfRule type="containsText" dxfId="1089" priority="1551" operator="containsText" text="Congé">
      <formula>NOT(ISERROR(SEARCH(("Congé"),(LW387))))</formula>
    </cfRule>
    <cfRule type="containsText" dxfId="1088" priority="1550" operator="containsText" text="12:00 - 21:00">
      <formula>NOT(ISERROR(SEARCH(("12:00 - 21:00"),(LW387))))</formula>
    </cfRule>
    <cfRule type="containsText" dxfId="1087" priority="1549" operator="containsText" text="12H-21H /SCO">
      <formula>NOT(ISERROR(SEARCH(("12H-21H /SCO"),(LW387))))</formula>
    </cfRule>
    <cfRule type="containsText" dxfId="1086" priority="1548" operator="containsText" text="10:00 - 19:00">
      <formula>NOT(ISERROR(SEARCH(("10:00 - 19:00"),(LW387))))</formula>
    </cfRule>
    <cfRule type="containsText" dxfId="1085" priority="1547" operator="containsText" text="09:00 - 18:00">
      <formula>NOT(ISERROR(SEARCH(("09:00 - 18:00"),(LW387))))</formula>
    </cfRule>
    <cfRule type="containsText" dxfId="1084" priority="1546" operator="containsText" text="08:00 - 17:00">
      <formula>NOT(ISERROR(SEARCH(("08:00 - 17:00"),(LW387))))</formula>
    </cfRule>
    <cfRule type="containsText" dxfId="1083" priority="1545" operator="containsText" text="07:00 - 16:00">
      <formula>NOT(ISERROR(SEARCH(("07:00 - 16:00"),(LW387))))</formula>
    </cfRule>
    <cfRule type="containsText" dxfId="1082" priority="1544" operator="containsText" text="14:00 - 23:00">
      <formula>NOT(ISERROR(SEARCH(("14:00 - 23:00"),(LW387))))</formula>
    </cfRule>
    <cfRule type="containsText" dxfId="1081" priority="1543" operator="containsText" text="04:00 - 13:00">
      <formula>NOT(ISERROR(SEARCH(("04:00 - 13:00"),(LW387))))</formula>
    </cfRule>
    <cfRule type="containsText" dxfId="1080" priority="1542" operator="containsText" text="06:00 - 15:00">
      <formula>NOT(ISERROR(SEARCH(("06:00 - 15:00"),(LW387))))</formula>
    </cfRule>
    <cfRule type="containsText" dxfId="1079" priority="1541" operator="containsText" text="OFF">
      <formula>NOT(ISERROR(SEARCH(("OFF"),(LW387))))</formula>
    </cfRule>
  </conditionalFormatting>
  <conditionalFormatting sqref="LE11">
    <cfRule type="containsText" dxfId="1078" priority="1540" operator="containsText" text="Congé">
      <formula>NOT(ISERROR(SEARCH(("Congé"),(LW304))))</formula>
    </cfRule>
    <cfRule type="containsText" dxfId="1077" priority="1539" operator="containsText" text="12:00 - 21:00">
      <formula>NOT(ISERROR(SEARCH(("12:00 - 21:00"),(LW304))))</formula>
    </cfRule>
    <cfRule type="containsText" dxfId="1076" priority="1538" operator="containsText" text="12H-21H /SCO">
      <formula>NOT(ISERROR(SEARCH(("12H-21H /SCO"),(LW304))))</formula>
    </cfRule>
    <cfRule type="containsText" dxfId="1075" priority="1537" operator="containsText" text="10:00 - 19:00">
      <formula>NOT(ISERROR(SEARCH(("10:00 - 19:00"),(LW304))))</formula>
    </cfRule>
    <cfRule type="containsText" dxfId="1074" priority="1536" operator="containsText" text="09:00 - 18:00">
      <formula>NOT(ISERROR(SEARCH(("09:00 - 18:00"),(LW304))))</formula>
    </cfRule>
    <cfRule type="containsText" dxfId="1073" priority="1535" operator="containsText" text="08:00 - 17:00">
      <formula>NOT(ISERROR(SEARCH(("08:00 - 17:00"),(LW304))))</formula>
    </cfRule>
    <cfRule type="containsText" dxfId="1072" priority="1534" operator="containsText" text="07:00 - 16:00">
      <formula>NOT(ISERROR(SEARCH(("07:00 - 16:00"),(LW304))))</formula>
    </cfRule>
    <cfRule type="containsText" dxfId="1071" priority="1533" operator="containsText" text="14:00 - 23:00">
      <formula>NOT(ISERROR(SEARCH(("14:00 - 23:00"),(LW304))))</formula>
    </cfRule>
    <cfRule type="containsText" dxfId="1070" priority="1532" operator="containsText" text="04:00 - 13:00">
      <formula>NOT(ISERROR(SEARCH(("04:00 - 13:00"),(LW304))))</formula>
    </cfRule>
    <cfRule type="containsText" dxfId="1069" priority="1531" operator="containsText" text="06:00 - 15:00">
      <formula>NOT(ISERROR(SEARCH(("06:00 - 15:00"),(LW304))))</formula>
    </cfRule>
    <cfRule type="containsText" dxfId="1068" priority="1530" operator="containsText" text="OFF">
      <formula>NOT(ISERROR(SEARCH(("OFF"),(LW304))))</formula>
    </cfRule>
  </conditionalFormatting>
  <conditionalFormatting sqref="LE15">
    <cfRule type="containsText" dxfId="1067" priority="576" operator="containsText" text="14:00 - 23:00">
      <formula>NOT(ISERROR(SEARCH(("14:00 - 23:00"),(LW382))))</formula>
    </cfRule>
    <cfRule type="containsText" dxfId="1066" priority="582" operator="containsText" text="12:00 - 21:00">
      <formula>NOT(ISERROR(SEARCH(("12:00 - 21:00"),(LW382))))</formula>
    </cfRule>
    <cfRule type="containsText" dxfId="1065" priority="581" operator="containsText" text="12H-21H /SCO">
      <formula>NOT(ISERROR(SEARCH(("12H-21H /SCO"),(LW382))))</formula>
    </cfRule>
    <cfRule type="containsText" dxfId="1064" priority="580" operator="containsText" text="10:00 - 19:00">
      <formula>NOT(ISERROR(SEARCH(("10:00 - 19:00"),(LW382))))</formula>
    </cfRule>
    <cfRule type="containsText" dxfId="1063" priority="579" operator="containsText" text="09:00 - 18:00">
      <formula>NOT(ISERROR(SEARCH(("09:00 - 18:00"),(LW382))))</formula>
    </cfRule>
    <cfRule type="containsText" dxfId="1062" priority="578" operator="containsText" text="08:00 - 17:00">
      <formula>NOT(ISERROR(SEARCH(("08:00 - 17:00"),(LW382))))</formula>
    </cfRule>
    <cfRule type="containsText" dxfId="1061" priority="577" operator="containsText" text="07:00 - 16:00">
      <formula>NOT(ISERROR(SEARCH(("07:00 - 16:00"),(LW382))))</formula>
    </cfRule>
    <cfRule type="containsText" dxfId="1060" priority="575" operator="containsText" text="04:00 - 13:00">
      <formula>NOT(ISERROR(SEARCH(("04:00 - 13:00"),(LW382))))</formula>
    </cfRule>
    <cfRule type="containsText" dxfId="1059" priority="574" operator="containsText" text="06:00 - 15:00">
      <formula>NOT(ISERROR(SEARCH(("06:00 - 15:00"),(LW382))))</formula>
    </cfRule>
    <cfRule type="containsText" dxfId="1058" priority="573" operator="containsText" text="OFF">
      <formula>NOT(ISERROR(SEARCH(("OFF"),(LW382))))</formula>
    </cfRule>
    <cfRule type="containsText" dxfId="1057" priority="583" operator="containsText" text="Congé">
      <formula>NOT(ISERROR(SEARCH(("Congé"),(LW382))))</formula>
    </cfRule>
  </conditionalFormatting>
  <conditionalFormatting sqref="LE12:LF12">
    <cfRule type="containsText" dxfId="1056" priority="1737" operator="containsText" text="12:00 - 21:00">
      <formula>NOT(ISERROR(SEARCH(("12:00 - 21:00"),(LW305))))</formula>
    </cfRule>
    <cfRule type="containsText" dxfId="1055" priority="1735" operator="containsText" text="10:00 - 19:00">
      <formula>NOT(ISERROR(SEARCH(("10:00 - 19:00"),(LW305))))</formula>
    </cfRule>
    <cfRule type="containsText" dxfId="1054" priority="1736" operator="containsText" text="12H-21H /SCO">
      <formula>NOT(ISERROR(SEARCH(("12H-21H /SCO"),(LW305))))</formula>
    </cfRule>
    <cfRule type="containsText" dxfId="1053" priority="1734" operator="containsText" text="09:00 - 18:00">
      <formula>NOT(ISERROR(SEARCH(("09:00 - 18:00"),(LW305))))</formula>
    </cfRule>
    <cfRule type="containsText" dxfId="1052" priority="1733" operator="containsText" text="08:00 - 17:00">
      <formula>NOT(ISERROR(SEARCH(("08:00 - 17:00"),(LW305))))</formula>
    </cfRule>
    <cfRule type="containsText" dxfId="1051" priority="1732" operator="containsText" text="07:00 - 16:00">
      <formula>NOT(ISERROR(SEARCH(("07:00 - 16:00"),(LW305))))</formula>
    </cfRule>
    <cfRule type="containsText" dxfId="1050" priority="1731" operator="containsText" text="14:00 - 23:00">
      <formula>NOT(ISERROR(SEARCH(("14:00 - 23:00"),(LW305))))</formula>
    </cfRule>
    <cfRule type="containsText" dxfId="1049" priority="1730" operator="containsText" text="04:00 - 13:00">
      <formula>NOT(ISERROR(SEARCH(("04:00 - 13:00"),(LW305))))</formula>
    </cfRule>
    <cfRule type="containsText" dxfId="1048" priority="1729" operator="containsText" text="06:00 - 15:00">
      <formula>NOT(ISERROR(SEARCH(("06:00 - 15:00"),(LW305))))</formula>
    </cfRule>
    <cfRule type="containsText" dxfId="1047" priority="1728" operator="containsText" text="OFF">
      <formula>NOT(ISERROR(SEARCH(("OFF"),(LW305))))</formula>
    </cfRule>
    <cfRule type="containsText" dxfId="1046" priority="1738" operator="containsText" text="Congé">
      <formula>NOT(ISERROR(SEARCH(("Congé"),(LW305))))</formula>
    </cfRule>
  </conditionalFormatting>
  <conditionalFormatting sqref="LE18:LF18">
    <cfRule type="containsText" dxfId="1045" priority="1641" operator="containsText" text="06:00 - 15:00">
      <formula>NOT(ISERROR(SEARCH(("06:00 - 15:00"),(LW378))))</formula>
    </cfRule>
    <cfRule type="containsText" dxfId="1044" priority="1644" operator="containsText" text="07:00 - 16:00">
      <formula>NOT(ISERROR(SEARCH(("07:00 - 16:00"),(LW378))))</formula>
    </cfRule>
    <cfRule type="containsText" dxfId="1043" priority="1643" operator="containsText" text="14:00 - 23:00">
      <formula>NOT(ISERROR(SEARCH(("14:00 - 23:00"),(LW378))))</formula>
    </cfRule>
    <cfRule type="containsText" dxfId="1042" priority="1642" operator="containsText" text="04:00 - 13:00">
      <formula>NOT(ISERROR(SEARCH(("04:00 - 13:00"),(LW378))))</formula>
    </cfRule>
    <cfRule type="containsText" dxfId="1041" priority="1640" operator="containsText" text="OFF">
      <formula>NOT(ISERROR(SEARCH(("OFF"),(LW378))))</formula>
    </cfRule>
    <cfRule type="containsText" dxfId="1040" priority="1649" operator="containsText" text="12:00 - 21:00">
      <formula>NOT(ISERROR(SEARCH(("12:00 - 21:00"),(LW378))))</formula>
    </cfRule>
    <cfRule type="containsText" dxfId="1039" priority="1650" operator="containsText" text="Congé">
      <formula>NOT(ISERROR(SEARCH(("Congé"),(LW378))))</formula>
    </cfRule>
    <cfRule type="containsText" dxfId="1038" priority="1648" operator="containsText" text="12H-21H /SCO">
      <formula>NOT(ISERROR(SEARCH(("12H-21H /SCO"),(LW378))))</formula>
    </cfRule>
    <cfRule type="containsText" dxfId="1037" priority="1647" operator="containsText" text="10:00 - 19:00">
      <formula>NOT(ISERROR(SEARCH(("10:00 - 19:00"),(LW378))))</formula>
    </cfRule>
    <cfRule type="containsText" dxfId="1036" priority="1646" operator="containsText" text="09:00 - 18:00">
      <formula>NOT(ISERROR(SEARCH(("09:00 - 18:00"),(LW378))))</formula>
    </cfRule>
    <cfRule type="containsText" dxfId="1035" priority="1645" operator="containsText" text="08:00 - 17:00">
      <formula>NOT(ISERROR(SEARCH(("08:00 - 17:00"),(LW378))))</formula>
    </cfRule>
  </conditionalFormatting>
  <conditionalFormatting sqref="LF11:LG11">
    <cfRule type="containsText" dxfId="1034" priority="1507" operator="containsText" text="Congé">
      <formula>NOT(ISERROR(SEARCH(("Congé"),(LX378))))</formula>
    </cfRule>
    <cfRule type="containsText" dxfId="1033" priority="1500" operator="containsText" text="14:00 - 23:00">
      <formula>NOT(ISERROR(SEARCH(("14:00 - 23:00"),(LX378))))</formula>
    </cfRule>
    <cfRule type="containsText" dxfId="1032" priority="1501" operator="containsText" text="07:00 - 16:00">
      <formula>NOT(ISERROR(SEARCH(("07:00 - 16:00"),(LX378))))</formula>
    </cfRule>
    <cfRule type="containsText" dxfId="1031" priority="1502" operator="containsText" text="08:00 - 17:00">
      <formula>NOT(ISERROR(SEARCH(("08:00 - 17:00"),(LX378))))</formula>
    </cfRule>
    <cfRule type="containsText" dxfId="1030" priority="1503" operator="containsText" text="09:00 - 18:00">
      <formula>NOT(ISERROR(SEARCH(("09:00 - 18:00"),(LX378))))</formula>
    </cfRule>
    <cfRule type="containsText" dxfId="1029" priority="1505" operator="containsText" text="12H-21H /SCO">
      <formula>NOT(ISERROR(SEARCH(("12H-21H /SCO"),(LX378))))</formula>
    </cfRule>
    <cfRule type="containsText" dxfId="1028" priority="1506" operator="containsText" text="12:00 - 21:00">
      <formula>NOT(ISERROR(SEARCH(("12:00 - 21:00"),(LX378))))</formula>
    </cfRule>
    <cfRule type="containsText" dxfId="1027" priority="1504" operator="containsText" text="10:00 - 19:00">
      <formula>NOT(ISERROR(SEARCH(("10:00 - 19:00"),(LX378))))</formula>
    </cfRule>
    <cfRule type="containsText" dxfId="1026" priority="1499" operator="containsText" text="04:00 - 13:00">
      <formula>NOT(ISERROR(SEARCH(("04:00 - 13:00"),(LX378))))</formula>
    </cfRule>
    <cfRule type="containsText" dxfId="1025" priority="1497" operator="containsText" text="OFF">
      <formula>NOT(ISERROR(SEARCH(("OFF"),(LX378))))</formula>
    </cfRule>
    <cfRule type="containsText" dxfId="1024" priority="1498" operator="containsText" text="06:00 - 15:00">
      <formula>NOT(ISERROR(SEARCH(("06:00 - 15:00"),(LX378))))</formula>
    </cfRule>
  </conditionalFormatting>
  <conditionalFormatting sqref="LG19">
    <cfRule type="containsText" dxfId="1023" priority="1752" operator="containsText" text="04:00 - 13:00">
      <formula>NOT(ISERROR(SEARCH(("04:00 - 13:00"),(LY308))))</formula>
    </cfRule>
    <cfRule type="containsText" dxfId="1022" priority="1751" operator="containsText" text="06:00 - 15:00">
      <formula>NOT(ISERROR(SEARCH(("06:00 - 15:00"),(LY308))))</formula>
    </cfRule>
    <cfRule type="containsText" dxfId="1021" priority="1750" operator="containsText" text="OFF">
      <formula>NOT(ISERROR(SEARCH(("OFF"),(LY308))))</formula>
    </cfRule>
    <cfRule type="containsText" dxfId="1020" priority="1758" operator="containsText" text="12H-21H /SCO">
      <formula>NOT(ISERROR(SEARCH(("12H-21H /SCO"),(LY308))))</formula>
    </cfRule>
    <cfRule type="containsText" dxfId="1019" priority="1759" operator="containsText" text="12:00 - 21:00">
      <formula>NOT(ISERROR(SEARCH(("12:00 - 21:00"),(LY308))))</formula>
    </cfRule>
    <cfRule type="containsText" dxfId="1018" priority="1755" operator="containsText" text="08:00 - 17:00">
      <formula>NOT(ISERROR(SEARCH(("08:00 - 17:00"),(LY308))))</formula>
    </cfRule>
    <cfRule type="containsText" dxfId="1017" priority="1760" operator="containsText" text="Congé">
      <formula>NOT(ISERROR(SEARCH(("Congé"),(LY308))))</formula>
    </cfRule>
    <cfRule type="containsText" dxfId="1016" priority="1757" operator="containsText" text="10:00 - 19:00">
      <formula>NOT(ISERROR(SEARCH(("10:00 - 19:00"),(LY308))))</formula>
    </cfRule>
    <cfRule type="containsText" dxfId="1015" priority="1756" operator="containsText" text="09:00 - 18:00">
      <formula>NOT(ISERROR(SEARCH(("09:00 - 18:00"),(LY308))))</formula>
    </cfRule>
    <cfRule type="containsText" dxfId="1014" priority="1754" operator="containsText" text="07:00 - 16:00">
      <formula>NOT(ISERROR(SEARCH(("07:00 - 16:00"),(LY308))))</formula>
    </cfRule>
    <cfRule type="containsText" dxfId="1013" priority="1753" operator="containsText" text="14:00 - 23:00">
      <formula>NOT(ISERROR(SEARCH(("14:00 - 23:00"),(LY308))))</formula>
    </cfRule>
  </conditionalFormatting>
  <conditionalFormatting sqref="LH12:LI12">
    <cfRule type="containsText" dxfId="1012" priority="1766" operator="containsText" text="08:00 - 17:00">
      <formula>NOT(ISERROR(SEARCH(("08:00 - 17:00"),(LZ305))))</formula>
    </cfRule>
    <cfRule type="containsText" dxfId="1011" priority="1767" operator="containsText" text="09:00 - 18:00">
      <formula>NOT(ISERROR(SEARCH(("09:00 - 18:00"),(LZ305))))</formula>
    </cfRule>
    <cfRule type="containsText" dxfId="1010" priority="1769" operator="containsText" text="12H-21H /SCO">
      <formula>NOT(ISERROR(SEARCH(("12H-21H /SCO"),(LZ305))))</formula>
    </cfRule>
    <cfRule type="containsText" dxfId="1009" priority="1770" operator="containsText" text="12:00 - 21:00">
      <formula>NOT(ISERROR(SEARCH(("12:00 - 21:00"),(LZ305))))</formula>
    </cfRule>
    <cfRule type="containsText" dxfId="1008" priority="1771" operator="containsText" text="Congé">
      <formula>NOT(ISERROR(SEARCH(("Congé"),(LZ305))))</formula>
    </cfRule>
    <cfRule type="containsText" dxfId="1007" priority="1762" operator="containsText" text="06:00 - 15:00">
      <formula>NOT(ISERROR(SEARCH(("06:00 - 15:00"),(LZ305))))</formula>
    </cfRule>
    <cfRule type="containsText" dxfId="1006" priority="1768" operator="containsText" text="10:00 - 19:00">
      <formula>NOT(ISERROR(SEARCH(("10:00 - 19:00"),(LZ305))))</formula>
    </cfRule>
    <cfRule type="containsText" dxfId="1005" priority="1761" operator="containsText" text="OFF">
      <formula>NOT(ISERROR(SEARCH(("OFF"),(LZ305))))</formula>
    </cfRule>
    <cfRule type="containsText" dxfId="1004" priority="1763" operator="containsText" text="04:00 - 13:00">
      <formula>NOT(ISERROR(SEARCH(("04:00 - 13:00"),(LZ305))))</formula>
    </cfRule>
    <cfRule type="containsText" dxfId="1003" priority="1764" operator="containsText" text="14:00 - 23:00">
      <formula>NOT(ISERROR(SEARCH(("14:00 - 23:00"),(LZ305))))</formula>
    </cfRule>
    <cfRule type="containsText" dxfId="1002" priority="1765" operator="containsText" text="07:00 - 16:00">
      <formula>NOT(ISERROR(SEARCH(("07:00 - 16:00"),(LZ305))))</formula>
    </cfRule>
  </conditionalFormatting>
  <conditionalFormatting sqref="LH15:LI15">
    <cfRule type="containsText" dxfId="1001" priority="1466" operator="containsText" text="04:00 - 13:00">
      <formula>NOT(ISERROR(SEARCH(("04:00 - 13:00"),(LZ382))))</formula>
    </cfRule>
    <cfRule type="containsText" dxfId="1000" priority="1467" operator="containsText" text="14:00 - 23:00">
      <formula>NOT(ISERROR(SEARCH(("14:00 - 23:00"),(LZ382))))</formula>
    </cfRule>
    <cfRule type="containsText" dxfId="999" priority="1468" operator="containsText" text="07:00 - 16:00">
      <formula>NOT(ISERROR(SEARCH(("07:00 - 16:00"),(LZ382))))</formula>
    </cfRule>
    <cfRule type="containsText" dxfId="998" priority="1469" operator="containsText" text="08:00 - 17:00">
      <formula>NOT(ISERROR(SEARCH(("08:00 - 17:00"),(LZ382))))</formula>
    </cfRule>
    <cfRule type="containsText" dxfId="997" priority="1470" operator="containsText" text="09:00 - 18:00">
      <formula>NOT(ISERROR(SEARCH(("09:00 - 18:00"),(LZ382))))</formula>
    </cfRule>
    <cfRule type="containsText" dxfId="996" priority="1471" operator="containsText" text="10:00 - 19:00">
      <formula>NOT(ISERROR(SEARCH(("10:00 - 19:00"),(LZ382))))</formula>
    </cfRule>
    <cfRule type="containsText" dxfId="995" priority="1472" operator="containsText" text="12H-21H /SCO">
      <formula>NOT(ISERROR(SEARCH(("12H-21H /SCO"),(LZ382))))</formula>
    </cfRule>
    <cfRule type="containsText" dxfId="994" priority="1465" operator="containsText" text="06:00 - 15:00">
      <formula>NOT(ISERROR(SEARCH(("06:00 - 15:00"),(LZ382))))</formula>
    </cfRule>
    <cfRule type="containsText" dxfId="993" priority="1464" operator="containsText" text="OFF">
      <formula>NOT(ISERROR(SEARCH(("OFF"),(LZ382))))</formula>
    </cfRule>
    <cfRule type="containsText" dxfId="992" priority="1474" operator="containsText" text="Congé">
      <formula>NOT(ISERROR(SEARCH(("Congé"),(LZ382))))</formula>
    </cfRule>
    <cfRule type="containsText" dxfId="991" priority="1473" operator="containsText" text="12:00 - 21:00">
      <formula>NOT(ISERROR(SEARCH(("12:00 - 21:00"),(LZ382))))</formula>
    </cfRule>
  </conditionalFormatting>
  <conditionalFormatting sqref="LI8">
    <cfRule type="containsText" dxfId="990" priority="1658" operator="containsText" text="10:00 - 19:00">
      <formula>NOT(ISERROR(SEARCH(("10:00 - 19:00"),(MA385))))</formula>
    </cfRule>
    <cfRule type="containsText" dxfId="989" priority="1651" operator="containsText" text="OFF">
      <formula>NOT(ISERROR(SEARCH(("OFF"),(MA385))))</formula>
    </cfRule>
    <cfRule type="containsText" dxfId="988" priority="1652" operator="containsText" text="06:00 - 15:00">
      <formula>NOT(ISERROR(SEARCH(("06:00 - 15:00"),(MA385))))</formula>
    </cfRule>
    <cfRule type="containsText" dxfId="987" priority="1653" operator="containsText" text="04:00 - 13:00">
      <formula>NOT(ISERROR(SEARCH(("04:00 - 13:00"),(MA385))))</formula>
    </cfRule>
    <cfRule type="containsText" dxfId="986" priority="1654" operator="containsText" text="14:00 - 23:00">
      <formula>NOT(ISERROR(SEARCH(("14:00 - 23:00"),(MA385))))</formula>
    </cfRule>
    <cfRule type="containsText" dxfId="985" priority="1655" operator="containsText" text="07:00 - 16:00">
      <formula>NOT(ISERROR(SEARCH(("07:00 - 16:00"),(MA385))))</formula>
    </cfRule>
    <cfRule type="containsText" dxfId="984" priority="1656" operator="containsText" text="08:00 - 17:00">
      <formula>NOT(ISERROR(SEARCH(("08:00 - 17:00"),(MA385))))</formula>
    </cfRule>
    <cfRule type="containsText" dxfId="983" priority="1657" operator="containsText" text="09:00 - 18:00">
      <formula>NOT(ISERROR(SEARCH(("09:00 - 18:00"),(MA385))))</formula>
    </cfRule>
    <cfRule type="containsText" dxfId="982" priority="1659" operator="containsText" text="12H-21H /SCO">
      <formula>NOT(ISERROR(SEARCH(("12H-21H /SCO"),(MA385))))</formula>
    </cfRule>
    <cfRule type="containsText" dxfId="981" priority="1660" operator="containsText" text="12:00 - 21:00">
      <formula>NOT(ISERROR(SEARCH(("12:00 - 21:00"),(MA385))))</formula>
    </cfRule>
    <cfRule type="containsText" dxfId="980" priority="1661" operator="containsText" text="Congé">
      <formula>NOT(ISERROR(SEARCH(("Congé"),(MA385))))</formula>
    </cfRule>
  </conditionalFormatting>
  <conditionalFormatting sqref="LI17:LJ17">
    <cfRule type="containsText" dxfId="979" priority="1748" operator="containsText" text="12:00 - 21:00">
      <formula>NOT(ISERROR(SEARCH(("12:00 - 21:00"),(MA377))))</formula>
    </cfRule>
    <cfRule type="containsText" dxfId="978" priority="1747" operator="containsText" text="12H-21H /SCO">
      <formula>NOT(ISERROR(SEARCH(("12H-21H /SCO"),(MA377))))</formula>
    </cfRule>
    <cfRule type="containsText" dxfId="977" priority="1745" operator="containsText" text="09:00 - 18:00">
      <formula>NOT(ISERROR(SEARCH(("09:00 - 18:00"),(MA377))))</formula>
    </cfRule>
    <cfRule type="containsText" dxfId="976" priority="1744" operator="containsText" text="08:00 - 17:00">
      <formula>NOT(ISERROR(SEARCH(("08:00 - 17:00"),(MA377))))</formula>
    </cfRule>
    <cfRule type="containsText" dxfId="975" priority="1749" operator="containsText" text="Congé">
      <formula>NOT(ISERROR(SEARCH(("Congé"),(MA377))))</formula>
    </cfRule>
    <cfRule type="containsText" dxfId="974" priority="1742" operator="containsText" text="14:00 - 23:00">
      <formula>NOT(ISERROR(SEARCH(("14:00 - 23:00"),(MA377))))</formula>
    </cfRule>
    <cfRule type="containsText" dxfId="973" priority="1743" operator="containsText" text="07:00 - 16:00">
      <formula>NOT(ISERROR(SEARCH(("07:00 - 16:00"),(MA377))))</formula>
    </cfRule>
    <cfRule type="containsText" dxfId="972" priority="1746" operator="containsText" text="10:00 - 19:00">
      <formula>NOT(ISERROR(SEARCH(("10:00 - 19:00"),(MA377))))</formula>
    </cfRule>
    <cfRule type="containsText" dxfId="971" priority="1739" operator="containsText" text="OFF">
      <formula>NOT(ISERROR(SEARCH(("OFF"),(MA377))))</formula>
    </cfRule>
    <cfRule type="containsText" dxfId="970" priority="1740" operator="containsText" text="06:00 - 15:00">
      <formula>NOT(ISERROR(SEARCH(("06:00 - 15:00"),(MA377))))</formula>
    </cfRule>
    <cfRule type="containsText" dxfId="969" priority="1741" operator="containsText" text="04:00 - 13:00">
      <formula>NOT(ISERROR(SEARCH(("04:00 - 13:00"),(MA377))))</formula>
    </cfRule>
  </conditionalFormatting>
  <conditionalFormatting sqref="LJ13">
    <cfRule type="containsText" dxfId="968" priority="1552" operator="containsText" text="OFF">
      <formula>NOT(ISERROR(SEARCH(("OFF"),(MB390))))</formula>
    </cfRule>
    <cfRule type="containsText" dxfId="967" priority="1553" operator="containsText" text="06:00 - 15:00">
      <formula>NOT(ISERROR(SEARCH(("06:00 - 15:00"),(MB390))))</formula>
    </cfRule>
    <cfRule type="containsText" dxfId="966" priority="1554" operator="containsText" text="04:00 - 13:00">
      <formula>NOT(ISERROR(SEARCH(("04:00 - 13:00"),(MB390))))</formula>
    </cfRule>
    <cfRule type="containsText" dxfId="965" priority="1555" operator="containsText" text="14:00 - 23:00">
      <formula>NOT(ISERROR(SEARCH(("14:00 - 23:00"),(MB390))))</formula>
    </cfRule>
    <cfRule type="containsText" dxfId="964" priority="1556" operator="containsText" text="07:00 - 16:00">
      <formula>NOT(ISERROR(SEARCH(("07:00 - 16:00"),(MB390))))</formula>
    </cfRule>
    <cfRule type="containsText" dxfId="963" priority="1557" operator="containsText" text="08:00 - 17:00">
      <formula>NOT(ISERROR(SEARCH(("08:00 - 17:00"),(MB390))))</formula>
    </cfRule>
    <cfRule type="containsText" dxfId="962" priority="1558" operator="containsText" text="09:00 - 18:00">
      <formula>NOT(ISERROR(SEARCH(("09:00 - 18:00"),(MB390))))</formula>
    </cfRule>
    <cfRule type="containsText" dxfId="961" priority="1559" operator="containsText" text="10:00 - 19:00">
      <formula>NOT(ISERROR(SEARCH(("10:00 - 19:00"),(MB390))))</formula>
    </cfRule>
    <cfRule type="containsText" dxfId="960" priority="1560" operator="containsText" text="12H-21H /SCO">
      <formula>NOT(ISERROR(SEARCH(("12H-21H /SCO"),(MB390))))</formula>
    </cfRule>
    <cfRule type="containsText" dxfId="959" priority="1561" operator="containsText" text="12:00 - 21:00">
      <formula>NOT(ISERROR(SEARCH(("12:00 - 21:00"),(MB390))))</formula>
    </cfRule>
    <cfRule type="containsText" dxfId="958" priority="1562" operator="containsText" text="Congé">
      <formula>NOT(ISERROR(SEARCH(("Congé"),(MB390))))</formula>
    </cfRule>
  </conditionalFormatting>
  <conditionalFormatting sqref="LJ15">
    <cfRule type="containsText" dxfId="957" priority="1699" operator="containsText" text="07:00 - 16:00">
      <formula>NOT(ISERROR(SEARCH(("07:00 - 16:00"),(MB378))))</formula>
    </cfRule>
    <cfRule type="containsText" dxfId="956" priority="1705" operator="containsText" text="Congé">
      <formula>NOT(ISERROR(SEARCH(("Congé"),(MB378))))</formula>
    </cfRule>
    <cfRule type="containsText" dxfId="955" priority="1704" operator="containsText" text="12:00 - 21:00">
      <formula>NOT(ISERROR(SEARCH(("12:00 - 21:00"),(MB378))))</formula>
    </cfRule>
    <cfRule type="containsText" dxfId="954" priority="1703" operator="containsText" text="12H-21H /SCO">
      <formula>NOT(ISERROR(SEARCH(("12H-21H /SCO"),(MB378))))</formula>
    </cfRule>
    <cfRule type="containsText" dxfId="953" priority="1701" operator="containsText" text="09:00 - 18:00">
      <formula>NOT(ISERROR(SEARCH(("09:00 - 18:00"),(MB378))))</formula>
    </cfRule>
    <cfRule type="containsText" dxfId="952" priority="1700" operator="containsText" text="08:00 - 17:00">
      <formula>NOT(ISERROR(SEARCH(("08:00 - 17:00"),(MB378))))</formula>
    </cfRule>
    <cfRule type="containsText" dxfId="951" priority="1698" operator="containsText" text="14:00 - 23:00">
      <formula>NOT(ISERROR(SEARCH(("14:00 - 23:00"),(MB378))))</formula>
    </cfRule>
    <cfRule type="containsText" dxfId="950" priority="1697" operator="containsText" text="04:00 - 13:00">
      <formula>NOT(ISERROR(SEARCH(("04:00 - 13:00"),(MB378))))</formula>
    </cfRule>
    <cfRule type="containsText" dxfId="949" priority="1696" operator="containsText" text="06:00 - 15:00">
      <formula>NOT(ISERROR(SEARCH(("06:00 - 15:00"),(MB378))))</formula>
    </cfRule>
    <cfRule type="containsText" dxfId="948" priority="1695" operator="containsText" text="OFF">
      <formula>NOT(ISERROR(SEARCH(("OFF"),(MB378))))</formula>
    </cfRule>
    <cfRule type="containsText" dxfId="947" priority="1702" operator="containsText" text="10:00 - 19:00">
      <formula>NOT(ISERROR(SEARCH(("10:00 - 19:00"),(MB378))))</formula>
    </cfRule>
  </conditionalFormatting>
  <conditionalFormatting sqref="LJ18">
    <cfRule type="containsText" dxfId="946" priority="1708" operator="containsText" text="04:00 - 13:00">
      <formula>NOT(ISERROR(SEARCH(("04:00 - 13:00"),(MB376))))</formula>
    </cfRule>
    <cfRule type="containsText" dxfId="945" priority="1709" operator="containsText" text="14:00 - 23:00">
      <formula>NOT(ISERROR(SEARCH(("14:00 - 23:00"),(MB376))))</formula>
    </cfRule>
    <cfRule type="containsText" dxfId="944" priority="1716" operator="containsText" text="Congé">
      <formula>NOT(ISERROR(SEARCH(("Congé"),(MB376))))</formula>
    </cfRule>
    <cfRule type="containsText" dxfId="943" priority="1710" operator="containsText" text="07:00 - 16:00">
      <formula>NOT(ISERROR(SEARCH(("07:00 - 16:00"),(MB376))))</formula>
    </cfRule>
    <cfRule type="containsText" dxfId="942" priority="1706" operator="containsText" text="OFF">
      <formula>NOT(ISERROR(SEARCH(("OFF"),(MB376))))</formula>
    </cfRule>
    <cfRule type="containsText" dxfId="941" priority="1711" operator="containsText" text="08:00 - 17:00">
      <formula>NOT(ISERROR(SEARCH(("08:00 - 17:00"),(MB376))))</formula>
    </cfRule>
    <cfRule type="containsText" dxfId="940" priority="1713" operator="containsText" text="10:00 - 19:00">
      <formula>NOT(ISERROR(SEARCH(("10:00 - 19:00"),(MB376))))</formula>
    </cfRule>
    <cfRule type="containsText" dxfId="939" priority="1712" operator="containsText" text="09:00 - 18:00">
      <formula>NOT(ISERROR(SEARCH(("09:00 - 18:00"),(MB376))))</formula>
    </cfRule>
    <cfRule type="containsText" dxfId="938" priority="1714" operator="containsText" text="12H-21H /SCO">
      <formula>NOT(ISERROR(SEARCH(("12H-21H /SCO"),(MB376))))</formula>
    </cfRule>
    <cfRule type="containsText" dxfId="937" priority="1715" operator="containsText" text="12:00 - 21:00">
      <formula>NOT(ISERROR(SEARCH(("12:00 - 21:00"),(MB376))))</formula>
    </cfRule>
    <cfRule type="containsText" dxfId="936" priority="1707" operator="containsText" text="06:00 - 15:00">
      <formula>NOT(ISERROR(SEARCH(("06:00 - 15:00"),(MB376))))</formula>
    </cfRule>
  </conditionalFormatting>
  <conditionalFormatting sqref="LJ16:LK16">
    <cfRule type="containsText" dxfId="935" priority="1673" operator="containsText" text="OFF">
      <formula>NOT(ISERROR(SEARCH(("OFF"),(MB381))))</formula>
    </cfRule>
    <cfRule type="containsText" dxfId="934" priority="1674" operator="containsText" text="06:00 - 15:00">
      <formula>NOT(ISERROR(SEARCH(("06:00 - 15:00"),(MB381))))</formula>
    </cfRule>
    <cfRule type="containsText" dxfId="933" priority="1675" operator="containsText" text="04:00 - 13:00">
      <formula>NOT(ISERROR(SEARCH(("04:00 - 13:00"),(MB381))))</formula>
    </cfRule>
    <cfRule type="containsText" dxfId="932" priority="1676" operator="containsText" text="14:00 - 23:00">
      <formula>NOT(ISERROR(SEARCH(("14:00 - 23:00"),(MB381))))</formula>
    </cfRule>
    <cfRule type="containsText" dxfId="931" priority="1677" operator="containsText" text="07:00 - 16:00">
      <formula>NOT(ISERROR(SEARCH(("07:00 - 16:00"),(MB381))))</formula>
    </cfRule>
    <cfRule type="containsText" dxfId="930" priority="1678" operator="containsText" text="08:00 - 17:00">
      <formula>NOT(ISERROR(SEARCH(("08:00 - 17:00"),(MB381))))</formula>
    </cfRule>
    <cfRule type="containsText" dxfId="929" priority="1679" operator="containsText" text="09:00 - 18:00">
      <formula>NOT(ISERROR(SEARCH(("09:00 - 18:00"),(MB381))))</formula>
    </cfRule>
    <cfRule type="containsText" dxfId="928" priority="1680" operator="containsText" text="10:00 - 19:00">
      <formula>NOT(ISERROR(SEARCH(("10:00 - 19:00"),(MB381))))</formula>
    </cfRule>
    <cfRule type="containsText" dxfId="927" priority="1681" operator="containsText" text="12H-21H /SCO">
      <formula>NOT(ISERROR(SEARCH(("12H-21H /SCO"),(MB381))))</formula>
    </cfRule>
    <cfRule type="containsText" dxfId="926" priority="1682" operator="containsText" text="12:00 - 21:00">
      <formula>NOT(ISERROR(SEARCH(("12:00 - 21:00"),(MB381))))</formula>
    </cfRule>
    <cfRule type="containsText" dxfId="925" priority="1683" operator="containsText" text="Congé">
      <formula>NOT(ISERROR(SEARCH(("Congé"),(MB381))))</formula>
    </cfRule>
  </conditionalFormatting>
  <conditionalFormatting sqref="LK8">
    <cfRule type="containsText" dxfId="924" priority="1684" operator="containsText" text="OFF">
      <formula>NOT(ISERROR(SEARCH(("OFF"),(MC377))))</formula>
    </cfRule>
    <cfRule type="containsText" dxfId="923" priority="1694" operator="containsText" text="Congé">
      <formula>NOT(ISERROR(SEARCH(("Congé"),(MC377))))</formula>
    </cfRule>
    <cfRule type="containsText" dxfId="922" priority="1692" operator="containsText" text="12H-21H /SCO">
      <formula>NOT(ISERROR(SEARCH(("12H-21H /SCO"),(MC377))))</formula>
    </cfRule>
    <cfRule type="containsText" dxfId="921" priority="1685" operator="containsText" text="06:00 - 15:00">
      <formula>NOT(ISERROR(SEARCH(("06:00 - 15:00"),(MC377))))</formula>
    </cfRule>
    <cfRule type="containsText" dxfId="920" priority="1686" operator="containsText" text="04:00 - 13:00">
      <formula>NOT(ISERROR(SEARCH(("04:00 - 13:00"),(MC377))))</formula>
    </cfRule>
    <cfRule type="containsText" dxfId="919" priority="1689" operator="containsText" text="08:00 - 17:00">
      <formula>NOT(ISERROR(SEARCH(("08:00 - 17:00"),(MC377))))</formula>
    </cfRule>
    <cfRule type="containsText" dxfId="918" priority="1687" operator="containsText" text="14:00 - 23:00">
      <formula>NOT(ISERROR(SEARCH(("14:00 - 23:00"),(MC377))))</formula>
    </cfRule>
    <cfRule type="containsText" dxfId="917" priority="1688" operator="containsText" text="07:00 - 16:00">
      <formula>NOT(ISERROR(SEARCH(("07:00 - 16:00"),(MC377))))</formula>
    </cfRule>
    <cfRule type="containsText" dxfId="916" priority="1690" operator="containsText" text="09:00 - 18:00">
      <formula>NOT(ISERROR(SEARCH(("09:00 - 18:00"),(MC377))))</formula>
    </cfRule>
    <cfRule type="containsText" dxfId="915" priority="1691" operator="containsText" text="10:00 - 19:00">
      <formula>NOT(ISERROR(SEARCH(("10:00 - 19:00"),(MC377))))</formula>
    </cfRule>
    <cfRule type="containsText" dxfId="914" priority="1693" operator="containsText" text="12:00 - 21:00">
      <formula>NOT(ISERROR(SEARCH(("12:00 - 21:00"),(MC377))))</formula>
    </cfRule>
  </conditionalFormatting>
  <conditionalFormatting sqref="LK10">
    <cfRule type="containsText" dxfId="913" priority="1662" operator="containsText" text="OFF">
      <formula>NOT(ISERROR(SEARCH(("OFF"),(MC387))))</formula>
    </cfRule>
    <cfRule type="containsText" dxfId="912" priority="1668" operator="containsText" text="09:00 - 18:00">
      <formula>NOT(ISERROR(SEARCH(("09:00 - 18:00"),(MC387))))</formula>
    </cfRule>
    <cfRule type="containsText" dxfId="911" priority="1663" operator="containsText" text="06:00 - 15:00">
      <formula>NOT(ISERROR(SEARCH(("06:00 - 15:00"),(MC387))))</formula>
    </cfRule>
    <cfRule type="containsText" dxfId="910" priority="1664" operator="containsText" text="04:00 - 13:00">
      <formula>NOT(ISERROR(SEARCH(("04:00 - 13:00"),(MC387))))</formula>
    </cfRule>
    <cfRule type="containsText" dxfId="909" priority="1665" operator="containsText" text="14:00 - 23:00">
      <formula>NOT(ISERROR(SEARCH(("14:00 - 23:00"),(MC387))))</formula>
    </cfRule>
    <cfRule type="containsText" dxfId="908" priority="1666" operator="containsText" text="07:00 - 16:00">
      <formula>NOT(ISERROR(SEARCH(("07:00 - 16:00"),(MC387))))</formula>
    </cfRule>
    <cfRule type="containsText" dxfId="907" priority="1667" operator="containsText" text="08:00 - 17:00">
      <formula>NOT(ISERROR(SEARCH(("08:00 - 17:00"),(MC387))))</formula>
    </cfRule>
    <cfRule type="containsText" dxfId="906" priority="1669" operator="containsText" text="10:00 - 19:00">
      <formula>NOT(ISERROR(SEARCH(("10:00 - 19:00"),(MC387))))</formula>
    </cfRule>
    <cfRule type="containsText" dxfId="905" priority="1670" operator="containsText" text="12H-21H /SCO">
      <formula>NOT(ISERROR(SEARCH(("12H-21H /SCO"),(MC387))))</formula>
    </cfRule>
    <cfRule type="containsText" dxfId="904" priority="1671" operator="containsText" text="12:00 - 21:00">
      <formula>NOT(ISERROR(SEARCH(("12:00 - 21:00"),(MC387))))</formula>
    </cfRule>
    <cfRule type="containsText" dxfId="903" priority="1672" operator="containsText" text="Congé">
      <formula>NOT(ISERROR(SEARCH(("Congé"),(MC387))))</formula>
    </cfRule>
  </conditionalFormatting>
  <conditionalFormatting sqref="LK11">
    <cfRule type="containsText" dxfId="902" priority="1626" operator="containsText" text="12H-21H /SCO">
      <formula>NOT(ISERROR(SEARCH(("12H-21H /SCO"),(MC378))))</formula>
    </cfRule>
    <cfRule type="containsText" dxfId="901" priority="1627" operator="containsText" text="12:00 - 21:00">
      <formula>NOT(ISERROR(SEARCH(("12:00 - 21:00"),(MC378))))</formula>
    </cfRule>
    <cfRule type="containsText" dxfId="900" priority="1628" operator="containsText" text="Congé">
      <formula>NOT(ISERROR(SEARCH(("Congé"),(MC378))))</formula>
    </cfRule>
    <cfRule type="containsText" dxfId="899" priority="1618" operator="containsText" text="OFF">
      <formula>NOT(ISERROR(SEARCH(("OFF"),(MC378))))</formula>
    </cfRule>
    <cfRule type="containsText" dxfId="898" priority="1619" operator="containsText" text="06:00 - 15:00">
      <formula>NOT(ISERROR(SEARCH(("06:00 - 15:00"),(MC378))))</formula>
    </cfRule>
    <cfRule type="containsText" dxfId="897" priority="1622" operator="containsText" text="07:00 - 16:00">
      <formula>NOT(ISERROR(SEARCH(("07:00 - 16:00"),(MC378))))</formula>
    </cfRule>
    <cfRule type="containsText" dxfId="896" priority="1620" operator="containsText" text="04:00 - 13:00">
      <formula>NOT(ISERROR(SEARCH(("04:00 - 13:00"),(MC378))))</formula>
    </cfRule>
    <cfRule type="containsText" dxfId="895" priority="1621" operator="containsText" text="14:00 - 23:00">
      <formula>NOT(ISERROR(SEARCH(("14:00 - 23:00"),(MC378))))</formula>
    </cfRule>
    <cfRule type="containsText" dxfId="894" priority="1623" operator="containsText" text="08:00 - 17:00">
      <formula>NOT(ISERROR(SEARCH(("08:00 - 17:00"),(MC378))))</formula>
    </cfRule>
    <cfRule type="containsText" dxfId="893" priority="1624" operator="containsText" text="09:00 - 18:00">
      <formula>NOT(ISERROR(SEARCH(("09:00 - 18:00"),(MC378))))</formula>
    </cfRule>
    <cfRule type="containsText" dxfId="892" priority="1625" operator="containsText" text="10:00 - 19:00">
      <formula>NOT(ISERROR(SEARCH(("10:00 - 19:00"),(MC378))))</formula>
    </cfRule>
  </conditionalFormatting>
  <conditionalFormatting sqref="LL10">
    <cfRule type="containsText" dxfId="891" priority="519" operator="containsText" text="06:00 - 15:00">
      <formula>NOT(ISERROR(SEARCH(("06:00 - 15:00"),(MD458))))</formula>
    </cfRule>
    <cfRule type="containsText" dxfId="890" priority="520" operator="containsText" text="04:00 - 13:00">
      <formula>NOT(ISERROR(SEARCH(("04:00 - 13:00"),(MD458))))</formula>
    </cfRule>
    <cfRule type="containsText" dxfId="889" priority="521" operator="containsText" text="14:00 - 23:00">
      <formula>NOT(ISERROR(SEARCH(("14:00 - 23:00"),(MD458))))</formula>
    </cfRule>
    <cfRule type="containsText" dxfId="888" priority="522" operator="containsText" text="07:00 - 16:00">
      <formula>NOT(ISERROR(SEARCH(("07:00 - 16:00"),(MD458))))</formula>
    </cfRule>
    <cfRule type="containsText" dxfId="887" priority="523" operator="containsText" text="08:00 - 17:00">
      <formula>NOT(ISERROR(SEARCH(("08:00 - 17:00"),(MD458))))</formula>
    </cfRule>
    <cfRule type="containsText" dxfId="886" priority="524" operator="containsText" text="09:00 - 18:00">
      <formula>NOT(ISERROR(SEARCH(("09:00 - 18:00"),(MD458))))</formula>
    </cfRule>
    <cfRule type="containsText" dxfId="885" priority="525" operator="containsText" text="10:00 - 19:00">
      <formula>NOT(ISERROR(SEARCH(("10:00 - 19:00"),(MD458))))</formula>
    </cfRule>
    <cfRule type="containsText" dxfId="884" priority="526" operator="containsText" text="12H-21H /SCO">
      <formula>NOT(ISERROR(SEARCH(("12H-21H /SCO"),(MD458))))</formula>
    </cfRule>
    <cfRule type="containsText" dxfId="883" priority="527" operator="containsText" text="12:00 - 21:00">
      <formula>NOT(ISERROR(SEARCH(("12:00 - 21:00"),(MD458))))</formula>
    </cfRule>
    <cfRule type="containsText" dxfId="882" priority="528" operator="containsText" text="Congé">
      <formula>NOT(ISERROR(SEARCH(("Congé"),(MD458))))</formula>
    </cfRule>
    <cfRule type="containsText" dxfId="881" priority="518" operator="containsText" text="OFF">
      <formula>NOT(ISERROR(SEARCH(("OFF"),(MD458))))</formula>
    </cfRule>
  </conditionalFormatting>
  <conditionalFormatting sqref="LL11">
    <cfRule type="containsText" dxfId="880" priority="1001" operator="containsText" text="Congé">
      <formula>NOT(ISERROR(SEARCH(("Congé"),(MD372))))</formula>
    </cfRule>
    <cfRule type="containsText" dxfId="879" priority="1000" operator="containsText" text="12:00 - 21:00">
      <formula>NOT(ISERROR(SEARCH(("12:00 - 21:00"),(MD372))))</formula>
    </cfRule>
    <cfRule type="containsText" dxfId="878" priority="999" operator="containsText" text="12H-21H /SCO">
      <formula>NOT(ISERROR(SEARCH(("12H-21H /SCO"),(MD372))))</formula>
    </cfRule>
    <cfRule type="containsText" dxfId="877" priority="998" operator="containsText" text="10:00 - 19:00">
      <formula>NOT(ISERROR(SEARCH(("10:00 - 19:00"),(MD372))))</formula>
    </cfRule>
    <cfRule type="containsText" dxfId="876" priority="997" operator="containsText" text="09:00 - 18:00">
      <formula>NOT(ISERROR(SEARCH(("09:00 - 18:00"),(MD372))))</formula>
    </cfRule>
    <cfRule type="containsText" dxfId="875" priority="996" operator="containsText" text="08:00 - 17:00">
      <formula>NOT(ISERROR(SEARCH(("08:00 - 17:00"),(MD372))))</formula>
    </cfRule>
    <cfRule type="containsText" dxfId="874" priority="995" operator="containsText" text="07:00 - 16:00">
      <formula>NOT(ISERROR(SEARCH(("07:00 - 16:00"),(MD372))))</formula>
    </cfRule>
    <cfRule type="containsText" dxfId="873" priority="994" operator="containsText" text="14:00 - 23:00">
      <formula>NOT(ISERROR(SEARCH(("14:00 - 23:00"),(MD372))))</formula>
    </cfRule>
    <cfRule type="containsText" dxfId="872" priority="993" operator="containsText" text="04:00 - 13:00">
      <formula>NOT(ISERROR(SEARCH(("04:00 - 13:00"),(MD372))))</formula>
    </cfRule>
    <cfRule type="containsText" dxfId="871" priority="992" operator="containsText" text="06:00 - 15:00">
      <formula>NOT(ISERROR(SEARCH(("06:00 - 15:00"),(MD372))))</formula>
    </cfRule>
    <cfRule type="containsText" dxfId="870" priority="991" operator="containsText" text="OFF">
      <formula>NOT(ISERROR(SEARCH(("OFF"),(MD372))))</formula>
    </cfRule>
  </conditionalFormatting>
  <conditionalFormatting sqref="LL13">
    <cfRule type="containsText" dxfId="869" priority="1083" operator="containsText" text="07:00 - 16:00">
      <formula>NOT(ISERROR(SEARCH(("07:00 - 16:00"),(MD465))))</formula>
    </cfRule>
    <cfRule type="containsText" dxfId="868" priority="1088" operator="containsText" text="12:00 - 21:00">
      <formula>NOT(ISERROR(SEARCH(("12:00 - 21:00"),(MD465))))</formula>
    </cfRule>
    <cfRule type="containsText" dxfId="867" priority="1087" operator="containsText" text="12H-21H /SCO">
      <formula>NOT(ISERROR(SEARCH(("12H-21H /SCO"),(MD465))))</formula>
    </cfRule>
    <cfRule type="containsText" dxfId="866" priority="1086" operator="containsText" text="10:00 - 19:00">
      <formula>NOT(ISERROR(SEARCH(("10:00 - 19:00"),(MD465))))</formula>
    </cfRule>
    <cfRule type="containsText" dxfId="865" priority="1085" operator="containsText" text="09:00 - 18:00">
      <formula>NOT(ISERROR(SEARCH(("09:00 - 18:00"),(MD465))))</formula>
    </cfRule>
    <cfRule type="containsText" dxfId="864" priority="1084" operator="containsText" text="08:00 - 17:00">
      <formula>NOT(ISERROR(SEARCH(("08:00 - 17:00"),(MD465))))</formula>
    </cfRule>
    <cfRule type="containsText" dxfId="863" priority="1089" operator="containsText" text="Congé">
      <formula>NOT(ISERROR(SEARCH(("Congé"),(MD465))))</formula>
    </cfRule>
    <cfRule type="containsText" dxfId="862" priority="1082" operator="containsText" text="14:00 - 23:00">
      <formula>NOT(ISERROR(SEARCH(("14:00 - 23:00"),(MD465))))</formula>
    </cfRule>
    <cfRule type="containsText" dxfId="861" priority="1081" operator="containsText" text="04:00 - 13:00">
      <formula>NOT(ISERROR(SEARCH(("04:00 - 13:00"),(MD465))))</formula>
    </cfRule>
    <cfRule type="containsText" dxfId="860" priority="1080" operator="containsText" text="06:00 - 15:00">
      <formula>NOT(ISERROR(SEARCH(("06:00 - 15:00"),(MD465))))</formula>
    </cfRule>
    <cfRule type="containsText" dxfId="859" priority="1079" operator="containsText" text="OFF">
      <formula>NOT(ISERROR(SEARCH(("OFF"),(MD465))))</formula>
    </cfRule>
  </conditionalFormatting>
  <conditionalFormatting sqref="LL15">
    <cfRule type="containsText" dxfId="858" priority="1124" operator="containsText" text="06:00 - 15:00">
      <formula>NOT(ISERROR(SEARCH(("06:00 - 15:00"),(MD468))))</formula>
    </cfRule>
    <cfRule type="containsText" dxfId="857" priority="1125" operator="containsText" text="04:00 - 13:00">
      <formula>NOT(ISERROR(SEARCH(("04:00 - 13:00"),(MD468))))</formula>
    </cfRule>
    <cfRule type="containsText" dxfId="856" priority="1126" operator="containsText" text="14:00 - 23:00">
      <formula>NOT(ISERROR(SEARCH(("14:00 - 23:00"),(MD468))))</formula>
    </cfRule>
    <cfRule type="containsText" dxfId="855" priority="1127" operator="containsText" text="07:00 - 16:00">
      <formula>NOT(ISERROR(SEARCH(("07:00 - 16:00"),(MD468))))</formula>
    </cfRule>
    <cfRule type="containsText" dxfId="854" priority="1128" operator="containsText" text="08:00 - 17:00">
      <formula>NOT(ISERROR(SEARCH(("08:00 - 17:00"),(MD468))))</formula>
    </cfRule>
    <cfRule type="containsText" dxfId="853" priority="1129" operator="containsText" text="09:00 - 18:00">
      <formula>NOT(ISERROR(SEARCH(("09:00 - 18:00"),(MD468))))</formula>
    </cfRule>
    <cfRule type="containsText" dxfId="852" priority="1130" operator="containsText" text="10:00 - 19:00">
      <formula>NOT(ISERROR(SEARCH(("10:00 - 19:00"),(MD468))))</formula>
    </cfRule>
    <cfRule type="containsText" dxfId="851" priority="1131" operator="containsText" text="12H-21H /SCO">
      <formula>NOT(ISERROR(SEARCH(("12H-21H /SCO"),(MD468))))</formula>
    </cfRule>
    <cfRule type="containsText" dxfId="850" priority="1132" operator="containsText" text="12:00 - 21:00">
      <formula>NOT(ISERROR(SEARCH(("12:00 - 21:00"),(MD468))))</formula>
    </cfRule>
    <cfRule type="containsText" dxfId="849" priority="1133" operator="containsText" text="Congé">
      <formula>NOT(ISERROR(SEARCH(("Congé"),(MD468))))</formula>
    </cfRule>
    <cfRule type="containsText" dxfId="848" priority="1123" operator="containsText" text="OFF">
      <formula>NOT(ISERROR(SEARCH(("OFF"),(MD468))))</formula>
    </cfRule>
  </conditionalFormatting>
  <conditionalFormatting sqref="LL19">
    <cfRule type="containsText" dxfId="847" priority="1113" operator="containsText" text="06:00 - 15:00">
      <formula>NOT(ISERROR(SEARCH(("06:00 - 15:00"),(MD385))))</formula>
    </cfRule>
    <cfRule type="containsText" dxfId="846" priority="1121" operator="containsText" text="12:00 - 21:00">
      <formula>NOT(ISERROR(SEARCH(("12:00 - 21:00"),(MD385))))</formula>
    </cfRule>
    <cfRule type="containsText" dxfId="845" priority="1120" operator="containsText" text="12H-21H /SCO">
      <formula>NOT(ISERROR(SEARCH(("12H-21H /SCO"),(MD385))))</formula>
    </cfRule>
    <cfRule type="containsText" dxfId="844" priority="1119" operator="containsText" text="10:00 - 19:00">
      <formula>NOT(ISERROR(SEARCH(("10:00 - 19:00"),(MD385))))</formula>
    </cfRule>
    <cfRule type="containsText" dxfId="843" priority="1118" operator="containsText" text="09:00 - 18:00">
      <formula>NOT(ISERROR(SEARCH(("09:00 - 18:00"),(MD385))))</formula>
    </cfRule>
    <cfRule type="containsText" dxfId="842" priority="1117" operator="containsText" text="08:00 - 17:00">
      <formula>NOT(ISERROR(SEARCH(("08:00 - 17:00"),(MD385))))</formula>
    </cfRule>
    <cfRule type="containsText" dxfId="841" priority="1116" operator="containsText" text="07:00 - 16:00">
      <formula>NOT(ISERROR(SEARCH(("07:00 - 16:00"),(MD385))))</formula>
    </cfRule>
    <cfRule type="containsText" dxfId="840" priority="1115" operator="containsText" text="14:00 - 23:00">
      <formula>NOT(ISERROR(SEARCH(("14:00 - 23:00"),(MD385))))</formula>
    </cfRule>
    <cfRule type="containsText" dxfId="839" priority="1114" operator="containsText" text="04:00 - 13:00">
      <formula>NOT(ISERROR(SEARCH(("04:00 - 13:00"),(MD385))))</formula>
    </cfRule>
    <cfRule type="containsText" dxfId="838" priority="1112" operator="containsText" text="OFF">
      <formula>NOT(ISERROR(SEARCH(("OFF"),(MD385))))</formula>
    </cfRule>
    <cfRule type="containsText" dxfId="837" priority="1122" operator="containsText" text="Congé">
      <formula>NOT(ISERROR(SEARCH(("Congé"),(MD385))))</formula>
    </cfRule>
  </conditionalFormatting>
  <conditionalFormatting sqref="LL16:LM16">
    <cfRule type="containsText" dxfId="836" priority="1243" operator="containsText" text="Congé">
      <formula>NOT(ISERROR(SEARCH(("Congé"),(MD386))))</formula>
    </cfRule>
    <cfRule type="containsText" dxfId="835" priority="1233" operator="containsText" text="OFF">
      <formula>NOT(ISERROR(SEARCH(("OFF"),(MD386))))</formula>
    </cfRule>
    <cfRule type="containsText" dxfId="834" priority="1234" operator="containsText" text="06:00 - 15:00">
      <formula>NOT(ISERROR(SEARCH(("06:00 - 15:00"),(MD386))))</formula>
    </cfRule>
    <cfRule type="containsText" dxfId="833" priority="1235" operator="containsText" text="04:00 - 13:00">
      <formula>NOT(ISERROR(SEARCH(("04:00 - 13:00"),(MD386))))</formula>
    </cfRule>
    <cfRule type="containsText" dxfId="832" priority="1236" operator="containsText" text="14:00 - 23:00">
      <formula>NOT(ISERROR(SEARCH(("14:00 - 23:00"),(MD386))))</formula>
    </cfRule>
    <cfRule type="containsText" dxfId="831" priority="1237" operator="containsText" text="07:00 - 16:00">
      <formula>NOT(ISERROR(SEARCH(("07:00 - 16:00"),(MD386))))</formula>
    </cfRule>
    <cfRule type="containsText" dxfId="830" priority="1238" operator="containsText" text="08:00 - 17:00">
      <formula>NOT(ISERROR(SEARCH(("08:00 - 17:00"),(MD386))))</formula>
    </cfRule>
    <cfRule type="containsText" dxfId="829" priority="1239" operator="containsText" text="09:00 - 18:00">
      <formula>NOT(ISERROR(SEARCH(("09:00 - 18:00"),(MD386))))</formula>
    </cfRule>
    <cfRule type="containsText" dxfId="828" priority="1240" operator="containsText" text="10:00 - 19:00">
      <formula>NOT(ISERROR(SEARCH(("10:00 - 19:00"),(MD386))))</formula>
    </cfRule>
    <cfRule type="containsText" dxfId="827" priority="1241" operator="containsText" text="12H-21H /SCO">
      <formula>NOT(ISERROR(SEARCH(("12H-21H /SCO"),(MD386))))</formula>
    </cfRule>
    <cfRule type="containsText" dxfId="826" priority="1242" operator="containsText" text="12:00 - 21:00">
      <formula>NOT(ISERROR(SEARCH(("12:00 - 21:00"),(MD386))))</formula>
    </cfRule>
  </conditionalFormatting>
  <conditionalFormatting sqref="LM11">
    <cfRule type="containsText" dxfId="825" priority="1165" operator="containsText" text="12:00 - 21:00">
      <formula>NOT(ISERROR(SEARCH(("12:00 - 21:00"),(ME459))))</formula>
    </cfRule>
    <cfRule type="containsText" dxfId="824" priority="1164" operator="containsText" text="12H-21H /SCO">
      <formula>NOT(ISERROR(SEARCH(("12H-21H /SCO"),(ME459))))</formula>
    </cfRule>
    <cfRule type="containsText" dxfId="823" priority="1163" operator="containsText" text="10:00 - 19:00">
      <formula>NOT(ISERROR(SEARCH(("10:00 - 19:00"),(ME459))))</formula>
    </cfRule>
    <cfRule type="containsText" dxfId="822" priority="1162" operator="containsText" text="09:00 - 18:00">
      <formula>NOT(ISERROR(SEARCH(("09:00 - 18:00"),(ME459))))</formula>
    </cfRule>
    <cfRule type="containsText" dxfId="821" priority="1161" operator="containsText" text="08:00 - 17:00">
      <formula>NOT(ISERROR(SEARCH(("08:00 - 17:00"),(ME459))))</formula>
    </cfRule>
    <cfRule type="containsText" dxfId="820" priority="1160" operator="containsText" text="07:00 - 16:00">
      <formula>NOT(ISERROR(SEARCH(("07:00 - 16:00"),(ME459))))</formula>
    </cfRule>
    <cfRule type="containsText" dxfId="819" priority="1159" operator="containsText" text="14:00 - 23:00">
      <formula>NOT(ISERROR(SEARCH(("14:00 - 23:00"),(ME459))))</formula>
    </cfRule>
    <cfRule type="containsText" dxfId="818" priority="1158" operator="containsText" text="04:00 - 13:00">
      <formula>NOT(ISERROR(SEARCH(("04:00 - 13:00"),(ME459))))</formula>
    </cfRule>
    <cfRule type="containsText" dxfId="817" priority="1157" operator="containsText" text="06:00 - 15:00">
      <formula>NOT(ISERROR(SEARCH(("06:00 - 15:00"),(ME459))))</formula>
    </cfRule>
    <cfRule type="containsText" dxfId="816" priority="1156" operator="containsText" text="OFF">
      <formula>NOT(ISERROR(SEARCH(("OFF"),(ME459))))</formula>
    </cfRule>
    <cfRule type="containsText" dxfId="815" priority="1166" operator="containsText" text="Congé">
      <formula>NOT(ISERROR(SEARCH(("Congé"),(ME459))))</formula>
    </cfRule>
  </conditionalFormatting>
  <conditionalFormatting sqref="LM10:LN10">
    <cfRule type="containsText" dxfId="814" priority="973" operator="containsText" text="07:00 - 16:00">
      <formula>NOT(ISERROR(SEARCH(("07:00 - 16:00"),(ME371))))</formula>
    </cfRule>
    <cfRule type="containsText" dxfId="813" priority="974" operator="containsText" text="08:00 - 17:00">
      <formula>NOT(ISERROR(SEARCH(("08:00 - 17:00"),(ME371))))</formula>
    </cfRule>
    <cfRule type="containsText" dxfId="812" priority="975" operator="containsText" text="09:00 - 18:00">
      <formula>NOT(ISERROR(SEARCH(("09:00 - 18:00"),(ME371))))</formula>
    </cfRule>
    <cfRule type="containsText" dxfId="811" priority="969" operator="containsText" text="OFF">
      <formula>NOT(ISERROR(SEARCH(("OFF"),(ME371))))</formula>
    </cfRule>
    <cfRule type="containsText" dxfId="810" priority="979" operator="containsText" text="Congé">
      <formula>NOT(ISERROR(SEARCH(("Congé"),(ME371))))</formula>
    </cfRule>
    <cfRule type="containsText" dxfId="809" priority="978" operator="containsText" text="12:00 - 21:00">
      <formula>NOT(ISERROR(SEARCH(("12:00 - 21:00"),(ME371))))</formula>
    </cfRule>
    <cfRule type="containsText" dxfId="808" priority="977" operator="containsText" text="12H-21H /SCO">
      <formula>NOT(ISERROR(SEARCH(("12H-21H /SCO"),(ME371))))</formula>
    </cfRule>
    <cfRule type="containsText" dxfId="807" priority="970" operator="containsText" text="06:00 - 15:00">
      <formula>NOT(ISERROR(SEARCH(("06:00 - 15:00"),(ME371))))</formula>
    </cfRule>
    <cfRule type="containsText" dxfId="806" priority="971" operator="containsText" text="04:00 - 13:00">
      <formula>NOT(ISERROR(SEARCH(("04:00 - 13:00"),(ME371))))</formula>
    </cfRule>
    <cfRule type="containsText" dxfId="805" priority="976" operator="containsText" text="10:00 - 19:00">
      <formula>NOT(ISERROR(SEARCH(("10:00 - 19:00"),(ME371))))</formula>
    </cfRule>
    <cfRule type="containsText" dxfId="804" priority="972" operator="containsText" text="14:00 - 23:00">
      <formula>NOT(ISERROR(SEARCH(("14:00 - 23:00"),(ME371))))</formula>
    </cfRule>
  </conditionalFormatting>
  <conditionalFormatting sqref="LM19:LN19">
    <cfRule type="containsText" dxfId="803" priority="1091" operator="containsText" text="06:00 - 15:00">
      <formula>NOT(ISERROR(SEARCH(("06:00 - 15:00"),(ME459))))</formula>
    </cfRule>
    <cfRule type="containsText" dxfId="802" priority="1098" operator="containsText" text="12H-21H /SCO">
      <formula>NOT(ISERROR(SEARCH(("12H-21H /SCO"),(ME459))))</formula>
    </cfRule>
    <cfRule type="containsText" dxfId="801" priority="1097" operator="containsText" text="10:00 - 19:00">
      <formula>NOT(ISERROR(SEARCH(("10:00 - 19:00"),(ME459))))</formula>
    </cfRule>
    <cfRule type="containsText" dxfId="800" priority="1096" operator="containsText" text="09:00 - 18:00">
      <formula>NOT(ISERROR(SEARCH(("09:00 - 18:00"),(ME459))))</formula>
    </cfRule>
    <cfRule type="containsText" dxfId="799" priority="1095" operator="containsText" text="08:00 - 17:00">
      <formula>NOT(ISERROR(SEARCH(("08:00 - 17:00"),(ME459))))</formula>
    </cfRule>
    <cfRule type="containsText" dxfId="798" priority="1094" operator="containsText" text="07:00 - 16:00">
      <formula>NOT(ISERROR(SEARCH(("07:00 - 16:00"),(ME459))))</formula>
    </cfRule>
    <cfRule type="containsText" dxfId="797" priority="1093" operator="containsText" text="14:00 - 23:00">
      <formula>NOT(ISERROR(SEARCH(("14:00 - 23:00"),(ME459))))</formula>
    </cfRule>
    <cfRule type="containsText" dxfId="796" priority="1090" operator="containsText" text="OFF">
      <formula>NOT(ISERROR(SEARCH(("OFF"),(ME459))))</formula>
    </cfRule>
    <cfRule type="containsText" dxfId="795" priority="1092" operator="containsText" text="04:00 - 13:00">
      <formula>NOT(ISERROR(SEARCH(("04:00 - 13:00"),(ME459))))</formula>
    </cfRule>
    <cfRule type="containsText" dxfId="794" priority="1099" operator="containsText" text="12:00 - 21:00">
      <formula>NOT(ISERROR(SEARCH(("12:00 - 21:00"),(ME459))))</formula>
    </cfRule>
    <cfRule type="containsText" dxfId="793" priority="1100" operator="containsText" text="Congé">
      <formula>NOT(ISERROR(SEARCH(("Congé"),(ME459))))</formula>
    </cfRule>
  </conditionalFormatting>
  <conditionalFormatting sqref="LN14">
    <cfRule type="containsText" dxfId="792" priority="1265" operator="containsText" text="Congé">
      <formula>NOT(ISERROR(SEARCH(("Congé"),(MF389))))</formula>
    </cfRule>
    <cfRule type="containsText" dxfId="791" priority="1264" operator="containsText" text="12:00 - 21:00">
      <formula>NOT(ISERROR(SEARCH(("12:00 - 21:00"),(MF389))))</formula>
    </cfRule>
    <cfRule type="containsText" dxfId="790" priority="1263" operator="containsText" text="12H-21H /SCO">
      <formula>NOT(ISERROR(SEARCH(("12H-21H /SCO"),(MF389))))</formula>
    </cfRule>
    <cfRule type="containsText" dxfId="789" priority="1262" operator="containsText" text="10:00 - 19:00">
      <formula>NOT(ISERROR(SEARCH(("10:00 - 19:00"),(MF389))))</formula>
    </cfRule>
    <cfRule type="containsText" dxfId="788" priority="1261" operator="containsText" text="09:00 - 18:00">
      <formula>NOT(ISERROR(SEARCH(("09:00 - 18:00"),(MF389))))</formula>
    </cfRule>
    <cfRule type="containsText" dxfId="787" priority="1260" operator="containsText" text="08:00 - 17:00">
      <formula>NOT(ISERROR(SEARCH(("08:00 - 17:00"),(MF389))))</formula>
    </cfRule>
    <cfRule type="containsText" dxfId="786" priority="1259" operator="containsText" text="07:00 - 16:00">
      <formula>NOT(ISERROR(SEARCH(("07:00 - 16:00"),(MF389))))</formula>
    </cfRule>
    <cfRule type="containsText" dxfId="785" priority="1258" operator="containsText" text="14:00 - 23:00">
      <formula>NOT(ISERROR(SEARCH(("14:00 - 23:00"),(MF389))))</formula>
    </cfRule>
    <cfRule type="containsText" dxfId="784" priority="1257" operator="containsText" text="04:00 - 13:00">
      <formula>NOT(ISERROR(SEARCH(("04:00 - 13:00"),(MF389))))</formula>
    </cfRule>
    <cfRule type="containsText" dxfId="783" priority="1256" operator="containsText" text="06:00 - 15:00">
      <formula>NOT(ISERROR(SEARCH(("06:00 - 15:00"),(MF389))))</formula>
    </cfRule>
    <cfRule type="containsText" dxfId="782" priority="1255" operator="containsText" text="OFF">
      <formula>NOT(ISERROR(SEARCH(("OFF"),(MF389))))</formula>
    </cfRule>
  </conditionalFormatting>
  <conditionalFormatting sqref="LO10">
    <cfRule type="containsText" dxfId="781" priority="629" operator="containsText" text="06:00 - 15:00">
      <formula>NOT(ISERROR(SEARCH(("06:00 - 15:00"),(MG456))))</formula>
    </cfRule>
    <cfRule type="containsText" dxfId="780" priority="630" operator="containsText" text="04:00 - 13:00">
      <formula>NOT(ISERROR(SEARCH(("04:00 - 13:00"),(MG456))))</formula>
    </cfRule>
    <cfRule type="containsText" dxfId="779" priority="631" operator="containsText" text="14:00 - 23:00">
      <formula>NOT(ISERROR(SEARCH(("14:00 - 23:00"),(MG456))))</formula>
    </cfRule>
    <cfRule type="containsText" dxfId="778" priority="632" operator="containsText" text="07:00 - 16:00">
      <formula>NOT(ISERROR(SEARCH(("07:00 - 16:00"),(MG456))))</formula>
    </cfRule>
    <cfRule type="containsText" dxfId="777" priority="633" operator="containsText" text="08:00 - 17:00">
      <formula>NOT(ISERROR(SEARCH(("08:00 - 17:00"),(MG456))))</formula>
    </cfRule>
    <cfRule type="containsText" dxfId="776" priority="634" operator="containsText" text="09:00 - 18:00">
      <formula>NOT(ISERROR(SEARCH(("09:00 - 18:00"),(MG456))))</formula>
    </cfRule>
    <cfRule type="containsText" dxfId="775" priority="635" operator="containsText" text="10:00 - 19:00">
      <formula>NOT(ISERROR(SEARCH(("10:00 - 19:00"),(MG456))))</formula>
    </cfRule>
    <cfRule type="containsText" dxfId="774" priority="636" operator="containsText" text="12H-21H /SCO">
      <formula>NOT(ISERROR(SEARCH(("12H-21H /SCO"),(MG456))))</formula>
    </cfRule>
    <cfRule type="containsText" dxfId="773" priority="638" operator="containsText" text="Congé">
      <formula>NOT(ISERROR(SEARCH(("Congé"),(MG456))))</formula>
    </cfRule>
    <cfRule type="containsText" dxfId="772" priority="637" operator="containsText" text="12:00 - 21:00">
      <formula>NOT(ISERROR(SEARCH(("12:00 - 21:00"),(MG456))))</formula>
    </cfRule>
    <cfRule type="containsText" dxfId="771" priority="628" operator="containsText" text="OFF">
      <formula>NOT(ISERROR(SEARCH(("OFF"),(MG456))))</formula>
    </cfRule>
  </conditionalFormatting>
  <conditionalFormatting sqref="LO13:LP13">
    <cfRule type="containsText" dxfId="770" priority="601" operator="containsText" text="09:00 - 18:00">
      <formula>NOT(ISERROR(SEARCH(("09:00 - 18:00"),(MG374))))</formula>
    </cfRule>
    <cfRule type="containsText" dxfId="769" priority="600" operator="containsText" text="08:00 - 17:00">
      <formula>NOT(ISERROR(SEARCH(("08:00 - 17:00"),(MG374))))</formula>
    </cfRule>
    <cfRule type="containsText" dxfId="768" priority="605" operator="containsText" text="Congé">
      <formula>NOT(ISERROR(SEARCH(("Congé"),(MG374))))</formula>
    </cfRule>
    <cfRule type="containsText" dxfId="767" priority="604" operator="containsText" text="12:00 - 21:00">
      <formula>NOT(ISERROR(SEARCH(("12:00 - 21:00"),(MG374))))</formula>
    </cfRule>
    <cfRule type="containsText" dxfId="766" priority="602" operator="containsText" text="10:00 - 19:00">
      <formula>NOT(ISERROR(SEARCH(("10:00 - 19:00"),(MG374))))</formula>
    </cfRule>
    <cfRule type="containsText" dxfId="765" priority="595" operator="containsText" text="OFF">
      <formula>NOT(ISERROR(SEARCH(("OFF"),(MG374))))</formula>
    </cfRule>
    <cfRule type="containsText" dxfId="764" priority="603" operator="containsText" text="12H-21H /SCO">
      <formula>NOT(ISERROR(SEARCH(("12H-21H /SCO"),(MG374))))</formula>
    </cfRule>
    <cfRule type="containsText" dxfId="763" priority="596" operator="containsText" text="06:00 - 15:00">
      <formula>NOT(ISERROR(SEARCH(("06:00 - 15:00"),(MG374))))</formula>
    </cfRule>
    <cfRule type="containsText" dxfId="762" priority="597" operator="containsText" text="04:00 - 13:00">
      <formula>NOT(ISERROR(SEARCH(("04:00 - 13:00"),(MG374))))</formula>
    </cfRule>
    <cfRule type="containsText" dxfId="761" priority="598" operator="containsText" text="14:00 - 23:00">
      <formula>NOT(ISERROR(SEARCH(("14:00 - 23:00"),(MG374))))</formula>
    </cfRule>
    <cfRule type="containsText" dxfId="760" priority="599" operator="containsText" text="07:00 - 16:00">
      <formula>NOT(ISERROR(SEARCH(("07:00 - 16:00"),(MG374))))</formula>
    </cfRule>
  </conditionalFormatting>
  <conditionalFormatting sqref="LO16:LP16">
    <cfRule type="containsText" dxfId="759" priority="1272" operator="containsText" text="09:00 - 18:00">
      <formula>NOT(ISERROR(SEARCH(("09:00 - 18:00"),(MG386))))</formula>
    </cfRule>
    <cfRule type="containsText" dxfId="758" priority="1273" operator="containsText" text="10:00 - 19:00">
      <formula>NOT(ISERROR(SEARCH(("10:00 - 19:00"),(MG386))))</formula>
    </cfRule>
    <cfRule type="containsText" dxfId="757" priority="1274" operator="containsText" text="12H-21H /SCO">
      <formula>NOT(ISERROR(SEARCH(("12H-21H /SCO"),(MG386))))</formula>
    </cfRule>
    <cfRule type="containsText" dxfId="756" priority="1275" operator="containsText" text="12:00 - 21:00">
      <formula>NOT(ISERROR(SEARCH(("12:00 - 21:00"),(MG386))))</formula>
    </cfRule>
    <cfRule type="containsText" dxfId="755" priority="1276" operator="containsText" text="Congé">
      <formula>NOT(ISERROR(SEARCH(("Congé"),(MG386))))</formula>
    </cfRule>
    <cfRule type="containsText" dxfId="754" priority="1267" operator="containsText" text="06:00 - 15:00">
      <formula>NOT(ISERROR(SEARCH(("06:00 - 15:00"),(MG386))))</formula>
    </cfRule>
    <cfRule type="containsText" dxfId="753" priority="1266" operator="containsText" text="OFF">
      <formula>NOT(ISERROR(SEARCH(("OFF"),(MG386))))</formula>
    </cfRule>
    <cfRule type="containsText" dxfId="752" priority="1268" operator="containsText" text="04:00 - 13:00">
      <formula>NOT(ISERROR(SEARCH(("04:00 - 13:00"),(MG386))))</formula>
    </cfRule>
    <cfRule type="containsText" dxfId="751" priority="1269" operator="containsText" text="14:00 - 23:00">
      <formula>NOT(ISERROR(SEARCH(("14:00 - 23:00"),(MG386))))</formula>
    </cfRule>
    <cfRule type="containsText" dxfId="750" priority="1270" operator="containsText" text="07:00 - 16:00">
      <formula>NOT(ISERROR(SEARCH(("07:00 - 16:00"),(MG386))))</formula>
    </cfRule>
    <cfRule type="containsText" dxfId="749" priority="1271" operator="containsText" text="08:00 - 17:00">
      <formula>NOT(ISERROR(SEARCH(("08:00 - 17:00"),(MG386))))</formula>
    </cfRule>
  </conditionalFormatting>
  <conditionalFormatting sqref="LP8">
    <cfRule type="containsText" dxfId="748" priority="1176" operator="containsText" text="12:00 - 21:00">
      <formula>NOT(ISERROR(SEARCH(("12:00 - 21:00"),(MH466))))</formula>
    </cfRule>
    <cfRule type="containsText" dxfId="747" priority="1172" operator="containsText" text="08:00 - 17:00">
      <formula>NOT(ISERROR(SEARCH(("08:00 - 17:00"),(MH466))))</formula>
    </cfRule>
    <cfRule type="containsText" dxfId="746" priority="1171" operator="containsText" text="07:00 - 16:00">
      <formula>NOT(ISERROR(SEARCH(("07:00 - 16:00"),(MH466))))</formula>
    </cfRule>
    <cfRule type="containsText" dxfId="745" priority="1170" operator="containsText" text="14:00 - 23:00">
      <formula>NOT(ISERROR(SEARCH(("14:00 - 23:00"),(MH466))))</formula>
    </cfRule>
    <cfRule type="containsText" dxfId="744" priority="1168" operator="containsText" text="06:00 - 15:00">
      <formula>NOT(ISERROR(SEARCH(("06:00 - 15:00"),(MH466))))</formula>
    </cfRule>
    <cfRule type="containsText" dxfId="743" priority="1174" operator="containsText" text="10:00 - 19:00">
      <formula>NOT(ISERROR(SEARCH(("10:00 - 19:00"),(MH466))))</formula>
    </cfRule>
    <cfRule type="containsText" dxfId="742" priority="1175" operator="containsText" text="12H-21H /SCO">
      <formula>NOT(ISERROR(SEARCH(("12H-21H /SCO"),(MH466))))</formula>
    </cfRule>
    <cfRule type="containsText" dxfId="741" priority="1169" operator="containsText" text="04:00 - 13:00">
      <formula>NOT(ISERROR(SEARCH(("04:00 - 13:00"),(MH466))))</formula>
    </cfRule>
    <cfRule type="containsText" dxfId="740" priority="1173" operator="containsText" text="09:00 - 18:00">
      <formula>NOT(ISERROR(SEARCH(("09:00 - 18:00"),(MH466))))</formula>
    </cfRule>
    <cfRule type="containsText" dxfId="739" priority="1167" operator="containsText" text="OFF">
      <formula>NOT(ISERROR(SEARCH(("OFF"),(MH466))))</formula>
    </cfRule>
    <cfRule type="containsText" dxfId="738" priority="1177" operator="containsText" text="Congé">
      <formula>NOT(ISERROR(SEARCH(("Congé"),(MH466))))</formula>
    </cfRule>
  </conditionalFormatting>
  <conditionalFormatting sqref="LQ7">
    <cfRule type="containsText" dxfId="737" priority="1143" operator="containsText" text="12:00 - 21:00">
      <formula>NOT(ISERROR(SEARCH(("12:00 - 21:00"),(MI471))))</formula>
    </cfRule>
    <cfRule type="containsText" dxfId="736" priority="1144" operator="containsText" text="Congé">
      <formula>NOT(ISERROR(SEARCH(("Congé"),(MI471))))</formula>
    </cfRule>
    <cfRule type="containsText" dxfId="735" priority="1138" operator="containsText" text="07:00 - 16:00">
      <formula>NOT(ISERROR(SEARCH(("07:00 - 16:00"),(MI471))))</formula>
    </cfRule>
    <cfRule type="containsText" dxfId="734" priority="1134" operator="containsText" text="OFF">
      <formula>NOT(ISERROR(SEARCH(("OFF"),(MI471))))</formula>
    </cfRule>
    <cfRule type="containsText" dxfId="733" priority="1135" operator="containsText" text="06:00 - 15:00">
      <formula>NOT(ISERROR(SEARCH(("06:00 - 15:00"),(MI471))))</formula>
    </cfRule>
    <cfRule type="containsText" dxfId="732" priority="1136" operator="containsText" text="04:00 - 13:00">
      <formula>NOT(ISERROR(SEARCH(("04:00 - 13:00"),(MI471))))</formula>
    </cfRule>
    <cfRule type="containsText" dxfId="731" priority="1137" operator="containsText" text="14:00 - 23:00">
      <formula>NOT(ISERROR(SEARCH(("14:00 - 23:00"),(MI471))))</formula>
    </cfRule>
    <cfRule type="containsText" dxfId="730" priority="1142" operator="containsText" text="12H-21H /SCO">
      <formula>NOT(ISERROR(SEARCH(("12H-21H /SCO"),(MI471))))</formula>
    </cfRule>
    <cfRule type="containsText" dxfId="729" priority="1141" operator="containsText" text="10:00 - 19:00">
      <formula>NOT(ISERROR(SEARCH(("10:00 - 19:00"),(MI471))))</formula>
    </cfRule>
    <cfRule type="containsText" dxfId="728" priority="1140" operator="containsText" text="09:00 - 18:00">
      <formula>NOT(ISERROR(SEARCH(("09:00 - 18:00"),(MI471))))</formula>
    </cfRule>
    <cfRule type="containsText" dxfId="727" priority="1139" operator="containsText" text="08:00 - 17:00">
      <formula>NOT(ISERROR(SEARCH(("08:00 - 17:00"),(MI471))))</formula>
    </cfRule>
  </conditionalFormatting>
  <conditionalFormatting sqref="LQ11">
    <cfRule type="containsText" dxfId="726" priority="1228" operator="containsText" text="09:00 - 18:00">
      <formula>NOT(ISERROR(SEARCH(("09:00 - 18:00"),(MI457))))</formula>
    </cfRule>
    <cfRule type="containsText" dxfId="725" priority="1222" operator="containsText" text="OFF">
      <formula>NOT(ISERROR(SEARCH(("OFF"),(MI457))))</formula>
    </cfRule>
    <cfRule type="containsText" dxfId="724" priority="1223" operator="containsText" text="06:00 - 15:00">
      <formula>NOT(ISERROR(SEARCH(("06:00 - 15:00"),(MI457))))</formula>
    </cfRule>
    <cfRule type="containsText" dxfId="723" priority="1224" operator="containsText" text="04:00 - 13:00">
      <formula>NOT(ISERROR(SEARCH(("04:00 - 13:00"),(MI457))))</formula>
    </cfRule>
    <cfRule type="containsText" dxfId="722" priority="1225" operator="containsText" text="14:00 - 23:00">
      <formula>NOT(ISERROR(SEARCH(("14:00 - 23:00"),(MI457))))</formula>
    </cfRule>
    <cfRule type="containsText" dxfId="721" priority="1226" operator="containsText" text="07:00 - 16:00">
      <formula>NOT(ISERROR(SEARCH(("07:00 - 16:00"),(MI457))))</formula>
    </cfRule>
    <cfRule type="containsText" dxfId="720" priority="1232" operator="containsText" text="Congé">
      <formula>NOT(ISERROR(SEARCH(("Congé"),(MI457))))</formula>
    </cfRule>
    <cfRule type="containsText" dxfId="719" priority="1231" operator="containsText" text="12:00 - 21:00">
      <formula>NOT(ISERROR(SEARCH(("12:00 - 21:00"),(MI457))))</formula>
    </cfRule>
    <cfRule type="containsText" dxfId="718" priority="1230" operator="containsText" text="12H-21H /SCO">
      <formula>NOT(ISERROR(SEARCH(("12H-21H /SCO"),(MI457))))</formula>
    </cfRule>
    <cfRule type="containsText" dxfId="717" priority="1229" operator="containsText" text="10:00 - 19:00">
      <formula>NOT(ISERROR(SEARCH(("10:00 - 19:00"),(MI457))))</formula>
    </cfRule>
    <cfRule type="containsText" dxfId="716" priority="1227" operator="containsText" text="08:00 - 17:00">
      <formula>NOT(ISERROR(SEARCH(("08:00 - 17:00"),(MI457))))</formula>
    </cfRule>
  </conditionalFormatting>
  <conditionalFormatting sqref="LQ13">
    <cfRule type="containsText" dxfId="715" priority="608" operator="containsText" text="04:00 - 13:00">
      <formula>NOT(ISERROR(SEARCH(("04:00 - 13:00"),(MI455))))</formula>
    </cfRule>
    <cfRule type="containsText" dxfId="714" priority="609" operator="containsText" text="14:00 - 23:00">
      <formula>NOT(ISERROR(SEARCH(("14:00 - 23:00"),(MI455))))</formula>
    </cfRule>
    <cfRule type="containsText" dxfId="713" priority="610" operator="containsText" text="07:00 - 16:00">
      <formula>NOT(ISERROR(SEARCH(("07:00 - 16:00"),(MI455))))</formula>
    </cfRule>
    <cfRule type="containsText" dxfId="712" priority="611" operator="containsText" text="08:00 - 17:00">
      <formula>NOT(ISERROR(SEARCH(("08:00 - 17:00"),(MI455))))</formula>
    </cfRule>
    <cfRule type="containsText" dxfId="711" priority="613" operator="containsText" text="10:00 - 19:00">
      <formula>NOT(ISERROR(SEARCH(("10:00 - 19:00"),(MI455))))</formula>
    </cfRule>
    <cfRule type="containsText" dxfId="710" priority="614" operator="containsText" text="12H-21H /SCO">
      <formula>NOT(ISERROR(SEARCH(("12H-21H /SCO"),(MI455))))</formula>
    </cfRule>
    <cfRule type="containsText" dxfId="709" priority="612" operator="containsText" text="09:00 - 18:00">
      <formula>NOT(ISERROR(SEARCH(("09:00 - 18:00"),(MI455))))</formula>
    </cfRule>
    <cfRule type="containsText" dxfId="708" priority="616" operator="containsText" text="Congé">
      <formula>NOT(ISERROR(SEARCH(("Congé"),(MI455))))</formula>
    </cfRule>
    <cfRule type="containsText" dxfId="707" priority="607" operator="containsText" text="06:00 - 15:00">
      <formula>NOT(ISERROR(SEARCH(("06:00 - 15:00"),(MI455))))</formula>
    </cfRule>
    <cfRule type="containsText" dxfId="706" priority="615" operator="containsText" text="12:00 - 21:00">
      <formula>NOT(ISERROR(SEARCH(("12:00 - 21:00"),(MI455))))</formula>
    </cfRule>
    <cfRule type="containsText" dxfId="705" priority="606" operator="containsText" text="OFF">
      <formula>NOT(ISERROR(SEARCH(("OFF"),(MI455))))</formula>
    </cfRule>
  </conditionalFormatting>
  <conditionalFormatting sqref="LQ18:LR18">
    <cfRule type="containsText" dxfId="704" priority="1193" operator="containsText" text="07:00 - 16:00">
      <formula>NOT(ISERROR(SEARCH(("07:00 - 16:00"),(MI462))))</formula>
    </cfRule>
    <cfRule type="containsText" dxfId="703" priority="1189" operator="containsText" text="OFF">
      <formula>NOT(ISERROR(SEARCH(("OFF"),(MI462))))</formula>
    </cfRule>
    <cfRule type="containsText" dxfId="702" priority="1190" operator="containsText" text="06:00 - 15:00">
      <formula>NOT(ISERROR(SEARCH(("06:00 - 15:00"),(MI462))))</formula>
    </cfRule>
    <cfRule type="containsText" dxfId="701" priority="1191" operator="containsText" text="04:00 - 13:00">
      <formula>NOT(ISERROR(SEARCH(("04:00 - 13:00"),(MI462))))</formula>
    </cfRule>
    <cfRule type="containsText" dxfId="700" priority="1192" operator="containsText" text="14:00 - 23:00">
      <formula>NOT(ISERROR(SEARCH(("14:00 - 23:00"),(MI462))))</formula>
    </cfRule>
    <cfRule type="containsText" dxfId="699" priority="1194" operator="containsText" text="08:00 - 17:00">
      <formula>NOT(ISERROR(SEARCH(("08:00 - 17:00"),(MI462))))</formula>
    </cfRule>
    <cfRule type="containsText" dxfId="698" priority="1195" operator="containsText" text="09:00 - 18:00">
      <formula>NOT(ISERROR(SEARCH(("09:00 - 18:00"),(MI462))))</formula>
    </cfRule>
    <cfRule type="containsText" dxfId="697" priority="1196" operator="containsText" text="10:00 - 19:00">
      <formula>NOT(ISERROR(SEARCH(("10:00 - 19:00"),(MI462))))</formula>
    </cfRule>
    <cfRule type="containsText" dxfId="696" priority="1197" operator="containsText" text="12H-21H /SCO">
      <formula>NOT(ISERROR(SEARCH(("12H-21H /SCO"),(MI462))))</formula>
    </cfRule>
    <cfRule type="containsText" dxfId="695" priority="1198" operator="containsText" text="12:00 - 21:00">
      <formula>NOT(ISERROR(SEARCH(("12:00 - 21:00"),(MI462))))</formula>
    </cfRule>
    <cfRule type="containsText" dxfId="694" priority="1199" operator="containsText" text="Congé">
      <formula>NOT(ISERROR(SEARCH(("Congé"),(MI462))))</formula>
    </cfRule>
  </conditionalFormatting>
  <conditionalFormatting sqref="LR8">
    <cfRule type="containsText" dxfId="693" priority="1204" operator="containsText" text="07:00 - 16:00">
      <formula>NOT(ISERROR(SEARCH(("07:00 - 16:00"),(MJ458))))</formula>
    </cfRule>
    <cfRule type="containsText" dxfId="692" priority="1210" operator="containsText" text="Congé">
      <formula>NOT(ISERROR(SEARCH(("Congé"),(MJ458))))</formula>
    </cfRule>
    <cfRule type="containsText" dxfId="691" priority="1202" operator="containsText" text="04:00 - 13:00">
      <formula>NOT(ISERROR(SEARCH(("04:00 - 13:00"),(MJ458))))</formula>
    </cfRule>
    <cfRule type="containsText" dxfId="690" priority="1201" operator="containsText" text="06:00 - 15:00">
      <formula>NOT(ISERROR(SEARCH(("06:00 - 15:00"),(MJ458))))</formula>
    </cfRule>
    <cfRule type="containsText" dxfId="689" priority="1206" operator="containsText" text="09:00 - 18:00">
      <formula>NOT(ISERROR(SEARCH(("09:00 - 18:00"),(MJ458))))</formula>
    </cfRule>
    <cfRule type="containsText" dxfId="688" priority="1203" operator="containsText" text="14:00 - 23:00">
      <formula>NOT(ISERROR(SEARCH(("14:00 - 23:00"),(MJ458))))</formula>
    </cfRule>
    <cfRule type="containsText" dxfId="687" priority="1207" operator="containsText" text="10:00 - 19:00">
      <formula>NOT(ISERROR(SEARCH(("10:00 - 19:00"),(MJ458))))</formula>
    </cfRule>
    <cfRule type="containsText" dxfId="686" priority="1208" operator="containsText" text="12H-21H /SCO">
      <formula>NOT(ISERROR(SEARCH(("12H-21H /SCO"),(MJ458))))</formula>
    </cfRule>
    <cfRule type="containsText" dxfId="685" priority="1200" operator="containsText" text="OFF">
      <formula>NOT(ISERROR(SEARCH(("OFF"),(MJ458))))</formula>
    </cfRule>
    <cfRule type="containsText" dxfId="684" priority="1209" operator="containsText" text="12:00 - 21:00">
      <formula>NOT(ISERROR(SEARCH(("12:00 - 21:00"),(MJ458))))</formula>
    </cfRule>
    <cfRule type="containsText" dxfId="683" priority="1205" operator="containsText" text="08:00 - 17:00">
      <formula>NOT(ISERROR(SEARCH(("08:00 - 17:00"),(MJ458))))</formula>
    </cfRule>
  </conditionalFormatting>
  <conditionalFormatting sqref="LR15">
    <cfRule type="containsText" dxfId="682" priority="1182" operator="containsText" text="07:00 - 16:00">
      <formula>NOT(ISERROR(SEARCH(("07:00 - 16:00"),(MJ468))))</formula>
    </cfRule>
    <cfRule type="containsText" dxfId="681" priority="1184" operator="containsText" text="09:00 - 18:00">
      <formula>NOT(ISERROR(SEARCH(("09:00 - 18:00"),(MJ468))))</formula>
    </cfRule>
    <cfRule type="containsText" dxfId="680" priority="1185" operator="containsText" text="10:00 - 19:00">
      <formula>NOT(ISERROR(SEARCH(("10:00 - 19:00"),(MJ468))))</formula>
    </cfRule>
    <cfRule type="containsText" dxfId="679" priority="1186" operator="containsText" text="12H-21H /SCO">
      <formula>NOT(ISERROR(SEARCH(("12H-21H /SCO"),(MJ468))))</formula>
    </cfRule>
    <cfRule type="containsText" dxfId="678" priority="1187" operator="containsText" text="12:00 - 21:00">
      <formula>NOT(ISERROR(SEARCH(("12:00 - 21:00"),(MJ468))))</formula>
    </cfRule>
    <cfRule type="containsText" dxfId="677" priority="1181" operator="containsText" text="14:00 - 23:00">
      <formula>NOT(ISERROR(SEARCH(("14:00 - 23:00"),(MJ468))))</formula>
    </cfRule>
    <cfRule type="containsText" dxfId="676" priority="1180" operator="containsText" text="04:00 - 13:00">
      <formula>NOT(ISERROR(SEARCH(("04:00 - 13:00"),(MJ468))))</formula>
    </cfRule>
    <cfRule type="containsText" dxfId="675" priority="1179" operator="containsText" text="06:00 - 15:00">
      <formula>NOT(ISERROR(SEARCH(("06:00 - 15:00"),(MJ468))))</formula>
    </cfRule>
    <cfRule type="containsText" dxfId="674" priority="1178" operator="containsText" text="OFF">
      <formula>NOT(ISERROR(SEARCH(("OFF"),(MJ468))))</formula>
    </cfRule>
    <cfRule type="containsText" dxfId="673" priority="1183" operator="containsText" text="08:00 - 17:00">
      <formula>NOT(ISERROR(SEARCH(("08:00 - 17:00"),(MJ468))))</formula>
    </cfRule>
    <cfRule type="containsText" dxfId="672" priority="1188" operator="containsText" text="Congé">
      <formula>NOT(ISERROR(SEARCH(("Congé"),(MJ468))))</formula>
    </cfRule>
  </conditionalFormatting>
  <conditionalFormatting sqref="LR19">
    <cfRule type="containsText" dxfId="671" priority="1151" operator="containsText" text="09:00 - 18:00">
      <formula>NOT(ISERROR(SEARCH(("09:00 - 18:00"),(MJ459))))</formula>
    </cfRule>
    <cfRule type="containsText" dxfId="670" priority="1152" operator="containsText" text="10:00 - 19:00">
      <formula>NOT(ISERROR(SEARCH(("10:00 - 19:00"),(MJ459))))</formula>
    </cfRule>
    <cfRule type="containsText" dxfId="669" priority="1153" operator="containsText" text="12H-21H /SCO">
      <formula>NOT(ISERROR(SEARCH(("12H-21H /SCO"),(MJ459))))</formula>
    </cfRule>
    <cfRule type="containsText" dxfId="668" priority="1154" operator="containsText" text="12:00 - 21:00">
      <formula>NOT(ISERROR(SEARCH(("12:00 - 21:00"),(MJ459))))</formula>
    </cfRule>
    <cfRule type="containsText" dxfId="667" priority="1145" operator="containsText" text="OFF">
      <formula>NOT(ISERROR(SEARCH(("OFF"),(MJ459))))</formula>
    </cfRule>
    <cfRule type="containsText" dxfId="666" priority="1150" operator="containsText" text="08:00 - 17:00">
      <formula>NOT(ISERROR(SEARCH(("08:00 - 17:00"),(MJ459))))</formula>
    </cfRule>
    <cfRule type="containsText" dxfId="665" priority="1147" operator="containsText" text="04:00 - 13:00">
      <formula>NOT(ISERROR(SEARCH(("04:00 - 13:00"),(MJ459))))</formula>
    </cfRule>
    <cfRule type="containsText" dxfId="664" priority="1146" operator="containsText" text="06:00 - 15:00">
      <formula>NOT(ISERROR(SEARCH(("06:00 - 15:00"),(MJ459))))</formula>
    </cfRule>
    <cfRule type="containsText" dxfId="663" priority="1155" operator="containsText" text="Congé">
      <formula>NOT(ISERROR(SEARCH(("Congé"),(MJ459))))</formula>
    </cfRule>
    <cfRule type="containsText" dxfId="662" priority="1149" operator="containsText" text="07:00 - 16:00">
      <formula>NOT(ISERROR(SEARCH(("07:00 - 16:00"),(MJ459))))</formula>
    </cfRule>
    <cfRule type="containsText" dxfId="661" priority="1148" operator="containsText" text="14:00 - 23:00">
      <formula>NOT(ISERROR(SEARCH(("14:00 - 23:00"),(MJ459))))</formula>
    </cfRule>
  </conditionalFormatting>
  <conditionalFormatting sqref="LS12">
    <cfRule type="containsText" dxfId="660" priority="802" operator="containsText" text="12:00 - 21:00">
      <formula>NOT(ISERROR(SEARCH(("12:00 - 21:00"),(MK549))))</formula>
    </cfRule>
    <cfRule type="containsText" dxfId="659" priority="801" operator="containsText" text="12H-21H /SCO">
      <formula>NOT(ISERROR(SEARCH(("12H-21H /SCO"),(MK549))))</formula>
    </cfRule>
    <cfRule type="containsText" dxfId="658" priority="800" operator="containsText" text="10:00 - 19:00">
      <formula>NOT(ISERROR(SEARCH(("10:00 - 19:00"),(MK549))))</formula>
    </cfRule>
    <cfRule type="containsText" dxfId="657" priority="799" operator="containsText" text="09:00 - 18:00">
      <formula>NOT(ISERROR(SEARCH(("09:00 - 18:00"),(MK549))))</formula>
    </cfRule>
    <cfRule type="containsText" dxfId="656" priority="798" operator="containsText" text="08:00 - 17:00">
      <formula>NOT(ISERROR(SEARCH(("08:00 - 17:00"),(MK549))))</formula>
    </cfRule>
    <cfRule type="containsText" dxfId="655" priority="797" operator="containsText" text="07:00 - 16:00">
      <formula>NOT(ISERROR(SEARCH(("07:00 - 16:00"),(MK549))))</formula>
    </cfRule>
    <cfRule type="containsText" dxfId="654" priority="796" operator="containsText" text="14:00 - 23:00">
      <formula>NOT(ISERROR(SEARCH(("14:00 - 23:00"),(MK549))))</formula>
    </cfRule>
    <cfRule type="containsText" dxfId="653" priority="795" operator="containsText" text="04:00 - 13:00">
      <formula>NOT(ISERROR(SEARCH(("04:00 - 13:00"),(MK549))))</formula>
    </cfRule>
    <cfRule type="containsText" dxfId="652" priority="794" operator="containsText" text="06:00 - 15:00">
      <formula>NOT(ISERROR(SEARCH(("06:00 - 15:00"),(MK549))))</formula>
    </cfRule>
    <cfRule type="containsText" dxfId="651" priority="793" operator="containsText" text="OFF">
      <formula>NOT(ISERROR(SEARCH(("OFF"),(MK549))))</formula>
    </cfRule>
    <cfRule type="containsText" dxfId="650" priority="803" operator="containsText" text="Congé">
      <formula>NOT(ISERROR(SEARCH(("Congé"),(MK549))))</formula>
    </cfRule>
  </conditionalFormatting>
  <conditionalFormatting sqref="LS13">
    <cfRule type="containsText" dxfId="649" priority="750" operator="containsText" text="06:00 - 15:00">
      <formula>NOT(ISERROR(SEARCH(("06:00 - 15:00"),(MK546))))</formula>
    </cfRule>
    <cfRule type="containsText" dxfId="648" priority="754" operator="containsText" text="08:00 - 17:00">
      <formula>NOT(ISERROR(SEARCH(("08:00 - 17:00"),(MK546))))</formula>
    </cfRule>
    <cfRule type="containsText" dxfId="647" priority="756" operator="containsText" text="10:00 - 19:00">
      <formula>NOT(ISERROR(SEARCH(("10:00 - 19:00"),(MK546))))</formula>
    </cfRule>
    <cfRule type="containsText" dxfId="646" priority="759" operator="containsText" text="Congé">
      <formula>NOT(ISERROR(SEARCH(("Congé"),(MK546))))</formula>
    </cfRule>
    <cfRule type="containsText" dxfId="645" priority="758" operator="containsText" text="12:00 - 21:00">
      <formula>NOT(ISERROR(SEARCH(("12:00 - 21:00"),(MK546))))</formula>
    </cfRule>
    <cfRule type="containsText" dxfId="644" priority="755" operator="containsText" text="09:00 - 18:00">
      <formula>NOT(ISERROR(SEARCH(("09:00 - 18:00"),(MK546))))</formula>
    </cfRule>
    <cfRule type="containsText" dxfId="643" priority="753" operator="containsText" text="07:00 - 16:00">
      <formula>NOT(ISERROR(SEARCH(("07:00 - 16:00"),(MK546))))</formula>
    </cfRule>
    <cfRule type="containsText" dxfId="642" priority="752" operator="containsText" text="14:00 - 23:00">
      <formula>NOT(ISERROR(SEARCH(("14:00 - 23:00"),(MK546))))</formula>
    </cfRule>
    <cfRule type="containsText" dxfId="641" priority="751" operator="containsText" text="04:00 - 13:00">
      <formula>NOT(ISERROR(SEARCH(("04:00 - 13:00"),(MK546))))</formula>
    </cfRule>
    <cfRule type="containsText" dxfId="640" priority="749" operator="containsText" text="OFF">
      <formula>NOT(ISERROR(SEARCH(("OFF"),(MK546))))</formula>
    </cfRule>
    <cfRule type="containsText" dxfId="639" priority="757" operator="containsText" text="12H-21H /SCO">
      <formula>NOT(ISERROR(SEARCH(("12H-21H /SCO"),(MK546))))</formula>
    </cfRule>
  </conditionalFormatting>
  <conditionalFormatting sqref="LS15">
    <cfRule type="containsText" dxfId="638" priority="539" operator="containsText" text="Congé">
      <formula>NOT(ISERROR(SEARCH(("Congé"),(MK449))))</formula>
    </cfRule>
    <cfRule type="containsText" dxfId="637" priority="535" operator="containsText" text="09:00 - 18:00">
      <formula>NOT(ISERROR(SEARCH(("09:00 - 18:00"),(MK449))))</formula>
    </cfRule>
    <cfRule type="containsText" dxfId="636" priority="536" operator="containsText" text="10:00 - 19:00">
      <formula>NOT(ISERROR(SEARCH(("10:00 - 19:00"),(MK449))))</formula>
    </cfRule>
    <cfRule type="containsText" dxfId="635" priority="537" operator="containsText" text="12H-21H /SCO">
      <formula>NOT(ISERROR(SEARCH(("12H-21H /SCO"),(MK449))))</formula>
    </cfRule>
    <cfRule type="containsText" dxfId="634" priority="529" operator="containsText" text="OFF">
      <formula>NOT(ISERROR(SEARCH(("OFF"),(MK449))))</formula>
    </cfRule>
    <cfRule type="containsText" dxfId="633" priority="530" operator="containsText" text="06:00 - 15:00">
      <formula>NOT(ISERROR(SEARCH(("06:00 - 15:00"),(MK449))))</formula>
    </cfRule>
    <cfRule type="containsText" dxfId="632" priority="538" operator="containsText" text="12:00 - 21:00">
      <formula>NOT(ISERROR(SEARCH(("12:00 - 21:00"),(MK449))))</formula>
    </cfRule>
    <cfRule type="containsText" dxfId="631" priority="534" operator="containsText" text="08:00 - 17:00">
      <formula>NOT(ISERROR(SEARCH(("08:00 - 17:00"),(MK449))))</formula>
    </cfRule>
    <cfRule type="containsText" dxfId="630" priority="533" operator="containsText" text="07:00 - 16:00">
      <formula>NOT(ISERROR(SEARCH(("07:00 - 16:00"),(MK449))))</formula>
    </cfRule>
    <cfRule type="containsText" dxfId="629" priority="532" operator="containsText" text="14:00 - 23:00">
      <formula>NOT(ISERROR(SEARCH(("14:00 - 23:00"),(MK449))))</formula>
    </cfRule>
    <cfRule type="containsText" dxfId="628" priority="531" operator="containsText" text="04:00 - 13:00">
      <formula>NOT(ISERROR(SEARCH(("04:00 - 13:00"),(MK449))))</formula>
    </cfRule>
  </conditionalFormatting>
  <conditionalFormatting sqref="LS18">
    <cfRule type="containsText" dxfId="627" priority="787" operator="containsText" text="08:00 - 17:00">
      <formula>NOT(ISERROR(SEARCH(("08:00 - 17:00"),(MK465))))</formula>
    </cfRule>
    <cfRule type="containsText" dxfId="626" priority="792" operator="containsText" text="Congé">
      <formula>NOT(ISERROR(SEARCH(("Congé"),(MK465))))</formula>
    </cfRule>
    <cfRule type="containsText" dxfId="625" priority="786" operator="containsText" text="07:00 - 16:00">
      <formula>NOT(ISERROR(SEARCH(("07:00 - 16:00"),(MK465))))</formula>
    </cfRule>
    <cfRule type="containsText" dxfId="624" priority="785" operator="containsText" text="14:00 - 23:00">
      <formula>NOT(ISERROR(SEARCH(("14:00 - 23:00"),(MK465))))</formula>
    </cfRule>
    <cfRule type="containsText" dxfId="623" priority="784" operator="containsText" text="04:00 - 13:00">
      <formula>NOT(ISERROR(SEARCH(("04:00 - 13:00"),(MK465))))</formula>
    </cfRule>
    <cfRule type="containsText" dxfId="622" priority="783" operator="containsText" text="06:00 - 15:00">
      <formula>NOT(ISERROR(SEARCH(("06:00 - 15:00"),(MK465))))</formula>
    </cfRule>
    <cfRule type="containsText" dxfId="621" priority="789" operator="containsText" text="10:00 - 19:00">
      <formula>NOT(ISERROR(SEARCH(("10:00 - 19:00"),(MK465))))</formula>
    </cfRule>
    <cfRule type="containsText" dxfId="620" priority="791" operator="containsText" text="12:00 - 21:00">
      <formula>NOT(ISERROR(SEARCH(("12:00 - 21:00"),(MK465))))</formula>
    </cfRule>
    <cfRule type="containsText" dxfId="619" priority="782" operator="containsText" text="OFF">
      <formula>NOT(ISERROR(SEARCH(("OFF"),(MK465))))</formula>
    </cfRule>
    <cfRule type="containsText" dxfId="618" priority="788" operator="containsText" text="09:00 - 18:00">
      <formula>NOT(ISERROR(SEARCH(("09:00 - 18:00"),(MK465))))</formula>
    </cfRule>
    <cfRule type="containsText" dxfId="617" priority="790" operator="containsText" text="12H-21H /SCO">
      <formula>NOT(ISERROR(SEARCH(("12H-21H /SCO"),(MK465))))</formula>
    </cfRule>
  </conditionalFormatting>
  <conditionalFormatting sqref="LS10:LT10">
    <cfRule type="containsText" dxfId="616" priority="832" operator="containsText" text="09:00 - 18:00">
      <formula>NOT(ISERROR(SEARCH(("09:00 - 18:00"),(MK540))))</formula>
    </cfRule>
    <cfRule type="containsText" dxfId="615" priority="836" operator="containsText" text="Congé">
      <formula>NOT(ISERROR(SEARCH(("Congé"),(MK540))))</formula>
    </cfRule>
    <cfRule type="containsText" dxfId="614" priority="835" operator="containsText" text="12:00 - 21:00">
      <formula>NOT(ISERROR(SEARCH(("12:00 - 21:00"),(MK540))))</formula>
    </cfRule>
    <cfRule type="containsText" dxfId="613" priority="834" operator="containsText" text="12H-21H /SCO">
      <formula>NOT(ISERROR(SEARCH(("12H-21H /SCO"),(MK540))))</formula>
    </cfRule>
    <cfRule type="containsText" dxfId="612" priority="831" operator="containsText" text="08:00 - 17:00">
      <formula>NOT(ISERROR(SEARCH(("08:00 - 17:00"),(MK540))))</formula>
    </cfRule>
    <cfRule type="containsText" dxfId="611" priority="833" operator="containsText" text="10:00 - 19:00">
      <formula>NOT(ISERROR(SEARCH(("10:00 - 19:00"),(MK540))))</formula>
    </cfRule>
    <cfRule type="containsText" dxfId="610" priority="829" operator="containsText" text="14:00 - 23:00">
      <formula>NOT(ISERROR(SEARCH(("14:00 - 23:00"),(MK540))))</formula>
    </cfRule>
    <cfRule type="containsText" dxfId="609" priority="828" operator="containsText" text="04:00 - 13:00">
      <formula>NOT(ISERROR(SEARCH(("04:00 - 13:00"),(MK540))))</formula>
    </cfRule>
    <cfRule type="containsText" dxfId="608" priority="827" operator="containsText" text="06:00 - 15:00">
      <formula>NOT(ISERROR(SEARCH(("06:00 - 15:00"),(MK540))))</formula>
    </cfRule>
    <cfRule type="containsText" dxfId="607" priority="826" operator="containsText" text="OFF">
      <formula>NOT(ISERROR(SEARCH(("OFF"),(MK540))))</formula>
    </cfRule>
    <cfRule type="containsText" dxfId="606" priority="830" operator="containsText" text="07:00 - 16:00">
      <formula>NOT(ISERROR(SEARCH(("07:00 - 16:00"),(MK540))))</formula>
    </cfRule>
  </conditionalFormatting>
  <conditionalFormatting sqref="LS14:LT14">
    <cfRule type="containsText" dxfId="605" priority="909" operator="containsText" text="09:00 - 18:00">
      <formula>NOT(ISERROR(SEARCH(("09:00 - 18:00"),(MK467))))</formula>
    </cfRule>
    <cfRule type="containsText" dxfId="604" priority="910" operator="containsText" text="10:00 - 19:00">
      <formula>NOT(ISERROR(SEARCH(("10:00 - 19:00"),(MK467))))</formula>
    </cfRule>
    <cfRule type="containsText" dxfId="603" priority="911" operator="containsText" text="12H-21H /SCO">
      <formula>NOT(ISERROR(SEARCH(("12H-21H /SCO"),(MK467))))</formula>
    </cfRule>
    <cfRule type="containsText" dxfId="602" priority="907" operator="containsText" text="07:00 - 16:00">
      <formula>NOT(ISERROR(SEARCH(("07:00 - 16:00"),(MK467))))</formula>
    </cfRule>
    <cfRule type="containsText" dxfId="601" priority="912" operator="containsText" text="12:00 - 21:00">
      <formula>NOT(ISERROR(SEARCH(("12:00 - 21:00"),(MK467))))</formula>
    </cfRule>
    <cfRule type="containsText" dxfId="600" priority="913" operator="containsText" text="Congé">
      <formula>NOT(ISERROR(SEARCH(("Congé"),(MK467))))</formula>
    </cfRule>
    <cfRule type="containsText" dxfId="599" priority="906" operator="containsText" text="14:00 - 23:00">
      <formula>NOT(ISERROR(SEARCH(("14:00 - 23:00"),(MK467))))</formula>
    </cfRule>
    <cfRule type="containsText" dxfId="598" priority="905" operator="containsText" text="04:00 - 13:00">
      <formula>NOT(ISERROR(SEARCH(("04:00 - 13:00"),(MK467))))</formula>
    </cfRule>
    <cfRule type="containsText" dxfId="597" priority="904" operator="containsText" text="06:00 - 15:00">
      <formula>NOT(ISERROR(SEARCH(("06:00 - 15:00"),(MK467))))</formula>
    </cfRule>
    <cfRule type="containsText" dxfId="596" priority="903" operator="containsText" text="OFF">
      <formula>NOT(ISERROR(SEARCH(("OFF"),(MK467))))</formula>
    </cfRule>
    <cfRule type="containsText" dxfId="595" priority="908" operator="containsText" text="08:00 - 17:00">
      <formula>NOT(ISERROR(SEARCH(("08:00 - 17:00"),(MK467))))</formula>
    </cfRule>
  </conditionalFormatting>
  <conditionalFormatting sqref="LT19:LU19">
    <cfRule type="containsText" dxfId="594" priority="760" operator="containsText" text="OFF">
      <formula>NOT(ISERROR(SEARCH(("OFF"),(ML540))))</formula>
    </cfRule>
    <cfRule type="containsText" dxfId="593" priority="761" operator="containsText" text="06:00 - 15:00">
      <formula>NOT(ISERROR(SEARCH(("06:00 - 15:00"),(ML540))))</formula>
    </cfRule>
    <cfRule type="containsText" dxfId="592" priority="762" operator="containsText" text="04:00 - 13:00">
      <formula>NOT(ISERROR(SEARCH(("04:00 - 13:00"),(ML540))))</formula>
    </cfRule>
    <cfRule type="containsText" dxfId="591" priority="770" operator="containsText" text="Congé">
      <formula>NOT(ISERROR(SEARCH(("Congé"),(ML540))))</formula>
    </cfRule>
    <cfRule type="containsText" dxfId="590" priority="769" operator="containsText" text="12:00 - 21:00">
      <formula>NOT(ISERROR(SEARCH(("12:00 - 21:00"),(ML540))))</formula>
    </cfRule>
    <cfRule type="containsText" dxfId="589" priority="768" operator="containsText" text="12H-21H /SCO">
      <formula>NOT(ISERROR(SEARCH(("12H-21H /SCO"),(ML540))))</formula>
    </cfRule>
    <cfRule type="containsText" dxfId="588" priority="766" operator="containsText" text="09:00 - 18:00">
      <formula>NOT(ISERROR(SEARCH(("09:00 - 18:00"),(ML540))))</formula>
    </cfRule>
    <cfRule type="containsText" dxfId="587" priority="767" operator="containsText" text="10:00 - 19:00">
      <formula>NOT(ISERROR(SEARCH(("10:00 - 19:00"),(ML540))))</formula>
    </cfRule>
    <cfRule type="containsText" dxfId="586" priority="765" operator="containsText" text="08:00 - 17:00">
      <formula>NOT(ISERROR(SEARCH(("08:00 - 17:00"),(ML540))))</formula>
    </cfRule>
    <cfRule type="containsText" dxfId="585" priority="764" operator="containsText" text="07:00 - 16:00">
      <formula>NOT(ISERROR(SEARCH(("07:00 - 16:00"),(ML540))))</formula>
    </cfRule>
    <cfRule type="containsText" dxfId="584" priority="763" operator="containsText" text="14:00 - 23:00">
      <formula>NOT(ISERROR(SEARCH(("14:00 - 23:00"),(ML540))))</formula>
    </cfRule>
  </conditionalFormatting>
  <conditionalFormatting sqref="LT12:LX12">
    <cfRule type="containsText" dxfId="583" priority="552" operator="containsText" text="06:00 - 15:00">
      <formula>NOT(ISERROR(SEARCH(("06:00 - 15:00"),(ML446))))</formula>
    </cfRule>
    <cfRule type="containsText" dxfId="582" priority="561" operator="containsText" text="Congé">
      <formula>NOT(ISERROR(SEARCH(("Congé"),(ML446))))</formula>
    </cfRule>
    <cfRule type="containsText" dxfId="581" priority="556" operator="containsText" text="08:00 - 17:00">
      <formula>NOT(ISERROR(SEARCH(("08:00 - 17:00"),(ML446))))</formula>
    </cfRule>
    <cfRule type="containsText" dxfId="580" priority="560" operator="containsText" text="12:00 - 21:00">
      <formula>NOT(ISERROR(SEARCH(("12:00 - 21:00"),(ML446))))</formula>
    </cfRule>
    <cfRule type="containsText" dxfId="579" priority="559" operator="containsText" text="12H-21H /SCO">
      <formula>NOT(ISERROR(SEARCH(("12H-21H /SCO"),(ML446))))</formula>
    </cfRule>
    <cfRule type="containsText" dxfId="578" priority="558" operator="containsText" text="10:00 - 19:00">
      <formula>NOT(ISERROR(SEARCH(("10:00 - 19:00"),(ML446))))</formula>
    </cfRule>
    <cfRule type="containsText" dxfId="577" priority="557" operator="containsText" text="09:00 - 18:00">
      <formula>NOT(ISERROR(SEARCH(("09:00 - 18:00"),(ML446))))</formula>
    </cfRule>
    <cfRule type="containsText" dxfId="576" priority="555" operator="containsText" text="07:00 - 16:00">
      <formula>NOT(ISERROR(SEARCH(("07:00 - 16:00"),(ML446))))</formula>
    </cfRule>
    <cfRule type="containsText" dxfId="575" priority="554" operator="containsText" text="14:00 - 23:00">
      <formula>NOT(ISERROR(SEARCH(("14:00 - 23:00"),(ML446))))</formula>
    </cfRule>
    <cfRule type="containsText" dxfId="574" priority="553" operator="containsText" text="04:00 - 13:00">
      <formula>NOT(ISERROR(SEARCH(("04:00 - 13:00"),(ML446))))</formula>
    </cfRule>
    <cfRule type="containsText" dxfId="573" priority="551" operator="containsText" text="OFF">
      <formula>NOT(ISERROR(SEARCH(("OFF"),(ML446))))</formula>
    </cfRule>
  </conditionalFormatting>
  <conditionalFormatting sqref="LU17">
    <cfRule type="containsText" dxfId="572" priority="929" operator="containsText" text="07:00 - 16:00">
      <formula>NOT(ISERROR(SEARCH(("07:00 - 16:00"),(MM470))))</formula>
    </cfRule>
    <cfRule type="containsText" dxfId="571" priority="928" operator="containsText" text="14:00 - 23:00">
      <formula>NOT(ISERROR(SEARCH(("14:00 - 23:00"),(MM470))))</formula>
    </cfRule>
    <cfRule type="containsText" dxfId="570" priority="927" operator="containsText" text="04:00 - 13:00">
      <formula>NOT(ISERROR(SEARCH(("04:00 - 13:00"),(MM470))))</formula>
    </cfRule>
    <cfRule type="containsText" dxfId="569" priority="926" operator="containsText" text="06:00 - 15:00">
      <formula>NOT(ISERROR(SEARCH(("06:00 - 15:00"),(MM470))))</formula>
    </cfRule>
    <cfRule type="containsText" dxfId="568" priority="925" operator="containsText" text="OFF">
      <formula>NOT(ISERROR(SEARCH(("OFF"),(MM470))))</formula>
    </cfRule>
    <cfRule type="containsText" dxfId="567" priority="930" operator="containsText" text="08:00 - 17:00">
      <formula>NOT(ISERROR(SEARCH(("08:00 - 17:00"),(MM470))))</formula>
    </cfRule>
    <cfRule type="containsText" dxfId="566" priority="932" operator="containsText" text="10:00 - 19:00">
      <formula>NOT(ISERROR(SEARCH(("10:00 - 19:00"),(MM470))))</formula>
    </cfRule>
    <cfRule type="containsText" dxfId="565" priority="935" operator="containsText" text="Congé">
      <formula>NOT(ISERROR(SEARCH(("Congé"),(MM470))))</formula>
    </cfRule>
    <cfRule type="containsText" dxfId="564" priority="934" operator="containsText" text="12:00 - 21:00">
      <formula>NOT(ISERROR(SEARCH(("12:00 - 21:00"),(MM470))))</formula>
    </cfRule>
    <cfRule type="containsText" dxfId="563" priority="933" operator="containsText" text="12H-21H /SCO">
      <formula>NOT(ISERROR(SEARCH(("12H-21H /SCO"),(MM470))))</formula>
    </cfRule>
    <cfRule type="containsText" dxfId="562" priority="931" operator="containsText" text="09:00 - 18:00">
      <formula>NOT(ISERROR(SEARCH(("09:00 - 18:00"),(MM470))))</formula>
    </cfRule>
  </conditionalFormatting>
  <conditionalFormatting sqref="LV14:LW14">
    <cfRule type="containsText" dxfId="561" priority="936" operator="containsText" text="OFF">
      <formula>NOT(ISERROR(SEARCH(("OFF"),(MN467))))</formula>
    </cfRule>
    <cfRule type="containsText" dxfId="560" priority="938" operator="containsText" text="04:00 - 13:00">
      <formula>NOT(ISERROR(SEARCH(("04:00 - 13:00"),(MN467))))</formula>
    </cfRule>
    <cfRule type="containsText" dxfId="559" priority="937" operator="containsText" text="06:00 - 15:00">
      <formula>NOT(ISERROR(SEARCH(("06:00 - 15:00"),(MN467))))</formula>
    </cfRule>
    <cfRule type="containsText" dxfId="558" priority="939" operator="containsText" text="14:00 - 23:00">
      <formula>NOT(ISERROR(SEARCH(("14:00 - 23:00"),(MN467))))</formula>
    </cfRule>
    <cfRule type="containsText" dxfId="557" priority="940" operator="containsText" text="07:00 - 16:00">
      <formula>NOT(ISERROR(SEARCH(("07:00 - 16:00"),(MN467))))</formula>
    </cfRule>
    <cfRule type="containsText" dxfId="556" priority="946" operator="containsText" text="Congé">
      <formula>NOT(ISERROR(SEARCH(("Congé"),(MN467))))</formula>
    </cfRule>
    <cfRule type="containsText" dxfId="555" priority="941" operator="containsText" text="08:00 - 17:00">
      <formula>NOT(ISERROR(SEARCH(("08:00 - 17:00"),(MN467))))</formula>
    </cfRule>
    <cfRule type="containsText" dxfId="554" priority="942" operator="containsText" text="09:00 - 18:00">
      <formula>NOT(ISERROR(SEARCH(("09:00 - 18:00"),(MN467))))</formula>
    </cfRule>
    <cfRule type="containsText" dxfId="553" priority="943" operator="containsText" text="10:00 - 19:00">
      <formula>NOT(ISERROR(SEARCH(("10:00 - 19:00"),(MN467))))</formula>
    </cfRule>
    <cfRule type="containsText" dxfId="552" priority="944" operator="containsText" text="12H-21H /SCO">
      <formula>NOT(ISERROR(SEARCH(("12H-21H /SCO"),(MN467))))</formula>
    </cfRule>
    <cfRule type="containsText" dxfId="551" priority="945" operator="containsText" text="12:00 - 21:00">
      <formula>NOT(ISERROR(SEARCH(("12:00 - 21:00"),(MN467))))</formula>
    </cfRule>
  </conditionalFormatting>
  <conditionalFormatting sqref="LV16:LW16">
    <cfRule type="containsText" dxfId="550" priority="737" operator="containsText" text="Congé">
      <formula>NOT(ISERROR(SEARCH(("Congé"),(MN544))))</formula>
    </cfRule>
    <cfRule type="containsText" dxfId="549" priority="734" operator="containsText" text="10:00 - 19:00">
      <formula>NOT(ISERROR(SEARCH(("10:00 - 19:00"),(MN544))))</formula>
    </cfRule>
    <cfRule type="containsText" dxfId="548" priority="733" operator="containsText" text="09:00 - 18:00">
      <formula>NOT(ISERROR(SEARCH(("09:00 - 18:00"),(MN544))))</formula>
    </cfRule>
    <cfRule type="containsText" dxfId="547" priority="732" operator="containsText" text="08:00 - 17:00">
      <formula>NOT(ISERROR(SEARCH(("08:00 - 17:00"),(MN544))))</formula>
    </cfRule>
    <cfRule type="containsText" dxfId="546" priority="731" operator="containsText" text="07:00 - 16:00">
      <formula>NOT(ISERROR(SEARCH(("07:00 - 16:00"),(MN544))))</formula>
    </cfRule>
    <cfRule type="containsText" dxfId="545" priority="730" operator="containsText" text="14:00 - 23:00">
      <formula>NOT(ISERROR(SEARCH(("14:00 - 23:00"),(MN544))))</formula>
    </cfRule>
    <cfRule type="containsText" dxfId="544" priority="729" operator="containsText" text="04:00 - 13:00">
      <formula>NOT(ISERROR(SEARCH(("04:00 - 13:00"),(MN544))))</formula>
    </cfRule>
    <cfRule type="containsText" dxfId="543" priority="727" operator="containsText" text="OFF">
      <formula>NOT(ISERROR(SEARCH(("OFF"),(MN544))))</formula>
    </cfRule>
    <cfRule type="containsText" dxfId="542" priority="735" operator="containsText" text="12H-21H /SCO">
      <formula>NOT(ISERROR(SEARCH(("12H-21H /SCO"),(MN544))))</formula>
    </cfRule>
    <cfRule type="containsText" dxfId="541" priority="736" operator="containsText" text="12:00 - 21:00">
      <formula>NOT(ISERROR(SEARCH(("12:00 - 21:00"),(MN544))))</formula>
    </cfRule>
    <cfRule type="containsText" dxfId="540" priority="728" operator="containsText" text="06:00 - 15:00">
      <formula>NOT(ISERROR(SEARCH(("06:00 - 15:00"),(MN544))))</formula>
    </cfRule>
  </conditionalFormatting>
  <conditionalFormatting sqref="LW8">
    <cfRule type="containsText" dxfId="539" priority="845" operator="containsText" text="12H-21H /SCO">
      <formula>NOT(ISERROR(SEARCH(("12H-21H /SCO"),(MO547))))</formula>
    </cfRule>
    <cfRule type="containsText" dxfId="538" priority="847" operator="containsText" text="Congé">
      <formula>NOT(ISERROR(SEARCH(("Congé"),(MO547))))</formula>
    </cfRule>
    <cfRule type="containsText" dxfId="537" priority="846" operator="containsText" text="12:00 - 21:00">
      <formula>NOT(ISERROR(SEARCH(("12:00 - 21:00"),(MO547))))</formula>
    </cfRule>
    <cfRule type="containsText" dxfId="536" priority="844" operator="containsText" text="10:00 - 19:00">
      <formula>NOT(ISERROR(SEARCH(("10:00 - 19:00"),(MO547))))</formula>
    </cfRule>
    <cfRule type="containsText" dxfId="535" priority="843" operator="containsText" text="09:00 - 18:00">
      <formula>NOT(ISERROR(SEARCH(("09:00 - 18:00"),(MO547))))</formula>
    </cfRule>
    <cfRule type="containsText" dxfId="534" priority="842" operator="containsText" text="08:00 - 17:00">
      <formula>NOT(ISERROR(SEARCH(("08:00 - 17:00"),(MO547))))</formula>
    </cfRule>
    <cfRule type="containsText" dxfId="533" priority="841" operator="containsText" text="07:00 - 16:00">
      <formula>NOT(ISERROR(SEARCH(("07:00 - 16:00"),(MO547))))</formula>
    </cfRule>
    <cfRule type="containsText" dxfId="532" priority="837" operator="containsText" text="OFF">
      <formula>NOT(ISERROR(SEARCH(("OFF"),(MO547))))</formula>
    </cfRule>
    <cfRule type="containsText" dxfId="531" priority="838" operator="containsText" text="06:00 - 15:00">
      <formula>NOT(ISERROR(SEARCH(("06:00 - 15:00"),(MO547))))</formula>
    </cfRule>
    <cfRule type="containsText" dxfId="530" priority="839" operator="containsText" text="04:00 - 13:00">
      <formula>NOT(ISERROR(SEARCH(("04:00 - 13:00"),(MO547))))</formula>
    </cfRule>
    <cfRule type="containsText" dxfId="529" priority="840" operator="containsText" text="14:00 - 23:00">
      <formula>NOT(ISERROR(SEARCH(("14:00 - 23:00"),(MO547))))</formula>
    </cfRule>
  </conditionalFormatting>
  <conditionalFormatting sqref="LW13:LX13">
    <cfRule type="containsText" dxfId="528" priority="918" operator="containsText" text="07:00 - 16:00">
      <formula>NOT(ISERROR(SEARCH(("07:00 - 16:00"),(MO539))))</formula>
    </cfRule>
    <cfRule type="containsText" dxfId="527" priority="917" operator="containsText" text="14:00 - 23:00">
      <formula>NOT(ISERROR(SEARCH(("14:00 - 23:00"),(MO539))))</formula>
    </cfRule>
    <cfRule type="containsText" dxfId="526" priority="916" operator="containsText" text="04:00 - 13:00">
      <formula>NOT(ISERROR(SEARCH(("04:00 - 13:00"),(MO539))))</formula>
    </cfRule>
    <cfRule type="containsText" dxfId="525" priority="915" operator="containsText" text="06:00 - 15:00">
      <formula>NOT(ISERROR(SEARCH(("06:00 - 15:00"),(MO539))))</formula>
    </cfRule>
    <cfRule type="containsText" dxfId="524" priority="914" operator="containsText" text="OFF">
      <formula>NOT(ISERROR(SEARCH(("OFF"),(MO539))))</formula>
    </cfRule>
    <cfRule type="containsText" dxfId="523" priority="922" operator="containsText" text="12H-21H /SCO">
      <formula>NOT(ISERROR(SEARCH(("12H-21H /SCO"),(MO539))))</formula>
    </cfRule>
    <cfRule type="containsText" dxfId="522" priority="924" operator="containsText" text="Congé">
      <formula>NOT(ISERROR(SEARCH(("Congé"),(MO539))))</formula>
    </cfRule>
    <cfRule type="containsText" dxfId="521" priority="923" operator="containsText" text="12:00 - 21:00">
      <formula>NOT(ISERROR(SEARCH(("12:00 - 21:00"),(MO539))))</formula>
    </cfRule>
    <cfRule type="containsText" dxfId="520" priority="921" operator="containsText" text="10:00 - 19:00">
      <formula>NOT(ISERROR(SEARCH(("10:00 - 19:00"),(MO539))))</formula>
    </cfRule>
    <cfRule type="containsText" dxfId="519" priority="920" operator="containsText" text="09:00 - 18:00">
      <formula>NOT(ISERROR(SEARCH(("09:00 - 18:00"),(MO539))))</formula>
    </cfRule>
    <cfRule type="containsText" dxfId="518" priority="919" operator="containsText" text="08:00 - 17:00">
      <formula>NOT(ISERROR(SEARCH(("08:00 - 17:00"),(MO539))))</formula>
    </cfRule>
  </conditionalFormatting>
  <conditionalFormatting sqref="LX10">
    <cfRule type="containsText" dxfId="517" priority="893" operator="containsText" text="06:00 - 15:00">
      <formula>NOT(ISERROR(SEARCH(("06:00 - 15:00"),(MP538))))</formula>
    </cfRule>
    <cfRule type="containsText" dxfId="516" priority="892" operator="containsText" text="OFF">
      <formula>NOT(ISERROR(SEARCH(("OFF"),(MP538))))</formula>
    </cfRule>
    <cfRule type="containsText" dxfId="515" priority="899" operator="containsText" text="10:00 - 19:00">
      <formula>NOT(ISERROR(SEARCH(("10:00 - 19:00"),(MP538))))</formula>
    </cfRule>
    <cfRule type="containsText" dxfId="514" priority="894" operator="containsText" text="04:00 - 13:00">
      <formula>NOT(ISERROR(SEARCH(("04:00 - 13:00"),(MP538))))</formula>
    </cfRule>
    <cfRule type="containsText" dxfId="513" priority="895" operator="containsText" text="14:00 - 23:00">
      <formula>NOT(ISERROR(SEARCH(("14:00 - 23:00"),(MP538))))</formula>
    </cfRule>
    <cfRule type="containsText" dxfId="512" priority="896" operator="containsText" text="07:00 - 16:00">
      <formula>NOT(ISERROR(SEARCH(("07:00 - 16:00"),(MP538))))</formula>
    </cfRule>
    <cfRule type="containsText" dxfId="511" priority="897" operator="containsText" text="08:00 - 17:00">
      <formula>NOT(ISERROR(SEARCH(("08:00 - 17:00"),(MP538))))</formula>
    </cfRule>
    <cfRule type="containsText" dxfId="510" priority="898" operator="containsText" text="09:00 - 18:00">
      <formula>NOT(ISERROR(SEARCH(("09:00 - 18:00"),(MP538))))</formula>
    </cfRule>
    <cfRule type="containsText" dxfId="509" priority="900" operator="containsText" text="12H-21H /SCO">
      <formula>NOT(ISERROR(SEARCH(("12H-21H /SCO"),(MP538))))</formula>
    </cfRule>
    <cfRule type="containsText" dxfId="508" priority="901" operator="containsText" text="12:00 - 21:00">
      <formula>NOT(ISERROR(SEARCH(("12:00 - 21:00"),(MP538))))</formula>
    </cfRule>
    <cfRule type="containsText" dxfId="507" priority="902" operator="containsText" text="Congé">
      <formula>NOT(ISERROR(SEARCH(("Congé"),(MP538))))</formula>
    </cfRule>
  </conditionalFormatting>
  <conditionalFormatting sqref="LX15">
    <cfRule type="containsText" dxfId="506" priority="810" operator="containsText" text="09:00 - 18:00">
      <formula>NOT(ISERROR(SEARCH(("09:00 - 18:00"),(MP552))))</formula>
    </cfRule>
    <cfRule type="containsText" dxfId="505" priority="811" operator="containsText" text="10:00 - 19:00">
      <formula>NOT(ISERROR(SEARCH(("10:00 - 19:00"),(MP552))))</formula>
    </cfRule>
    <cfRule type="containsText" dxfId="504" priority="812" operator="containsText" text="12H-21H /SCO">
      <formula>NOT(ISERROR(SEARCH(("12H-21H /SCO"),(MP552))))</formula>
    </cfRule>
    <cfRule type="containsText" dxfId="503" priority="814" operator="containsText" text="Congé">
      <formula>NOT(ISERROR(SEARCH(("Congé"),(MP552))))</formula>
    </cfRule>
    <cfRule type="containsText" dxfId="502" priority="807" operator="containsText" text="14:00 - 23:00">
      <formula>NOT(ISERROR(SEARCH(("14:00 - 23:00"),(MP552))))</formula>
    </cfRule>
    <cfRule type="containsText" dxfId="501" priority="804" operator="containsText" text="OFF">
      <formula>NOT(ISERROR(SEARCH(("OFF"),(MP552))))</formula>
    </cfRule>
    <cfRule type="containsText" dxfId="500" priority="805" operator="containsText" text="06:00 - 15:00">
      <formula>NOT(ISERROR(SEARCH(("06:00 - 15:00"),(MP552))))</formula>
    </cfRule>
    <cfRule type="containsText" dxfId="499" priority="806" operator="containsText" text="04:00 - 13:00">
      <formula>NOT(ISERROR(SEARCH(("04:00 - 13:00"),(MP552))))</formula>
    </cfRule>
    <cfRule type="containsText" dxfId="498" priority="808" operator="containsText" text="07:00 - 16:00">
      <formula>NOT(ISERROR(SEARCH(("07:00 - 16:00"),(MP552))))</formula>
    </cfRule>
    <cfRule type="containsText" dxfId="497" priority="809" operator="containsText" text="08:00 - 17:00">
      <formula>NOT(ISERROR(SEARCH(("08:00 - 17:00"),(MP552))))</formula>
    </cfRule>
    <cfRule type="containsText" dxfId="496" priority="813" operator="containsText" text="12:00 - 21:00">
      <formula>NOT(ISERROR(SEARCH(("12:00 - 21:00"),(MP552))))</formula>
    </cfRule>
  </conditionalFormatting>
  <conditionalFormatting sqref="LX11:LY11">
    <cfRule type="containsText" dxfId="495" priority="866" operator="containsText" text="10:00 - 19:00">
      <formula>NOT(ISERROR(SEARCH(("10:00 - 19:00"),(MP543))))</formula>
    </cfRule>
    <cfRule type="containsText" dxfId="494" priority="867" operator="containsText" text="12H-21H /SCO">
      <formula>NOT(ISERROR(SEARCH(("12H-21H /SCO"),(MP543))))</formula>
    </cfRule>
    <cfRule type="containsText" dxfId="493" priority="868" operator="containsText" text="12:00 - 21:00">
      <formula>NOT(ISERROR(SEARCH(("12:00 - 21:00"),(MP543))))</formula>
    </cfRule>
    <cfRule type="containsText" dxfId="492" priority="869" operator="containsText" text="Congé">
      <formula>NOT(ISERROR(SEARCH(("Congé"),(MP543))))</formula>
    </cfRule>
    <cfRule type="containsText" dxfId="491" priority="865" operator="containsText" text="09:00 - 18:00">
      <formula>NOT(ISERROR(SEARCH(("09:00 - 18:00"),(MP543))))</formula>
    </cfRule>
    <cfRule type="containsText" dxfId="490" priority="864" operator="containsText" text="08:00 - 17:00">
      <formula>NOT(ISERROR(SEARCH(("08:00 - 17:00"),(MP543))))</formula>
    </cfRule>
    <cfRule type="containsText" dxfId="489" priority="859" operator="containsText" text="OFF">
      <formula>NOT(ISERROR(SEARCH(("OFF"),(MP543))))</formula>
    </cfRule>
    <cfRule type="containsText" dxfId="488" priority="860" operator="containsText" text="06:00 - 15:00">
      <formula>NOT(ISERROR(SEARCH(("06:00 - 15:00"),(MP543))))</formula>
    </cfRule>
    <cfRule type="containsText" dxfId="487" priority="861" operator="containsText" text="04:00 - 13:00">
      <formula>NOT(ISERROR(SEARCH(("04:00 - 13:00"),(MP543))))</formula>
    </cfRule>
    <cfRule type="containsText" dxfId="486" priority="862" operator="containsText" text="14:00 - 23:00">
      <formula>NOT(ISERROR(SEARCH(("14:00 - 23:00"),(MP543))))</formula>
    </cfRule>
    <cfRule type="containsText" dxfId="485" priority="863" operator="containsText" text="07:00 - 16:00">
      <formula>NOT(ISERROR(SEARCH(("07:00 - 16:00"),(MP543))))</formula>
    </cfRule>
  </conditionalFormatting>
  <conditionalFormatting sqref="LY12">
    <cfRule type="containsText" dxfId="484" priority="851" operator="containsText" text="14:00 - 23:00">
      <formula>NOT(ISERROR(SEARCH(("14:00 - 23:00"),(MQ549))))</formula>
    </cfRule>
    <cfRule type="containsText" dxfId="483" priority="853" operator="containsText" text="08:00 - 17:00">
      <formula>NOT(ISERROR(SEARCH(("08:00 - 17:00"),(MQ549))))</formula>
    </cfRule>
    <cfRule type="containsText" dxfId="482" priority="850" operator="containsText" text="04:00 - 13:00">
      <formula>NOT(ISERROR(SEARCH(("04:00 - 13:00"),(MQ549))))</formula>
    </cfRule>
    <cfRule type="containsText" dxfId="481" priority="849" operator="containsText" text="06:00 - 15:00">
      <formula>NOT(ISERROR(SEARCH(("06:00 - 15:00"),(MQ549))))</formula>
    </cfRule>
    <cfRule type="containsText" dxfId="480" priority="848" operator="containsText" text="OFF">
      <formula>NOT(ISERROR(SEARCH(("OFF"),(MQ549))))</formula>
    </cfRule>
    <cfRule type="containsText" dxfId="479" priority="852" operator="containsText" text="07:00 - 16:00">
      <formula>NOT(ISERROR(SEARCH(("07:00 - 16:00"),(MQ549))))</formula>
    </cfRule>
    <cfRule type="containsText" dxfId="478" priority="854" operator="containsText" text="09:00 - 18:00">
      <formula>NOT(ISERROR(SEARCH(("09:00 - 18:00"),(MQ549))))</formula>
    </cfRule>
    <cfRule type="containsText" dxfId="477" priority="855" operator="containsText" text="10:00 - 19:00">
      <formula>NOT(ISERROR(SEARCH(("10:00 - 19:00"),(MQ549))))</formula>
    </cfRule>
    <cfRule type="containsText" dxfId="476" priority="856" operator="containsText" text="12H-21H /SCO">
      <formula>NOT(ISERROR(SEARCH(("12H-21H /SCO"),(MQ549))))</formula>
    </cfRule>
    <cfRule type="containsText" dxfId="475" priority="857" operator="containsText" text="12:00 - 21:00">
      <formula>NOT(ISERROR(SEARCH(("12:00 - 21:00"),(MQ549))))</formula>
    </cfRule>
    <cfRule type="containsText" dxfId="474" priority="858" operator="containsText" text="Congé">
      <formula>NOT(ISERROR(SEARCH(("Congé"),(MQ549))))</formula>
    </cfRule>
  </conditionalFormatting>
  <conditionalFormatting sqref="LY19">
    <cfRule type="containsText" dxfId="473" priority="818" operator="containsText" text="14:00 - 23:00">
      <formula>NOT(ISERROR(SEARCH(("14:00 - 23:00"),(MQ540))))</formula>
    </cfRule>
    <cfRule type="containsText" dxfId="472" priority="821" operator="containsText" text="09:00 - 18:00">
      <formula>NOT(ISERROR(SEARCH(("09:00 - 18:00"),(MQ540))))</formula>
    </cfRule>
    <cfRule type="containsText" dxfId="471" priority="822" operator="containsText" text="10:00 - 19:00">
      <formula>NOT(ISERROR(SEARCH(("10:00 - 19:00"),(MQ540))))</formula>
    </cfRule>
    <cfRule type="containsText" dxfId="470" priority="823" operator="containsText" text="12H-21H /SCO">
      <formula>NOT(ISERROR(SEARCH(("12H-21H /SCO"),(MQ540))))</formula>
    </cfRule>
    <cfRule type="containsText" dxfId="469" priority="825" operator="containsText" text="Congé">
      <formula>NOT(ISERROR(SEARCH(("Congé"),(MQ540))))</formula>
    </cfRule>
    <cfRule type="containsText" dxfId="468" priority="824" operator="containsText" text="12:00 - 21:00">
      <formula>NOT(ISERROR(SEARCH(("12:00 - 21:00"),(MQ540))))</formula>
    </cfRule>
    <cfRule type="containsText" dxfId="467" priority="817" operator="containsText" text="04:00 - 13:00">
      <formula>NOT(ISERROR(SEARCH(("04:00 - 13:00"),(MQ540))))</formula>
    </cfRule>
    <cfRule type="containsText" dxfId="466" priority="816" operator="containsText" text="06:00 - 15:00">
      <formula>NOT(ISERROR(SEARCH(("06:00 - 15:00"),(MQ540))))</formula>
    </cfRule>
    <cfRule type="containsText" dxfId="465" priority="815" operator="containsText" text="OFF">
      <formula>NOT(ISERROR(SEARCH(("OFF"),(MQ540))))</formula>
    </cfRule>
    <cfRule type="containsText" dxfId="464" priority="819" operator="containsText" text="07:00 - 16:00">
      <formula>NOT(ISERROR(SEARCH(("07:00 - 16:00"),(MQ540))))</formula>
    </cfRule>
    <cfRule type="containsText" dxfId="463" priority="820" operator="containsText" text="08:00 - 17:00">
      <formula>NOT(ISERROR(SEARCH(("08:00 - 17:00"),(MQ540))))</formula>
    </cfRule>
  </conditionalFormatting>
  <conditionalFormatting sqref="LZ7">
    <cfRule type="containsText" dxfId="462" priority="321" operator="containsText" text="06:00 - 15:00">
      <formula>NOT(ISERROR(SEARCH(("06:00 - 15:00"),(MR529))))</formula>
    </cfRule>
    <cfRule type="containsText" dxfId="461" priority="330" operator="containsText" text="Congé">
      <formula>NOT(ISERROR(SEARCH(("Congé"),(MR529))))</formula>
    </cfRule>
    <cfRule type="containsText" dxfId="460" priority="329" operator="containsText" text="12:00 - 21:00">
      <formula>NOT(ISERROR(SEARCH(("12:00 - 21:00"),(MR529))))</formula>
    </cfRule>
    <cfRule type="containsText" dxfId="459" priority="328" operator="containsText" text="12H-21H /SCO">
      <formula>NOT(ISERROR(SEARCH(("12H-21H /SCO"),(MR529))))</formula>
    </cfRule>
    <cfRule type="containsText" dxfId="458" priority="327" operator="containsText" text="10:00 - 19:00">
      <formula>NOT(ISERROR(SEARCH(("10:00 - 19:00"),(MR529))))</formula>
    </cfRule>
    <cfRule type="containsText" dxfId="457" priority="326" operator="containsText" text="09:00 - 18:00">
      <formula>NOT(ISERROR(SEARCH(("09:00 - 18:00"),(MR529))))</formula>
    </cfRule>
    <cfRule type="containsText" dxfId="456" priority="325" operator="containsText" text="08:00 - 17:00">
      <formula>NOT(ISERROR(SEARCH(("08:00 - 17:00"),(MR529))))</formula>
    </cfRule>
    <cfRule type="containsText" dxfId="455" priority="324" operator="containsText" text="07:00 - 16:00">
      <formula>NOT(ISERROR(SEARCH(("07:00 - 16:00"),(MR529))))</formula>
    </cfRule>
    <cfRule type="containsText" dxfId="454" priority="323" operator="containsText" text="14:00 - 23:00">
      <formula>NOT(ISERROR(SEARCH(("14:00 - 23:00"),(MR529))))</formula>
    </cfRule>
    <cfRule type="containsText" dxfId="453" priority="322" operator="containsText" text="04:00 - 13:00">
      <formula>NOT(ISERROR(SEARCH(("04:00 - 13:00"),(MR529))))</formula>
    </cfRule>
    <cfRule type="containsText" dxfId="452" priority="320" operator="containsText" text="OFF">
      <formula>NOT(ISERROR(SEARCH(("OFF"),(MR529))))</formula>
    </cfRule>
  </conditionalFormatting>
  <conditionalFormatting sqref="LZ10">
    <cfRule type="containsText" dxfId="451" priority="358" operator="containsText" text="08:00 - 17:00">
      <formula>NOT(ISERROR(SEARCH(("08:00 - 17:00"),(MR626))))</formula>
    </cfRule>
    <cfRule type="containsText" dxfId="450" priority="360" operator="containsText" text="10:00 - 19:00">
      <formula>NOT(ISERROR(SEARCH(("10:00 - 19:00"),(MR626))))</formula>
    </cfRule>
    <cfRule type="containsText" dxfId="449" priority="359" operator="containsText" text="09:00 - 18:00">
      <formula>NOT(ISERROR(SEARCH(("09:00 - 18:00"),(MR626))))</formula>
    </cfRule>
    <cfRule type="containsText" dxfId="448" priority="361" operator="containsText" text="12H-21H /SCO">
      <formula>NOT(ISERROR(SEARCH(("12H-21H /SCO"),(MR626))))</formula>
    </cfRule>
    <cfRule type="containsText" dxfId="447" priority="357" operator="containsText" text="07:00 - 16:00">
      <formula>NOT(ISERROR(SEARCH(("07:00 - 16:00"),(MR626))))</formula>
    </cfRule>
    <cfRule type="containsText" dxfId="446" priority="356" operator="containsText" text="14:00 - 23:00">
      <formula>NOT(ISERROR(SEARCH(("14:00 - 23:00"),(MR626))))</formula>
    </cfRule>
    <cfRule type="containsText" dxfId="445" priority="355" operator="containsText" text="04:00 - 13:00">
      <formula>NOT(ISERROR(SEARCH(("04:00 - 13:00"),(MR626))))</formula>
    </cfRule>
    <cfRule type="containsText" dxfId="444" priority="354" operator="containsText" text="06:00 - 15:00">
      <formula>NOT(ISERROR(SEARCH(("06:00 - 15:00"),(MR626))))</formula>
    </cfRule>
    <cfRule type="containsText" dxfId="443" priority="353" operator="containsText" text="OFF">
      <formula>NOT(ISERROR(SEARCH(("OFF"),(MR626))))</formula>
    </cfRule>
    <cfRule type="containsText" dxfId="442" priority="363" operator="containsText" text="Congé">
      <formula>NOT(ISERROR(SEARCH(("Congé"),(MR626))))</formula>
    </cfRule>
    <cfRule type="containsText" dxfId="441" priority="362" operator="containsText" text="12:00 - 21:00">
      <formula>NOT(ISERROR(SEARCH(("12:00 - 21:00"),(MR626))))</formula>
    </cfRule>
  </conditionalFormatting>
  <conditionalFormatting sqref="LZ11">
    <cfRule type="containsText" dxfId="440" priority="375" operator="containsText" text="OFF">
      <formula>NOT(ISERROR(SEARCH(("OFF"),(MR545))))</formula>
    </cfRule>
    <cfRule type="containsText" dxfId="439" priority="385" operator="containsText" text="Congé">
      <formula>NOT(ISERROR(SEARCH(("Congé"),(MR545))))</formula>
    </cfRule>
    <cfRule type="containsText" dxfId="438" priority="384" operator="containsText" text="12:00 - 21:00">
      <formula>NOT(ISERROR(SEARCH(("12:00 - 21:00"),(MR545))))</formula>
    </cfRule>
    <cfRule type="containsText" dxfId="437" priority="383" operator="containsText" text="12H-21H /SCO">
      <formula>NOT(ISERROR(SEARCH(("12H-21H /SCO"),(MR545))))</formula>
    </cfRule>
    <cfRule type="containsText" dxfId="436" priority="382" operator="containsText" text="10:00 - 19:00">
      <formula>NOT(ISERROR(SEARCH(("10:00 - 19:00"),(MR545))))</formula>
    </cfRule>
    <cfRule type="containsText" dxfId="435" priority="381" operator="containsText" text="09:00 - 18:00">
      <formula>NOT(ISERROR(SEARCH(("09:00 - 18:00"),(MR545))))</formula>
    </cfRule>
    <cfRule type="containsText" dxfId="434" priority="380" operator="containsText" text="08:00 - 17:00">
      <formula>NOT(ISERROR(SEARCH(("08:00 - 17:00"),(MR545))))</formula>
    </cfRule>
    <cfRule type="containsText" dxfId="433" priority="379" operator="containsText" text="07:00 - 16:00">
      <formula>NOT(ISERROR(SEARCH(("07:00 - 16:00"),(MR545))))</formula>
    </cfRule>
    <cfRule type="containsText" dxfId="432" priority="378" operator="containsText" text="14:00 - 23:00">
      <formula>NOT(ISERROR(SEARCH(("14:00 - 23:00"),(MR545))))</formula>
    </cfRule>
    <cfRule type="containsText" dxfId="431" priority="377" operator="containsText" text="04:00 - 13:00">
      <formula>NOT(ISERROR(SEARCH(("04:00 - 13:00"),(MR545))))</formula>
    </cfRule>
    <cfRule type="containsText" dxfId="430" priority="376" operator="containsText" text="06:00 - 15:00">
      <formula>NOT(ISERROR(SEARCH(("06:00 - 15:00"),(MR545))))</formula>
    </cfRule>
  </conditionalFormatting>
  <conditionalFormatting sqref="LZ14">
    <cfRule type="containsText" dxfId="429" priority="391" operator="containsText" text="08:00 - 17:00">
      <formula>NOT(ISERROR(SEARCH(("08:00 - 17:00"),(MR629))))</formula>
    </cfRule>
    <cfRule type="containsText" dxfId="428" priority="396" operator="containsText" text="Congé">
      <formula>NOT(ISERROR(SEARCH(("Congé"),(MR629))))</formula>
    </cfRule>
    <cfRule type="containsText" dxfId="427" priority="395" operator="containsText" text="12:00 - 21:00">
      <formula>NOT(ISERROR(SEARCH(("12:00 - 21:00"),(MR629))))</formula>
    </cfRule>
    <cfRule type="containsText" dxfId="426" priority="394" operator="containsText" text="12H-21H /SCO">
      <formula>NOT(ISERROR(SEARCH(("12H-21H /SCO"),(MR629))))</formula>
    </cfRule>
    <cfRule type="containsText" dxfId="425" priority="393" operator="containsText" text="10:00 - 19:00">
      <formula>NOT(ISERROR(SEARCH(("10:00 - 19:00"),(MR629))))</formula>
    </cfRule>
    <cfRule type="containsText" dxfId="424" priority="392" operator="containsText" text="09:00 - 18:00">
      <formula>NOT(ISERROR(SEARCH(("09:00 - 18:00"),(MR629))))</formula>
    </cfRule>
    <cfRule type="containsText" dxfId="423" priority="387" operator="containsText" text="06:00 - 15:00">
      <formula>NOT(ISERROR(SEARCH(("06:00 - 15:00"),(MR629))))</formula>
    </cfRule>
    <cfRule type="containsText" dxfId="422" priority="386" operator="containsText" text="OFF">
      <formula>NOT(ISERROR(SEARCH(("OFF"),(MR629))))</formula>
    </cfRule>
    <cfRule type="containsText" dxfId="421" priority="390" operator="containsText" text="07:00 - 16:00">
      <formula>NOT(ISERROR(SEARCH(("07:00 - 16:00"),(MR629))))</formula>
    </cfRule>
    <cfRule type="containsText" dxfId="420" priority="389" operator="containsText" text="14:00 - 23:00">
      <formula>NOT(ISERROR(SEARCH(("14:00 - 23:00"),(MR629))))</formula>
    </cfRule>
    <cfRule type="containsText" dxfId="419" priority="388" operator="containsText" text="04:00 - 13:00">
      <formula>NOT(ISERROR(SEARCH(("04:00 - 13:00"),(MR629))))</formula>
    </cfRule>
  </conditionalFormatting>
  <conditionalFormatting sqref="LZ12:MA12">
    <cfRule type="containsText" dxfId="418" priority="484" operator="containsText" text="Congé">
      <formula>NOT(ISERROR(SEARCH(("Congé"),(MR547))))</formula>
    </cfRule>
    <cfRule type="containsText" dxfId="417" priority="475" operator="containsText" text="06:00 - 15:00">
      <formula>NOT(ISERROR(SEARCH(("06:00 - 15:00"),(MR547))))</formula>
    </cfRule>
    <cfRule type="containsText" dxfId="416" priority="474" operator="containsText" text="OFF">
      <formula>NOT(ISERROR(SEARCH(("OFF"),(MR547))))</formula>
    </cfRule>
    <cfRule type="containsText" dxfId="415" priority="483" operator="containsText" text="12:00 - 21:00">
      <formula>NOT(ISERROR(SEARCH(("12:00 - 21:00"),(MR547))))</formula>
    </cfRule>
    <cfRule type="containsText" dxfId="414" priority="482" operator="containsText" text="12H-21H /SCO">
      <formula>NOT(ISERROR(SEARCH(("12H-21H /SCO"),(MR547))))</formula>
    </cfRule>
    <cfRule type="containsText" dxfId="413" priority="481" operator="containsText" text="10:00 - 19:00">
      <formula>NOT(ISERROR(SEARCH(("10:00 - 19:00"),(MR547))))</formula>
    </cfRule>
    <cfRule type="containsText" dxfId="412" priority="480" operator="containsText" text="09:00 - 18:00">
      <formula>NOT(ISERROR(SEARCH(("09:00 - 18:00"),(MR547))))</formula>
    </cfRule>
    <cfRule type="containsText" dxfId="411" priority="479" operator="containsText" text="08:00 - 17:00">
      <formula>NOT(ISERROR(SEARCH(("08:00 - 17:00"),(MR547))))</formula>
    </cfRule>
    <cfRule type="containsText" dxfId="410" priority="478" operator="containsText" text="07:00 - 16:00">
      <formula>NOT(ISERROR(SEARCH(("07:00 - 16:00"),(MR547))))</formula>
    </cfRule>
    <cfRule type="containsText" dxfId="409" priority="477" operator="containsText" text="14:00 - 23:00">
      <formula>NOT(ISERROR(SEARCH(("14:00 - 23:00"),(MR547))))</formula>
    </cfRule>
    <cfRule type="containsText" dxfId="408" priority="476" operator="containsText" text="04:00 - 13:00">
      <formula>NOT(ISERROR(SEARCH(("04:00 - 13:00"),(MR547))))</formula>
    </cfRule>
  </conditionalFormatting>
  <conditionalFormatting sqref="LZ17:MA17">
    <cfRule type="containsText" dxfId="407" priority="373" operator="containsText" text="12:00 - 21:00">
      <formula>NOT(ISERROR(SEARCH(("12:00 - 21:00"),(MR620))))</formula>
    </cfRule>
    <cfRule type="containsText" dxfId="406" priority="372" operator="containsText" text="12H-21H /SCO">
      <formula>NOT(ISERROR(SEARCH(("12H-21H /SCO"),(MR620))))</formula>
    </cfRule>
    <cfRule type="containsText" dxfId="405" priority="371" operator="containsText" text="10:00 - 19:00">
      <formula>NOT(ISERROR(SEARCH(("10:00 - 19:00"),(MR620))))</formula>
    </cfRule>
    <cfRule type="containsText" dxfId="404" priority="369" operator="containsText" text="08:00 - 17:00">
      <formula>NOT(ISERROR(SEARCH(("08:00 - 17:00"),(MR620))))</formula>
    </cfRule>
    <cfRule type="containsText" dxfId="403" priority="368" operator="containsText" text="07:00 - 16:00">
      <formula>NOT(ISERROR(SEARCH(("07:00 - 16:00"),(MR620))))</formula>
    </cfRule>
    <cfRule type="containsText" dxfId="402" priority="367" operator="containsText" text="14:00 - 23:00">
      <formula>NOT(ISERROR(SEARCH(("14:00 - 23:00"),(MR620))))</formula>
    </cfRule>
    <cfRule type="containsText" dxfId="401" priority="366" operator="containsText" text="04:00 - 13:00">
      <formula>NOT(ISERROR(SEARCH(("04:00 - 13:00"),(MR620))))</formula>
    </cfRule>
    <cfRule type="containsText" dxfId="400" priority="365" operator="containsText" text="06:00 - 15:00">
      <formula>NOT(ISERROR(SEARCH(("06:00 - 15:00"),(MR620))))</formula>
    </cfRule>
    <cfRule type="containsText" dxfId="399" priority="374" operator="containsText" text="Congé">
      <formula>NOT(ISERROR(SEARCH(("Congé"),(MR620))))</formula>
    </cfRule>
    <cfRule type="containsText" dxfId="398" priority="364" operator="containsText" text="OFF">
      <formula>NOT(ISERROR(SEARCH(("OFF"),(MR620))))</formula>
    </cfRule>
    <cfRule type="containsText" dxfId="397" priority="370" operator="containsText" text="09:00 - 18:00">
      <formula>NOT(ISERROR(SEARCH(("09:00 - 18:00"),(MR620))))</formula>
    </cfRule>
  </conditionalFormatting>
  <conditionalFormatting sqref="MA7:MB7">
    <cfRule type="containsText" dxfId="396" priority="307" operator="containsText" text="12:00 - 21:00">
      <formula>NOT(ISERROR(SEARCH(("12:00 - 21:00"),(MS441))))</formula>
    </cfRule>
    <cfRule type="containsText" dxfId="395" priority="306" operator="containsText" text="12H-21H /SCO">
      <formula>NOT(ISERROR(SEARCH(("12H-21H /SCO"),(MS441))))</formula>
    </cfRule>
    <cfRule type="containsText" dxfId="394" priority="305" operator="containsText" text="10:00 - 19:00">
      <formula>NOT(ISERROR(SEARCH(("10:00 - 19:00"),(MS441))))</formula>
    </cfRule>
    <cfRule type="containsText" dxfId="393" priority="304" operator="containsText" text="09:00 - 18:00">
      <formula>NOT(ISERROR(SEARCH(("09:00 - 18:00"),(MS441))))</formula>
    </cfRule>
    <cfRule type="containsText" dxfId="392" priority="303" operator="containsText" text="08:00 - 17:00">
      <formula>NOT(ISERROR(SEARCH(("08:00 - 17:00"),(MS441))))</formula>
    </cfRule>
    <cfRule type="containsText" dxfId="391" priority="302" operator="containsText" text="07:00 - 16:00">
      <formula>NOT(ISERROR(SEARCH(("07:00 - 16:00"),(MS441))))</formula>
    </cfRule>
    <cfRule type="containsText" dxfId="390" priority="301" operator="containsText" text="14:00 - 23:00">
      <formula>NOT(ISERROR(SEARCH(("14:00 - 23:00"),(MS441))))</formula>
    </cfRule>
    <cfRule type="containsText" dxfId="389" priority="300" operator="containsText" text="04:00 - 13:00">
      <formula>NOT(ISERROR(SEARCH(("04:00 - 13:00"),(MS441))))</formula>
    </cfRule>
    <cfRule type="containsText" dxfId="388" priority="299" operator="containsText" text="06:00 - 15:00">
      <formula>NOT(ISERROR(SEARCH(("06:00 - 15:00"),(MS441))))</formula>
    </cfRule>
    <cfRule type="containsText" dxfId="387" priority="298" operator="containsText" text="OFF">
      <formula>NOT(ISERROR(SEARCH(("OFF"),(MS441))))</formula>
    </cfRule>
    <cfRule type="containsText" dxfId="386" priority="308" operator="containsText" text="Congé">
      <formula>NOT(ISERROR(SEARCH(("Congé"),(MS441))))</formula>
    </cfRule>
  </conditionalFormatting>
  <conditionalFormatting sqref="MA14:MB14">
    <cfRule type="containsText" dxfId="385" priority="419" operator="containsText" text="OFF">
      <formula>NOT(ISERROR(SEARCH(("OFF"),(MS620))))</formula>
    </cfRule>
    <cfRule type="containsText" dxfId="384" priority="423" operator="containsText" text="07:00 - 16:00">
      <formula>NOT(ISERROR(SEARCH(("07:00 - 16:00"),(MS620))))</formula>
    </cfRule>
    <cfRule type="containsText" dxfId="383" priority="424" operator="containsText" text="08:00 - 17:00">
      <formula>NOT(ISERROR(SEARCH(("08:00 - 17:00"),(MS620))))</formula>
    </cfRule>
    <cfRule type="containsText" dxfId="382" priority="425" operator="containsText" text="09:00 - 18:00">
      <formula>NOT(ISERROR(SEARCH(("09:00 - 18:00"),(MS620))))</formula>
    </cfRule>
    <cfRule type="containsText" dxfId="381" priority="426" operator="containsText" text="10:00 - 19:00">
      <formula>NOT(ISERROR(SEARCH(("10:00 - 19:00"),(MS620))))</formula>
    </cfRule>
    <cfRule type="containsText" dxfId="380" priority="427" operator="containsText" text="12H-21H /SCO">
      <formula>NOT(ISERROR(SEARCH(("12H-21H /SCO"),(MS620))))</formula>
    </cfRule>
    <cfRule type="containsText" dxfId="379" priority="428" operator="containsText" text="12:00 - 21:00">
      <formula>NOT(ISERROR(SEARCH(("12:00 - 21:00"),(MS620))))</formula>
    </cfRule>
    <cfRule type="containsText" dxfId="378" priority="429" operator="containsText" text="Congé">
      <formula>NOT(ISERROR(SEARCH(("Congé"),(MS620))))</formula>
    </cfRule>
    <cfRule type="containsText" dxfId="377" priority="421" operator="containsText" text="04:00 - 13:00">
      <formula>NOT(ISERROR(SEARCH(("04:00 - 13:00"),(MS620))))</formula>
    </cfRule>
    <cfRule type="containsText" dxfId="376" priority="422" operator="containsText" text="14:00 - 23:00">
      <formula>NOT(ISERROR(SEARCH(("14:00 - 23:00"),(MS620))))</formula>
    </cfRule>
    <cfRule type="containsText" dxfId="375" priority="420" operator="containsText" text="06:00 - 15:00">
      <formula>NOT(ISERROR(SEARCH(("06:00 - 15:00"),(MS620))))</formula>
    </cfRule>
  </conditionalFormatting>
  <conditionalFormatting sqref="MA14:ME14">
    <cfRule type="containsText" dxfId="374" priority="333" operator="containsText" text="04:00 - 13:00">
      <formula>NOT(ISERROR(SEARCH(("04:00 - 13:00"),(MS526))))</formula>
    </cfRule>
    <cfRule type="containsText" dxfId="373" priority="339" operator="containsText" text="12H-21H /SCO">
      <formula>NOT(ISERROR(SEARCH(("12H-21H /SCO"),(MS526))))</formula>
    </cfRule>
    <cfRule type="containsText" dxfId="372" priority="340" operator="containsText" text="12:00 - 21:00">
      <formula>NOT(ISERROR(SEARCH(("12:00 - 21:00"),(MS526))))</formula>
    </cfRule>
    <cfRule type="containsText" dxfId="371" priority="341" operator="containsText" text="Congé">
      <formula>NOT(ISERROR(SEARCH(("Congé"),(MS526))))</formula>
    </cfRule>
    <cfRule type="containsText" dxfId="370" priority="335" operator="containsText" text="07:00 - 16:00">
      <formula>NOT(ISERROR(SEARCH(("07:00 - 16:00"),(MS526))))</formula>
    </cfRule>
    <cfRule type="containsText" dxfId="369" priority="331" operator="containsText" text="OFF">
      <formula>NOT(ISERROR(SEARCH(("OFF"),(MS526))))</formula>
    </cfRule>
    <cfRule type="containsText" dxfId="368" priority="332" operator="containsText" text="06:00 - 15:00">
      <formula>NOT(ISERROR(SEARCH(("06:00 - 15:00"),(MS526))))</formula>
    </cfRule>
    <cfRule type="containsText" dxfId="367" priority="338" operator="containsText" text="10:00 - 19:00">
      <formula>NOT(ISERROR(SEARCH(("10:00 - 19:00"),(MS526))))</formula>
    </cfRule>
    <cfRule type="containsText" dxfId="366" priority="337" operator="containsText" text="09:00 - 18:00">
      <formula>NOT(ISERROR(SEARCH(("09:00 - 18:00"),(MS526))))</formula>
    </cfRule>
    <cfRule type="containsText" dxfId="365" priority="336" operator="containsText" text="08:00 - 17:00">
      <formula>NOT(ISERROR(SEARCH(("08:00 - 17:00"),(MS526))))</formula>
    </cfRule>
    <cfRule type="containsText" dxfId="364" priority="334" operator="containsText" text="14:00 - 23:00">
      <formula>NOT(ISERROR(SEARCH(("14:00 - 23:00"),(MS526))))</formula>
    </cfRule>
  </conditionalFormatting>
  <conditionalFormatting sqref="MB13">
    <cfRule type="containsText" dxfId="363" priority="501" operator="containsText" text="08:00 - 17:00">
      <formula>NOT(ISERROR(SEARCH(("08:00 - 17:00"),(MT550))))</formula>
    </cfRule>
    <cfRule type="containsText" dxfId="362" priority="502" operator="containsText" text="09:00 - 18:00">
      <formula>NOT(ISERROR(SEARCH(("09:00 - 18:00"),(MT550))))</formula>
    </cfRule>
    <cfRule type="containsText" dxfId="361" priority="500" operator="containsText" text="07:00 - 16:00">
      <formula>NOT(ISERROR(SEARCH(("07:00 - 16:00"),(MT550))))</formula>
    </cfRule>
    <cfRule type="containsText" dxfId="360" priority="499" operator="containsText" text="14:00 - 23:00">
      <formula>NOT(ISERROR(SEARCH(("14:00 - 23:00"),(MT550))))</formula>
    </cfRule>
    <cfRule type="containsText" dxfId="359" priority="498" operator="containsText" text="04:00 - 13:00">
      <formula>NOT(ISERROR(SEARCH(("04:00 - 13:00"),(MT550))))</formula>
    </cfRule>
    <cfRule type="containsText" dxfId="358" priority="497" operator="containsText" text="06:00 - 15:00">
      <formula>NOT(ISERROR(SEARCH(("06:00 - 15:00"),(MT550))))</formula>
    </cfRule>
    <cfRule type="containsText" dxfId="357" priority="496" operator="containsText" text="OFF">
      <formula>NOT(ISERROR(SEARCH(("OFF"),(MT550))))</formula>
    </cfRule>
    <cfRule type="containsText" dxfId="356" priority="506" operator="containsText" text="Congé">
      <formula>NOT(ISERROR(SEARCH(("Congé"),(MT550))))</formula>
    </cfRule>
    <cfRule type="containsText" dxfId="355" priority="505" operator="containsText" text="12:00 - 21:00">
      <formula>NOT(ISERROR(SEARCH(("12:00 - 21:00"),(MT550))))</formula>
    </cfRule>
    <cfRule type="containsText" dxfId="354" priority="504" operator="containsText" text="12H-21H /SCO">
      <formula>NOT(ISERROR(SEARCH(("12H-21H /SCO"),(MT550))))</formula>
    </cfRule>
    <cfRule type="containsText" dxfId="353" priority="503" operator="containsText" text="10:00 - 19:00">
      <formula>NOT(ISERROR(SEARCH(("10:00 - 19:00"),(MT550))))</formula>
    </cfRule>
  </conditionalFormatting>
  <conditionalFormatting sqref="MC12:MD12">
    <cfRule type="containsText" dxfId="352" priority="510" operator="containsText" text="14:00 - 23:00">
      <formula>NOT(ISERROR(SEARCH(("14:00 - 23:00"),(MU547))))</formula>
    </cfRule>
    <cfRule type="containsText" dxfId="351" priority="512" operator="containsText" text="08:00 - 17:00">
      <formula>NOT(ISERROR(SEARCH(("08:00 - 17:00"),(MU547))))</formula>
    </cfRule>
    <cfRule type="containsText" dxfId="350" priority="508" operator="containsText" text="06:00 - 15:00">
      <formula>NOT(ISERROR(SEARCH(("06:00 - 15:00"),(MU547))))</formula>
    </cfRule>
    <cfRule type="containsText" dxfId="349" priority="511" operator="containsText" text="07:00 - 16:00">
      <formula>NOT(ISERROR(SEARCH(("07:00 - 16:00"),(MU547))))</formula>
    </cfRule>
    <cfRule type="containsText" dxfId="348" priority="507" operator="containsText" text="OFF">
      <formula>NOT(ISERROR(SEARCH(("OFF"),(MU547))))</formula>
    </cfRule>
    <cfRule type="containsText" dxfId="347" priority="509" operator="containsText" text="04:00 - 13:00">
      <formula>NOT(ISERROR(SEARCH(("04:00 - 13:00"),(MU547))))</formula>
    </cfRule>
    <cfRule type="containsText" dxfId="346" priority="513" operator="containsText" text="09:00 - 18:00">
      <formula>NOT(ISERROR(SEARCH(("09:00 - 18:00"),(MU547))))</formula>
    </cfRule>
    <cfRule type="containsText" dxfId="345" priority="514" operator="containsText" text="10:00 - 19:00">
      <formula>NOT(ISERROR(SEARCH(("10:00 - 19:00"),(MU547))))</formula>
    </cfRule>
    <cfRule type="containsText" dxfId="344" priority="515" operator="containsText" text="12H-21H /SCO">
      <formula>NOT(ISERROR(SEARCH(("12H-21H /SCO"),(MU547))))</formula>
    </cfRule>
    <cfRule type="containsText" dxfId="343" priority="516" operator="containsText" text="12:00 - 21:00">
      <formula>NOT(ISERROR(SEARCH(("12:00 - 21:00"),(MU547))))</formula>
    </cfRule>
    <cfRule type="containsText" dxfId="342" priority="517" operator="containsText" text="Congé">
      <formula>NOT(ISERROR(SEARCH(("Congé"),(MU547))))</formula>
    </cfRule>
  </conditionalFormatting>
  <conditionalFormatting sqref="MC16:MD16">
    <cfRule type="containsText" dxfId="341" priority="348" operator="containsText" text="09:00 - 18:00">
      <formula>NOT(ISERROR(SEARCH(("09:00 - 18:00"),(MU624))))</formula>
    </cfRule>
    <cfRule type="containsText" dxfId="340" priority="347" operator="containsText" text="08:00 - 17:00">
      <formula>NOT(ISERROR(SEARCH(("08:00 - 17:00"),(MU624))))</formula>
    </cfRule>
    <cfRule type="containsText" dxfId="339" priority="346" operator="containsText" text="07:00 - 16:00">
      <formula>NOT(ISERROR(SEARCH(("07:00 - 16:00"),(MU624))))</formula>
    </cfRule>
    <cfRule type="containsText" dxfId="338" priority="343" operator="containsText" text="06:00 - 15:00">
      <formula>NOT(ISERROR(SEARCH(("06:00 - 15:00"),(MU624))))</formula>
    </cfRule>
    <cfRule type="containsText" dxfId="337" priority="342" operator="containsText" text="OFF">
      <formula>NOT(ISERROR(SEARCH(("OFF"),(MU624))))</formula>
    </cfRule>
    <cfRule type="containsText" dxfId="336" priority="344" operator="containsText" text="04:00 - 13:00">
      <formula>NOT(ISERROR(SEARCH(("04:00 - 13:00"),(MU624))))</formula>
    </cfRule>
    <cfRule type="containsText" dxfId="335" priority="345" operator="containsText" text="14:00 - 23:00">
      <formula>NOT(ISERROR(SEARCH(("14:00 - 23:00"),(MU624))))</formula>
    </cfRule>
    <cfRule type="containsText" dxfId="334" priority="352" operator="containsText" text="Congé">
      <formula>NOT(ISERROR(SEARCH(("Congé"),(MU624))))</formula>
    </cfRule>
    <cfRule type="containsText" dxfId="333" priority="351" operator="containsText" text="12:00 - 21:00">
      <formula>NOT(ISERROR(SEARCH(("12:00 - 21:00"),(MU624))))</formula>
    </cfRule>
    <cfRule type="containsText" dxfId="332" priority="350" operator="containsText" text="12H-21H /SCO">
      <formula>NOT(ISERROR(SEARCH(("12H-21H /SCO"),(MU624))))</formula>
    </cfRule>
    <cfRule type="containsText" dxfId="331" priority="349" operator="containsText" text="10:00 - 19:00">
      <formula>NOT(ISERROR(SEARCH(("10:00 - 19:00"),(MU624))))</formula>
    </cfRule>
  </conditionalFormatting>
  <conditionalFormatting sqref="MD8">
    <cfRule type="containsText" dxfId="330" priority="440" operator="containsText" text="Congé">
      <formula>NOT(ISERROR(SEARCH(("Congé"),(MV627))))</formula>
    </cfRule>
    <cfRule type="containsText" dxfId="329" priority="430" operator="containsText" text="OFF">
      <formula>NOT(ISERROR(SEARCH(("OFF"),(MV627))))</formula>
    </cfRule>
    <cfRule type="containsText" dxfId="328" priority="431" operator="containsText" text="06:00 - 15:00">
      <formula>NOT(ISERROR(SEARCH(("06:00 - 15:00"),(MV627))))</formula>
    </cfRule>
    <cfRule type="containsText" dxfId="327" priority="432" operator="containsText" text="04:00 - 13:00">
      <formula>NOT(ISERROR(SEARCH(("04:00 - 13:00"),(MV627))))</formula>
    </cfRule>
    <cfRule type="containsText" dxfId="326" priority="433" operator="containsText" text="14:00 - 23:00">
      <formula>NOT(ISERROR(SEARCH(("14:00 - 23:00"),(MV627))))</formula>
    </cfRule>
    <cfRule type="containsText" dxfId="325" priority="434" operator="containsText" text="07:00 - 16:00">
      <formula>NOT(ISERROR(SEARCH(("07:00 - 16:00"),(MV627))))</formula>
    </cfRule>
    <cfRule type="containsText" dxfId="324" priority="435" operator="containsText" text="08:00 - 17:00">
      <formula>NOT(ISERROR(SEARCH(("08:00 - 17:00"),(MV627))))</formula>
    </cfRule>
    <cfRule type="containsText" dxfId="323" priority="436" operator="containsText" text="09:00 - 18:00">
      <formula>NOT(ISERROR(SEARCH(("09:00 - 18:00"),(MV627))))</formula>
    </cfRule>
    <cfRule type="containsText" dxfId="322" priority="437" operator="containsText" text="10:00 - 19:00">
      <formula>NOT(ISERROR(SEARCH(("10:00 - 19:00"),(MV627))))</formula>
    </cfRule>
    <cfRule type="containsText" dxfId="321" priority="438" operator="containsText" text="12H-21H /SCO">
      <formula>NOT(ISERROR(SEARCH(("12H-21H /SCO"),(MV627))))</formula>
    </cfRule>
    <cfRule type="containsText" dxfId="320" priority="439" operator="containsText" text="12:00 - 21:00">
      <formula>NOT(ISERROR(SEARCH(("12:00 - 21:00"),(MV627))))</formula>
    </cfRule>
  </conditionalFormatting>
  <conditionalFormatting sqref="MD10:ME10">
    <cfRule type="containsText" dxfId="319" priority="489" operator="containsText" text="07:00 - 16:00">
      <formula>NOT(ISERROR(SEARCH(("07:00 - 16:00"),(MV619))))</formula>
    </cfRule>
    <cfRule type="containsText" dxfId="318" priority="488" operator="containsText" text="14:00 - 23:00">
      <formula>NOT(ISERROR(SEARCH(("14:00 - 23:00"),(MV619))))</formula>
    </cfRule>
    <cfRule type="containsText" dxfId="317" priority="487" operator="containsText" text="04:00 - 13:00">
      <formula>NOT(ISERROR(SEARCH(("04:00 - 13:00"),(MV619))))</formula>
    </cfRule>
    <cfRule type="containsText" dxfId="316" priority="490" operator="containsText" text="08:00 - 17:00">
      <formula>NOT(ISERROR(SEARCH(("08:00 - 17:00"),(MV619))))</formula>
    </cfRule>
    <cfRule type="containsText" dxfId="315" priority="485" operator="containsText" text="OFF">
      <formula>NOT(ISERROR(SEARCH(("OFF"),(MV619))))</formula>
    </cfRule>
    <cfRule type="containsText" dxfId="314" priority="494" operator="containsText" text="12:00 - 21:00">
      <formula>NOT(ISERROR(SEARCH(("12:00 - 21:00"),(MV619))))</formula>
    </cfRule>
    <cfRule type="containsText" dxfId="313" priority="486" operator="containsText" text="06:00 - 15:00">
      <formula>NOT(ISERROR(SEARCH(("06:00 - 15:00"),(MV619))))</formula>
    </cfRule>
    <cfRule type="containsText" dxfId="312" priority="493" operator="containsText" text="12H-21H /SCO">
      <formula>NOT(ISERROR(SEARCH(("12H-21H /SCO"),(MV619))))</formula>
    </cfRule>
    <cfRule type="containsText" dxfId="311" priority="492" operator="containsText" text="10:00 - 19:00">
      <formula>NOT(ISERROR(SEARCH(("10:00 - 19:00"),(MV619))))</formula>
    </cfRule>
    <cfRule type="containsText" dxfId="310" priority="491" operator="containsText" text="09:00 - 18:00">
      <formula>NOT(ISERROR(SEARCH(("09:00 - 18:00"),(MV619))))</formula>
    </cfRule>
    <cfRule type="containsText" dxfId="309" priority="495" operator="containsText" text="Congé">
      <formula>NOT(ISERROR(SEARCH(("Congé"),(MV619))))</formula>
    </cfRule>
  </conditionalFormatting>
  <conditionalFormatting sqref="ME7">
    <cfRule type="containsText" dxfId="308" priority="463" operator="containsText" text="OFF">
      <formula>NOT(ISERROR(SEARCH(("OFF"),(MW618))))</formula>
    </cfRule>
    <cfRule type="containsText" dxfId="307" priority="472" operator="containsText" text="12:00 - 21:00">
      <formula>NOT(ISERROR(SEARCH(("12:00 - 21:00"),(MW618))))</formula>
    </cfRule>
    <cfRule type="containsText" dxfId="306" priority="469" operator="containsText" text="09:00 - 18:00">
      <formula>NOT(ISERROR(SEARCH(("09:00 - 18:00"),(MW618))))</formula>
    </cfRule>
    <cfRule type="containsText" dxfId="305" priority="470" operator="containsText" text="10:00 - 19:00">
      <formula>NOT(ISERROR(SEARCH(("10:00 - 19:00"),(MW618))))</formula>
    </cfRule>
    <cfRule type="containsText" dxfId="304" priority="471" operator="containsText" text="12H-21H /SCO">
      <formula>NOT(ISERROR(SEARCH(("12H-21H /SCO"),(MW618))))</formula>
    </cfRule>
    <cfRule type="containsText" dxfId="303" priority="464" operator="containsText" text="06:00 - 15:00">
      <formula>NOT(ISERROR(SEARCH(("06:00 - 15:00"),(MW618))))</formula>
    </cfRule>
    <cfRule type="containsText" dxfId="302" priority="465" operator="containsText" text="04:00 - 13:00">
      <formula>NOT(ISERROR(SEARCH(("04:00 - 13:00"),(MW618))))</formula>
    </cfRule>
    <cfRule type="containsText" dxfId="301" priority="466" operator="containsText" text="14:00 - 23:00">
      <formula>NOT(ISERROR(SEARCH(("14:00 - 23:00"),(MW618))))</formula>
    </cfRule>
    <cfRule type="containsText" dxfId="300" priority="467" operator="containsText" text="07:00 - 16:00">
      <formula>NOT(ISERROR(SEARCH(("07:00 - 16:00"),(MW618))))</formula>
    </cfRule>
    <cfRule type="containsText" dxfId="299" priority="468" operator="containsText" text="08:00 - 17:00">
      <formula>NOT(ISERROR(SEARCH(("08:00 - 17:00"),(MW618))))</formula>
    </cfRule>
    <cfRule type="containsText" dxfId="298" priority="473" operator="containsText" text="Congé">
      <formula>NOT(ISERROR(SEARCH(("Congé"),(MW618))))</formula>
    </cfRule>
  </conditionalFormatting>
  <conditionalFormatting sqref="ME18">
    <cfRule type="containsText" dxfId="297" priority="400" operator="containsText" text="14:00 - 23:00">
      <formula>NOT(ISERROR(SEARCH(("14:00 - 23:00"),(MW632))))</formula>
    </cfRule>
    <cfRule type="containsText" dxfId="296" priority="399" operator="containsText" text="04:00 - 13:00">
      <formula>NOT(ISERROR(SEARCH(("04:00 - 13:00"),(MW632))))</formula>
    </cfRule>
    <cfRule type="containsText" dxfId="295" priority="398" operator="containsText" text="06:00 - 15:00">
      <formula>NOT(ISERROR(SEARCH(("06:00 - 15:00"),(MW632))))</formula>
    </cfRule>
    <cfRule type="containsText" dxfId="294" priority="397" operator="containsText" text="OFF">
      <formula>NOT(ISERROR(SEARCH(("OFF"),(MW632))))</formula>
    </cfRule>
    <cfRule type="containsText" dxfId="293" priority="406" operator="containsText" text="12:00 - 21:00">
      <formula>NOT(ISERROR(SEARCH(("12:00 - 21:00"),(MW632))))</formula>
    </cfRule>
    <cfRule type="containsText" dxfId="292" priority="405" operator="containsText" text="12H-21H /SCO">
      <formula>NOT(ISERROR(SEARCH(("12H-21H /SCO"),(MW632))))</formula>
    </cfRule>
    <cfRule type="containsText" dxfId="291" priority="404" operator="containsText" text="10:00 - 19:00">
      <formula>NOT(ISERROR(SEARCH(("10:00 - 19:00"),(MW632))))</formula>
    </cfRule>
    <cfRule type="containsText" dxfId="290" priority="403" operator="containsText" text="09:00 - 18:00">
      <formula>NOT(ISERROR(SEARCH(("09:00 - 18:00"),(MW632))))</formula>
    </cfRule>
    <cfRule type="containsText" dxfId="289" priority="402" operator="containsText" text="08:00 - 17:00">
      <formula>NOT(ISERROR(SEARCH(("08:00 - 17:00"),(MW632))))</formula>
    </cfRule>
    <cfRule type="containsText" dxfId="288" priority="407" operator="containsText" text="Congé">
      <formula>NOT(ISERROR(SEARCH(("Congé"),(MW632))))</formula>
    </cfRule>
    <cfRule type="containsText" dxfId="287" priority="401" operator="containsText" text="07:00 - 16:00">
      <formula>NOT(ISERROR(SEARCH(("07:00 - 16:00"),(MW632))))</formula>
    </cfRule>
  </conditionalFormatting>
  <conditionalFormatting sqref="ME19:MF19">
    <cfRule type="containsText" dxfId="286" priority="459" operator="containsText" text="10:00 - 19:00">
      <formula>NOT(ISERROR(SEARCH(("10:00 - 19:00"),(MW623))))</formula>
    </cfRule>
    <cfRule type="containsText" dxfId="285" priority="457" operator="containsText" text="08:00 - 17:00">
      <formula>NOT(ISERROR(SEARCH(("08:00 - 17:00"),(MW623))))</formula>
    </cfRule>
    <cfRule type="containsText" dxfId="284" priority="454" operator="containsText" text="04:00 - 13:00">
      <formula>NOT(ISERROR(SEARCH(("04:00 - 13:00"),(MW623))))</formula>
    </cfRule>
    <cfRule type="containsText" dxfId="283" priority="455" operator="containsText" text="14:00 - 23:00">
      <formula>NOT(ISERROR(SEARCH(("14:00 - 23:00"),(MW623))))</formula>
    </cfRule>
    <cfRule type="containsText" dxfId="282" priority="456" operator="containsText" text="07:00 - 16:00">
      <formula>NOT(ISERROR(SEARCH(("07:00 - 16:00"),(MW623))))</formula>
    </cfRule>
    <cfRule type="containsText" dxfId="281" priority="453" operator="containsText" text="06:00 - 15:00">
      <formula>NOT(ISERROR(SEARCH(("06:00 - 15:00"),(MW623))))</formula>
    </cfRule>
    <cfRule type="containsText" dxfId="280" priority="461" operator="containsText" text="12:00 - 21:00">
      <formula>NOT(ISERROR(SEARCH(("12:00 - 21:00"),(MW623))))</formula>
    </cfRule>
    <cfRule type="containsText" dxfId="279" priority="452" operator="containsText" text="OFF">
      <formula>NOT(ISERROR(SEARCH(("OFF"),(MW623))))</formula>
    </cfRule>
    <cfRule type="containsText" dxfId="278" priority="462" operator="containsText" text="Congé">
      <formula>NOT(ISERROR(SEARCH(("Congé"),(MW623))))</formula>
    </cfRule>
    <cfRule type="containsText" dxfId="277" priority="458" operator="containsText" text="09:00 - 18:00">
      <formula>NOT(ISERROR(SEARCH(("09:00 - 18:00"),(MW623))))</formula>
    </cfRule>
    <cfRule type="containsText" dxfId="276" priority="460" operator="containsText" text="12H-21H /SCO">
      <formula>NOT(ISERROR(SEARCH(("12H-21H /SCO"),(MW623))))</formula>
    </cfRule>
  </conditionalFormatting>
  <conditionalFormatting sqref="MF8">
    <cfRule type="containsText" dxfId="275" priority="309" operator="containsText" text="OFF">
      <formula>NOT(ISERROR(SEARCH(("OFF"),(MX529))))</formula>
    </cfRule>
    <cfRule type="containsText" dxfId="274" priority="313" operator="containsText" text="07:00 - 16:00">
      <formula>NOT(ISERROR(SEARCH(("07:00 - 16:00"),(MX529))))</formula>
    </cfRule>
    <cfRule type="containsText" dxfId="273" priority="316" operator="containsText" text="10:00 - 19:00">
      <formula>NOT(ISERROR(SEARCH(("10:00 - 19:00"),(MX529))))</formula>
    </cfRule>
    <cfRule type="containsText" dxfId="272" priority="317" operator="containsText" text="12H-21H /SCO">
      <formula>NOT(ISERROR(SEARCH(("12H-21H /SCO"),(MX529))))</formula>
    </cfRule>
    <cfRule type="containsText" dxfId="271" priority="318" operator="containsText" text="12:00 - 21:00">
      <formula>NOT(ISERROR(SEARCH(("12:00 - 21:00"),(MX529))))</formula>
    </cfRule>
    <cfRule type="containsText" dxfId="270" priority="310" operator="containsText" text="06:00 - 15:00">
      <formula>NOT(ISERROR(SEARCH(("06:00 - 15:00"),(MX529))))</formula>
    </cfRule>
    <cfRule type="containsText" dxfId="269" priority="319" operator="containsText" text="Congé">
      <formula>NOT(ISERROR(SEARCH(("Congé"),(MX529))))</formula>
    </cfRule>
    <cfRule type="containsText" dxfId="268" priority="311" operator="containsText" text="04:00 - 13:00">
      <formula>NOT(ISERROR(SEARCH(("04:00 - 13:00"),(MX529))))</formula>
    </cfRule>
    <cfRule type="containsText" dxfId="267" priority="312" operator="containsText" text="14:00 - 23:00">
      <formula>NOT(ISERROR(SEARCH(("14:00 - 23:00"),(MX529))))</formula>
    </cfRule>
    <cfRule type="containsText" dxfId="266" priority="314" operator="containsText" text="08:00 - 17:00">
      <formula>NOT(ISERROR(SEARCH(("08:00 - 17:00"),(MX529))))</formula>
    </cfRule>
    <cfRule type="containsText" dxfId="265" priority="315" operator="containsText" text="09:00 - 18:00">
      <formula>NOT(ISERROR(SEARCH(("09:00 - 18:00"),(MX529))))</formula>
    </cfRule>
  </conditionalFormatting>
  <conditionalFormatting sqref="MF14">
    <cfRule type="containsText" dxfId="264" priority="445" operator="containsText" text="07:00 - 16:00">
      <formula>NOT(ISERROR(SEARCH(("07:00 - 16:00"),(MX629))))</formula>
    </cfRule>
    <cfRule type="containsText" dxfId="263" priority="442" operator="containsText" text="06:00 - 15:00">
      <formula>NOT(ISERROR(SEARCH(("06:00 - 15:00"),(MX629))))</formula>
    </cfRule>
    <cfRule type="containsText" dxfId="262" priority="444" operator="containsText" text="14:00 - 23:00">
      <formula>NOT(ISERROR(SEARCH(("14:00 - 23:00"),(MX629))))</formula>
    </cfRule>
    <cfRule type="containsText" dxfId="261" priority="451" operator="containsText" text="Congé">
      <formula>NOT(ISERROR(SEARCH(("Congé"),(MX629))))</formula>
    </cfRule>
    <cfRule type="containsText" dxfId="260" priority="450" operator="containsText" text="12:00 - 21:00">
      <formula>NOT(ISERROR(SEARCH(("12:00 - 21:00"),(MX629))))</formula>
    </cfRule>
    <cfRule type="containsText" dxfId="259" priority="449" operator="containsText" text="12H-21H /SCO">
      <formula>NOT(ISERROR(SEARCH(("12H-21H /SCO"),(MX629))))</formula>
    </cfRule>
    <cfRule type="containsText" dxfId="258" priority="448" operator="containsText" text="10:00 - 19:00">
      <formula>NOT(ISERROR(SEARCH(("10:00 - 19:00"),(MX629))))</formula>
    </cfRule>
    <cfRule type="containsText" dxfId="257" priority="447" operator="containsText" text="09:00 - 18:00">
      <formula>NOT(ISERROR(SEARCH(("09:00 - 18:00"),(MX629))))</formula>
    </cfRule>
    <cfRule type="containsText" dxfId="256" priority="446" operator="containsText" text="08:00 - 17:00">
      <formula>NOT(ISERROR(SEARCH(("08:00 - 17:00"),(MX629))))</formula>
    </cfRule>
    <cfRule type="containsText" dxfId="255" priority="441" operator="containsText" text="OFF">
      <formula>NOT(ISERROR(SEARCH(("OFF"),(MX629))))</formula>
    </cfRule>
    <cfRule type="containsText" dxfId="254" priority="443" operator="containsText" text="04:00 - 13:00">
      <formula>NOT(ISERROR(SEARCH(("04:00 - 13:00"),(MX629))))</formula>
    </cfRule>
  </conditionalFormatting>
  <conditionalFormatting sqref="MF17">
    <cfRule type="containsText" dxfId="253" priority="410" operator="containsText" text="04:00 - 13:00">
      <formula>NOT(ISERROR(SEARCH(("04:00 - 13:00"),(MX620))))</formula>
    </cfRule>
    <cfRule type="containsText" dxfId="252" priority="412" operator="containsText" text="07:00 - 16:00">
      <formula>NOT(ISERROR(SEARCH(("07:00 - 16:00"),(MX620))))</formula>
    </cfRule>
    <cfRule type="containsText" dxfId="251" priority="413" operator="containsText" text="08:00 - 17:00">
      <formula>NOT(ISERROR(SEARCH(("08:00 - 17:00"),(MX620))))</formula>
    </cfRule>
    <cfRule type="containsText" dxfId="250" priority="414" operator="containsText" text="09:00 - 18:00">
      <formula>NOT(ISERROR(SEARCH(("09:00 - 18:00"),(MX620))))</formula>
    </cfRule>
    <cfRule type="containsText" dxfId="249" priority="415" operator="containsText" text="10:00 - 19:00">
      <formula>NOT(ISERROR(SEARCH(("10:00 - 19:00"),(MX620))))</formula>
    </cfRule>
    <cfRule type="containsText" dxfId="248" priority="416" operator="containsText" text="12H-21H /SCO">
      <formula>NOT(ISERROR(SEARCH(("12H-21H /SCO"),(MX620))))</formula>
    </cfRule>
    <cfRule type="containsText" dxfId="247" priority="417" operator="containsText" text="12:00 - 21:00">
      <formula>NOT(ISERROR(SEARCH(("12:00 - 21:00"),(MX620))))</formula>
    </cfRule>
    <cfRule type="containsText" dxfId="246" priority="411" operator="containsText" text="14:00 - 23:00">
      <formula>NOT(ISERROR(SEARCH(("14:00 - 23:00"),(MX620))))</formula>
    </cfRule>
    <cfRule type="containsText" dxfId="245" priority="418" operator="containsText" text="Congé">
      <formula>NOT(ISERROR(SEARCH(("Congé"),(MX620))))</formula>
    </cfRule>
    <cfRule type="containsText" dxfId="244" priority="408" operator="containsText" text="OFF">
      <formula>NOT(ISERROR(SEARCH(("OFF"),(MX620))))</formula>
    </cfRule>
    <cfRule type="containsText" dxfId="243" priority="409" operator="containsText" text="06:00 - 15:00">
      <formula>NOT(ISERROR(SEARCH(("06:00 - 15:00"),(MX620))))</formula>
    </cfRule>
  </conditionalFormatting>
  <conditionalFormatting sqref="MG91">
    <cfRule type="containsText" dxfId="242" priority="145" operator="containsText" text="06:00 - 15:00">
      <formula>NOT(ISERROR(SEARCH(("06:00 - 15:00"),(MY629))))</formula>
    </cfRule>
    <cfRule type="containsText" dxfId="241" priority="146" operator="containsText" text="04:00 - 13:00">
      <formula>NOT(ISERROR(SEARCH(("04:00 - 13:00"),(MY629))))</formula>
    </cfRule>
    <cfRule type="containsText" dxfId="240" priority="147" operator="containsText" text="14:00 - 23:00">
      <formula>NOT(ISERROR(SEARCH(("14:00 - 23:00"),(MY629))))</formula>
    </cfRule>
    <cfRule type="containsText" dxfId="239" priority="148" operator="containsText" text="07:00 - 16:00">
      <formula>NOT(ISERROR(SEARCH(("07:00 - 16:00"),(MY629))))</formula>
    </cfRule>
    <cfRule type="containsText" dxfId="238" priority="153" operator="containsText" text="12:00 - 21:00">
      <formula>NOT(ISERROR(SEARCH(("12:00 - 21:00"),(MY629))))</formula>
    </cfRule>
    <cfRule type="containsText" dxfId="237" priority="154" operator="containsText" text="Congé">
      <formula>NOT(ISERROR(SEARCH(("Congé"),(MY629))))</formula>
    </cfRule>
    <cfRule type="containsText" dxfId="236" priority="150" operator="containsText" text="09:00 - 18:00">
      <formula>NOT(ISERROR(SEARCH(("09:00 - 18:00"),(MY629))))</formula>
    </cfRule>
    <cfRule type="containsText" dxfId="235" priority="152" operator="containsText" text="12H-21H /SCO">
      <formula>NOT(ISERROR(SEARCH(("12H-21H /SCO"),(MY629))))</formula>
    </cfRule>
    <cfRule type="containsText" dxfId="234" priority="149" operator="containsText" text="08:00 - 17:00">
      <formula>NOT(ISERROR(SEARCH(("08:00 - 17:00"),(MY629))))</formula>
    </cfRule>
    <cfRule type="containsText" dxfId="233" priority="144" operator="containsText" text="OFF">
      <formula>NOT(ISERROR(SEARCH(("OFF"),(MY629))))</formula>
    </cfRule>
    <cfRule type="containsText" dxfId="232" priority="151" operator="containsText" text="10:00 - 19:00">
      <formula>NOT(ISERROR(SEARCH(("10:00 - 19:00"),(MY629))))</formula>
    </cfRule>
  </conditionalFormatting>
  <conditionalFormatting sqref="MG92">
    <cfRule type="containsText" dxfId="231" priority="116" operator="containsText" text="08:00 - 17:00">
      <formula>NOT(ISERROR(SEARCH(("08:00 - 17:00"),(MY626))))</formula>
    </cfRule>
    <cfRule type="containsText" dxfId="230" priority="114" operator="containsText" text="14:00 - 23:00">
      <formula>NOT(ISERROR(SEARCH(("14:00 - 23:00"),(MY626))))</formula>
    </cfRule>
    <cfRule type="containsText" dxfId="229" priority="113" operator="containsText" text="04:00 - 13:00">
      <formula>NOT(ISERROR(SEARCH(("04:00 - 13:00"),(MY626))))</formula>
    </cfRule>
    <cfRule type="containsText" dxfId="228" priority="112" operator="containsText" text="06:00 - 15:00">
      <formula>NOT(ISERROR(SEARCH(("06:00 - 15:00"),(MY626))))</formula>
    </cfRule>
    <cfRule type="containsText" dxfId="227" priority="111" operator="containsText" text="OFF">
      <formula>NOT(ISERROR(SEARCH(("OFF"),(MY626))))</formula>
    </cfRule>
    <cfRule type="containsText" dxfId="226" priority="115" operator="containsText" text="07:00 - 16:00">
      <formula>NOT(ISERROR(SEARCH(("07:00 - 16:00"),(MY626))))</formula>
    </cfRule>
    <cfRule type="containsText" dxfId="225" priority="121" operator="containsText" text="Congé">
      <formula>NOT(ISERROR(SEARCH(("Congé"),(MY626))))</formula>
    </cfRule>
    <cfRule type="containsText" dxfId="224" priority="120" operator="containsText" text="12:00 - 21:00">
      <formula>NOT(ISERROR(SEARCH(("12:00 - 21:00"),(MY626))))</formula>
    </cfRule>
    <cfRule type="containsText" dxfId="223" priority="119" operator="containsText" text="12H-21H /SCO">
      <formula>NOT(ISERROR(SEARCH(("12H-21H /SCO"),(MY626))))</formula>
    </cfRule>
    <cfRule type="containsText" dxfId="222" priority="118" operator="containsText" text="10:00 - 19:00">
      <formula>NOT(ISERROR(SEARCH(("10:00 - 19:00"),(MY626))))</formula>
    </cfRule>
    <cfRule type="containsText" dxfId="221" priority="117" operator="containsText" text="09:00 - 18:00">
      <formula>NOT(ISERROR(SEARCH(("09:00 - 18:00"),(MY626))))</formula>
    </cfRule>
  </conditionalFormatting>
  <conditionalFormatting sqref="MG98">
    <cfRule type="containsText" dxfId="220" priority="53" operator="containsText" text="12H-21H /SCO">
      <formula>NOT(ISERROR(SEARCH(("12H-21H /SCO"),(MY630))))</formula>
    </cfRule>
    <cfRule type="containsText" dxfId="219" priority="55" operator="containsText" text="Congé">
      <formula>NOT(ISERROR(SEARCH(("Congé"),(MY630))))</formula>
    </cfRule>
    <cfRule type="containsText" dxfId="218" priority="54" operator="containsText" text="12:00 - 21:00">
      <formula>NOT(ISERROR(SEARCH(("12:00 - 21:00"),(MY630))))</formula>
    </cfRule>
    <cfRule type="containsText" dxfId="217" priority="52" operator="containsText" text="10:00 - 19:00">
      <formula>NOT(ISERROR(SEARCH(("10:00 - 19:00"),(MY630))))</formula>
    </cfRule>
    <cfRule type="containsText" dxfId="216" priority="51" operator="containsText" text="09:00 - 18:00">
      <formula>NOT(ISERROR(SEARCH(("09:00 - 18:00"),(MY630))))</formula>
    </cfRule>
    <cfRule type="containsText" dxfId="215" priority="45" operator="containsText" text="OFF">
      <formula>NOT(ISERROR(SEARCH(("OFF"),(MY630))))</formula>
    </cfRule>
    <cfRule type="containsText" dxfId="214" priority="46" operator="containsText" text="06:00 - 15:00">
      <formula>NOT(ISERROR(SEARCH(("06:00 - 15:00"),(MY630))))</formula>
    </cfRule>
    <cfRule type="containsText" dxfId="213" priority="47" operator="containsText" text="04:00 - 13:00">
      <formula>NOT(ISERROR(SEARCH(("04:00 - 13:00"),(MY630))))</formula>
    </cfRule>
    <cfRule type="containsText" dxfId="212" priority="48" operator="containsText" text="14:00 - 23:00">
      <formula>NOT(ISERROR(SEARCH(("14:00 - 23:00"),(MY630))))</formula>
    </cfRule>
    <cfRule type="containsText" dxfId="211" priority="49" operator="containsText" text="07:00 - 16:00">
      <formula>NOT(ISERROR(SEARCH(("07:00 - 16:00"),(MY630))))</formula>
    </cfRule>
    <cfRule type="containsText" dxfId="210" priority="50" operator="containsText" text="08:00 - 17:00">
      <formula>NOT(ISERROR(SEARCH(("08:00 - 17:00"),(MY630))))</formula>
    </cfRule>
  </conditionalFormatting>
  <conditionalFormatting sqref="MG14:MH14">
    <cfRule type="containsText" dxfId="209" priority="2" operator="containsText" text="06:00 - 15:00">
      <formula>NOT(ISERROR(SEARCH(("06:00 - 15:00"),(MY542))))</formula>
    </cfRule>
    <cfRule type="containsText" dxfId="208" priority="3" operator="containsText" text="04:00 - 13:00">
      <formula>NOT(ISERROR(SEARCH(("04:00 - 13:00"),(MY542))))</formula>
    </cfRule>
    <cfRule type="containsText" dxfId="207" priority="4" operator="containsText" text="14:00 - 23:00">
      <formula>NOT(ISERROR(SEARCH(("14:00 - 23:00"),(MY542))))</formula>
    </cfRule>
    <cfRule type="containsText" dxfId="206" priority="5" operator="containsText" text="07:00 - 16:00">
      <formula>NOT(ISERROR(SEARCH(("07:00 - 16:00"),(MY542))))</formula>
    </cfRule>
    <cfRule type="containsText" dxfId="205" priority="6" operator="containsText" text="08:00 - 17:00">
      <formula>NOT(ISERROR(SEARCH(("08:00 - 17:00"),(MY542))))</formula>
    </cfRule>
    <cfRule type="containsText" dxfId="204" priority="7" operator="containsText" text="09:00 - 18:00">
      <formula>NOT(ISERROR(SEARCH(("09:00 - 18:00"),(MY542))))</formula>
    </cfRule>
    <cfRule type="containsText" dxfId="203" priority="11" operator="containsText" text="Congé">
      <formula>NOT(ISERROR(SEARCH(("Congé"),(MY542))))</formula>
    </cfRule>
    <cfRule type="containsText" dxfId="202" priority="1" operator="containsText" text="OFF">
      <formula>NOT(ISERROR(SEARCH(("OFF"),(MY542))))</formula>
    </cfRule>
    <cfRule type="containsText" dxfId="201" priority="10" operator="containsText" text="12:00 - 21:00">
      <formula>NOT(ISERROR(SEARCH(("12:00 - 21:00"),(MY542))))</formula>
    </cfRule>
    <cfRule type="containsText" dxfId="200" priority="9" operator="containsText" text="12H-21H /SCO">
      <formula>NOT(ISERROR(SEARCH(("12H-21H /SCO"),(MY542))))</formula>
    </cfRule>
    <cfRule type="containsText" dxfId="199" priority="8" operator="containsText" text="10:00 - 19:00">
      <formula>NOT(ISERROR(SEARCH(("10:00 - 19:00"),(MY542))))</formula>
    </cfRule>
  </conditionalFormatting>
  <conditionalFormatting sqref="MG89:MH89">
    <cfRule type="containsText" dxfId="198" priority="185" operator="containsText" text="12H-21H /SCO">
      <formula>NOT(ISERROR(SEARCH(("12H-21H /SCO"),(MY620))))</formula>
    </cfRule>
    <cfRule type="containsText" dxfId="197" priority="186" operator="containsText" text="12:00 - 21:00">
      <formula>NOT(ISERROR(SEARCH(("12:00 - 21:00"),(MY620))))</formula>
    </cfRule>
    <cfRule type="containsText" dxfId="196" priority="187" operator="containsText" text="Congé">
      <formula>NOT(ISERROR(SEARCH(("Congé"),(MY620))))</formula>
    </cfRule>
    <cfRule type="containsText" dxfId="195" priority="177" operator="containsText" text="OFF">
      <formula>NOT(ISERROR(SEARCH(("OFF"),(MY620))))</formula>
    </cfRule>
    <cfRule type="containsText" dxfId="194" priority="178" operator="containsText" text="06:00 - 15:00">
      <formula>NOT(ISERROR(SEARCH(("06:00 - 15:00"),(MY620))))</formula>
    </cfRule>
    <cfRule type="containsText" dxfId="193" priority="179" operator="containsText" text="04:00 - 13:00">
      <formula>NOT(ISERROR(SEARCH(("04:00 - 13:00"),(MY620))))</formula>
    </cfRule>
    <cfRule type="containsText" dxfId="192" priority="180" operator="containsText" text="14:00 - 23:00">
      <formula>NOT(ISERROR(SEARCH(("14:00 - 23:00"),(MY620))))</formula>
    </cfRule>
    <cfRule type="containsText" dxfId="191" priority="181" operator="containsText" text="07:00 - 16:00">
      <formula>NOT(ISERROR(SEARCH(("07:00 - 16:00"),(MY620))))</formula>
    </cfRule>
    <cfRule type="containsText" dxfId="190" priority="182" operator="containsText" text="08:00 - 17:00">
      <formula>NOT(ISERROR(SEARCH(("08:00 - 17:00"),(MY620))))</formula>
    </cfRule>
    <cfRule type="containsText" dxfId="189" priority="183" operator="containsText" text="09:00 - 18:00">
      <formula>NOT(ISERROR(SEARCH(("09:00 - 18:00"),(MY620))))</formula>
    </cfRule>
    <cfRule type="containsText" dxfId="188" priority="184" operator="containsText" text="10:00 - 19:00">
      <formula>NOT(ISERROR(SEARCH(("10:00 - 19:00"),(MY620))))</formula>
    </cfRule>
  </conditionalFormatting>
  <conditionalFormatting sqref="MG13:MK13">
    <cfRule type="containsText" dxfId="187" priority="59" operator="containsText" text="14:00 - 23:00">
      <formula>NOT(ISERROR(SEARCH(("14:00 - 23:00"),(MY448))))</formula>
    </cfRule>
    <cfRule type="containsText" dxfId="186" priority="60" operator="containsText" text="07:00 - 16:00">
      <formula>NOT(ISERROR(SEARCH(("07:00 - 16:00"),(MY448))))</formula>
    </cfRule>
    <cfRule type="containsText" dxfId="185" priority="61" operator="containsText" text="08:00 - 17:00">
      <formula>NOT(ISERROR(SEARCH(("08:00 - 17:00"),(MY448))))</formula>
    </cfRule>
    <cfRule type="containsText" dxfId="184" priority="56" operator="containsText" text="OFF">
      <formula>NOT(ISERROR(SEARCH(("OFF"),(MY448))))</formula>
    </cfRule>
    <cfRule type="containsText" dxfId="183" priority="57" operator="containsText" text="06:00 - 15:00">
      <formula>NOT(ISERROR(SEARCH(("06:00 - 15:00"),(MY448))))</formula>
    </cfRule>
    <cfRule type="containsText" dxfId="182" priority="62" operator="containsText" text="09:00 - 18:00">
      <formula>NOT(ISERROR(SEARCH(("09:00 - 18:00"),(MY448))))</formula>
    </cfRule>
    <cfRule type="containsText" dxfId="181" priority="58" operator="containsText" text="04:00 - 13:00">
      <formula>NOT(ISERROR(SEARCH(("04:00 - 13:00"),(MY448))))</formula>
    </cfRule>
    <cfRule type="containsText" dxfId="180" priority="63" operator="containsText" text="10:00 - 19:00">
      <formula>NOT(ISERROR(SEARCH(("10:00 - 19:00"),(MY448))))</formula>
    </cfRule>
    <cfRule type="containsText" dxfId="179" priority="64" operator="containsText" text="12H-21H /SCO">
      <formula>NOT(ISERROR(SEARCH(("12H-21H /SCO"),(MY448))))</formula>
    </cfRule>
    <cfRule type="containsText" dxfId="178" priority="65" operator="containsText" text="12:00 - 21:00">
      <formula>NOT(ISERROR(SEARCH(("12:00 - 21:00"),(MY448))))</formula>
    </cfRule>
    <cfRule type="containsText" dxfId="177" priority="66" operator="containsText" text="Congé">
      <formula>NOT(ISERROR(SEARCH(("Congé"),(MY448))))</formula>
    </cfRule>
  </conditionalFormatting>
  <conditionalFormatting sqref="MH98:MI98">
    <cfRule type="containsText" dxfId="176" priority="131" operator="containsText" text="12:00 - 21:00">
      <formula>NOT(ISERROR(SEARCH(("12:00 - 21:00"),(MZ620))))</formula>
    </cfRule>
    <cfRule type="containsText" dxfId="175" priority="132" operator="containsText" text="Congé">
      <formula>NOT(ISERROR(SEARCH(("Congé"),(MZ620))))</formula>
    </cfRule>
    <cfRule type="containsText" dxfId="174" priority="126" operator="containsText" text="07:00 - 16:00">
      <formula>NOT(ISERROR(SEARCH(("07:00 - 16:00"),(MZ620))))</formula>
    </cfRule>
    <cfRule type="containsText" dxfId="173" priority="122" operator="containsText" text="OFF">
      <formula>NOT(ISERROR(SEARCH(("OFF"),(MZ620))))</formula>
    </cfRule>
    <cfRule type="containsText" dxfId="172" priority="123" operator="containsText" text="06:00 - 15:00">
      <formula>NOT(ISERROR(SEARCH(("06:00 - 15:00"),(MZ620))))</formula>
    </cfRule>
    <cfRule type="containsText" dxfId="171" priority="124" operator="containsText" text="04:00 - 13:00">
      <formula>NOT(ISERROR(SEARCH(("04:00 - 13:00"),(MZ620))))</formula>
    </cfRule>
    <cfRule type="containsText" dxfId="170" priority="125" operator="containsText" text="14:00 - 23:00">
      <formula>NOT(ISERROR(SEARCH(("14:00 - 23:00"),(MZ620))))</formula>
    </cfRule>
    <cfRule type="containsText" dxfId="169" priority="127" operator="containsText" text="08:00 - 17:00">
      <formula>NOT(ISERROR(SEARCH(("08:00 - 17:00"),(MZ620))))</formula>
    </cfRule>
    <cfRule type="containsText" dxfId="168" priority="128" operator="containsText" text="09:00 - 18:00">
      <formula>NOT(ISERROR(SEARCH(("09:00 - 18:00"),(MZ620))))</formula>
    </cfRule>
    <cfRule type="containsText" dxfId="167" priority="129" operator="containsText" text="10:00 - 19:00">
      <formula>NOT(ISERROR(SEARCH(("10:00 - 19:00"),(MZ620))))</formula>
    </cfRule>
    <cfRule type="containsText" dxfId="166" priority="130" operator="containsText" text="12H-21H /SCO">
      <formula>NOT(ISERROR(SEARCH(("12H-21H /SCO"),(MZ620))))</formula>
    </cfRule>
  </conditionalFormatting>
  <conditionalFormatting sqref="MH91:MK91">
    <cfRule type="containsText" dxfId="165" priority="89" operator="containsText" text="OFF">
      <formula>NOT(ISERROR(SEARCH(("OFF"),(MZ526))))</formula>
    </cfRule>
    <cfRule type="containsText" dxfId="164" priority="99" operator="containsText" text="Congé">
      <formula>NOT(ISERROR(SEARCH(("Congé"),(MZ526))))</formula>
    </cfRule>
    <cfRule type="containsText" dxfId="163" priority="98" operator="containsText" text="12:00 - 21:00">
      <formula>NOT(ISERROR(SEARCH(("12:00 - 21:00"),(MZ526))))</formula>
    </cfRule>
    <cfRule type="containsText" dxfId="162" priority="97" operator="containsText" text="12H-21H /SCO">
      <formula>NOT(ISERROR(SEARCH(("12H-21H /SCO"),(MZ526))))</formula>
    </cfRule>
    <cfRule type="containsText" dxfId="161" priority="96" operator="containsText" text="10:00 - 19:00">
      <formula>NOT(ISERROR(SEARCH(("10:00 - 19:00"),(MZ526))))</formula>
    </cfRule>
    <cfRule type="containsText" dxfId="160" priority="95" operator="containsText" text="09:00 - 18:00">
      <formula>NOT(ISERROR(SEARCH(("09:00 - 18:00"),(MZ526))))</formula>
    </cfRule>
    <cfRule type="containsText" dxfId="159" priority="94" operator="containsText" text="08:00 - 17:00">
      <formula>NOT(ISERROR(SEARCH(("08:00 - 17:00"),(MZ526))))</formula>
    </cfRule>
    <cfRule type="containsText" dxfId="158" priority="93" operator="containsText" text="07:00 - 16:00">
      <formula>NOT(ISERROR(SEARCH(("07:00 - 16:00"),(MZ526))))</formula>
    </cfRule>
    <cfRule type="containsText" dxfId="157" priority="92" operator="containsText" text="14:00 - 23:00">
      <formula>NOT(ISERROR(SEARCH(("14:00 - 23:00"),(MZ526))))</formula>
    </cfRule>
    <cfRule type="containsText" dxfId="156" priority="91" operator="containsText" text="04:00 - 13:00">
      <formula>NOT(ISERROR(SEARCH(("04:00 - 13:00"),(MZ526))))</formula>
    </cfRule>
    <cfRule type="containsText" dxfId="155" priority="90" operator="containsText" text="06:00 - 15:00">
      <formula>NOT(ISERROR(SEARCH(("06:00 - 15:00"),(MZ526))))</formula>
    </cfRule>
  </conditionalFormatting>
  <conditionalFormatting sqref="MI96">
    <cfRule type="containsText" dxfId="154" priority="256" operator="containsText" text="04:00 - 13:00">
      <formula>NOT(ISERROR(SEARCH(("04:00 - 13:00"),(NA550))))</formula>
    </cfRule>
    <cfRule type="containsText" dxfId="153" priority="254" operator="containsText" text="OFF">
      <formula>NOT(ISERROR(SEARCH(("OFF"),(NA550))))</formula>
    </cfRule>
    <cfRule type="containsText" dxfId="152" priority="264" operator="containsText" text="Congé">
      <formula>NOT(ISERROR(SEARCH(("Congé"),(NA550))))</formula>
    </cfRule>
    <cfRule type="containsText" dxfId="151" priority="255" operator="containsText" text="06:00 - 15:00">
      <formula>NOT(ISERROR(SEARCH(("06:00 - 15:00"),(NA550))))</formula>
    </cfRule>
    <cfRule type="containsText" dxfId="150" priority="258" operator="containsText" text="07:00 - 16:00">
      <formula>NOT(ISERROR(SEARCH(("07:00 - 16:00"),(NA550))))</formula>
    </cfRule>
    <cfRule type="containsText" dxfId="149" priority="259" operator="containsText" text="08:00 - 17:00">
      <formula>NOT(ISERROR(SEARCH(("08:00 - 17:00"),(NA550))))</formula>
    </cfRule>
    <cfRule type="containsText" dxfId="148" priority="260" operator="containsText" text="09:00 - 18:00">
      <formula>NOT(ISERROR(SEARCH(("09:00 - 18:00"),(NA550))))</formula>
    </cfRule>
    <cfRule type="containsText" dxfId="147" priority="261" operator="containsText" text="10:00 - 19:00">
      <formula>NOT(ISERROR(SEARCH(("10:00 - 19:00"),(NA550))))</formula>
    </cfRule>
    <cfRule type="containsText" dxfId="146" priority="262" operator="containsText" text="12H-21H /SCO">
      <formula>NOT(ISERROR(SEARCH(("12H-21H /SCO"),(NA550))))</formula>
    </cfRule>
    <cfRule type="containsText" dxfId="145" priority="263" operator="containsText" text="12:00 - 21:00">
      <formula>NOT(ISERROR(SEARCH(("12:00 - 21:00"),(NA550))))</formula>
    </cfRule>
    <cfRule type="containsText" dxfId="144" priority="257" operator="containsText" text="14:00 - 23:00">
      <formula>NOT(ISERROR(SEARCH(("14:00 - 23:00"),(NA550))))</formula>
    </cfRule>
  </conditionalFormatting>
  <conditionalFormatting sqref="MJ14:MK14">
    <cfRule type="containsText" dxfId="143" priority="18" operator="containsText" text="09:00 - 18:00">
      <formula>NOT(ISERROR(SEARCH(("09:00 - 18:00"),(NB542))))</formula>
    </cfRule>
    <cfRule type="containsText" dxfId="142" priority="17" operator="containsText" text="08:00 - 17:00">
      <formula>NOT(ISERROR(SEARCH(("08:00 - 17:00"),(NB542))))</formula>
    </cfRule>
    <cfRule type="containsText" dxfId="141" priority="16" operator="containsText" text="07:00 - 16:00">
      <formula>NOT(ISERROR(SEARCH(("07:00 - 16:00"),(NB542))))</formula>
    </cfRule>
    <cfRule type="containsText" dxfId="140" priority="15" operator="containsText" text="14:00 - 23:00">
      <formula>NOT(ISERROR(SEARCH(("14:00 - 23:00"),(NB542))))</formula>
    </cfRule>
    <cfRule type="containsText" dxfId="139" priority="13" operator="containsText" text="06:00 - 15:00">
      <formula>NOT(ISERROR(SEARCH(("06:00 - 15:00"),(NB542))))</formula>
    </cfRule>
    <cfRule type="containsText" dxfId="138" priority="12" operator="containsText" text="OFF">
      <formula>NOT(ISERROR(SEARCH(("OFF"),(NB542))))</formula>
    </cfRule>
    <cfRule type="containsText" dxfId="137" priority="14" operator="containsText" text="04:00 - 13:00">
      <formula>NOT(ISERROR(SEARCH(("04:00 - 13:00"),(NB542))))</formula>
    </cfRule>
    <cfRule type="containsText" dxfId="136" priority="22" operator="containsText" text="Congé">
      <formula>NOT(ISERROR(SEARCH(("Congé"),(NB542))))</formula>
    </cfRule>
    <cfRule type="containsText" dxfId="135" priority="21" operator="containsText" text="12:00 - 21:00">
      <formula>NOT(ISERROR(SEARCH(("12:00 - 21:00"),(NB542))))</formula>
    </cfRule>
    <cfRule type="containsText" dxfId="134" priority="19" operator="containsText" text="10:00 - 19:00">
      <formula>NOT(ISERROR(SEARCH(("10:00 - 19:00"),(NB542))))</formula>
    </cfRule>
    <cfRule type="containsText" dxfId="133" priority="20" operator="containsText" text="12H-21H /SCO">
      <formula>NOT(ISERROR(SEARCH(("12H-21H /SCO"),(NB542))))</formula>
    </cfRule>
  </conditionalFormatting>
  <conditionalFormatting sqref="MJ95:MK95">
    <cfRule type="containsText" dxfId="132" priority="109" operator="containsText" text="12:00 - 21:00">
      <formula>NOT(ISERROR(SEARCH(("12:00 - 21:00"),(NB624))))</formula>
    </cfRule>
    <cfRule type="containsText" dxfId="131" priority="103" operator="containsText" text="14:00 - 23:00">
      <formula>NOT(ISERROR(SEARCH(("14:00 - 23:00"),(NB624))))</formula>
    </cfRule>
    <cfRule type="containsText" dxfId="130" priority="104" operator="containsText" text="07:00 - 16:00">
      <formula>NOT(ISERROR(SEARCH(("07:00 - 16:00"),(NB624))))</formula>
    </cfRule>
    <cfRule type="containsText" dxfId="129" priority="110" operator="containsText" text="Congé">
      <formula>NOT(ISERROR(SEARCH(("Congé"),(NB624))))</formula>
    </cfRule>
    <cfRule type="containsText" dxfId="128" priority="100" operator="containsText" text="OFF">
      <formula>NOT(ISERROR(SEARCH(("OFF"),(NB624))))</formula>
    </cfRule>
    <cfRule type="containsText" dxfId="127" priority="106" operator="containsText" text="09:00 - 18:00">
      <formula>NOT(ISERROR(SEARCH(("09:00 - 18:00"),(NB624))))</formula>
    </cfRule>
    <cfRule type="containsText" dxfId="126" priority="107" operator="containsText" text="10:00 - 19:00">
      <formula>NOT(ISERROR(SEARCH(("10:00 - 19:00"),(NB624))))</formula>
    </cfRule>
    <cfRule type="containsText" dxfId="125" priority="108" operator="containsText" text="12H-21H /SCO">
      <formula>NOT(ISERROR(SEARCH(("12H-21H /SCO"),(NB624))))</formula>
    </cfRule>
    <cfRule type="containsText" dxfId="124" priority="101" operator="containsText" text="06:00 - 15:00">
      <formula>NOT(ISERROR(SEARCH(("06:00 - 15:00"),(NB624))))</formula>
    </cfRule>
    <cfRule type="containsText" dxfId="123" priority="102" operator="containsText" text="04:00 - 13:00">
      <formula>NOT(ISERROR(SEARCH(("04:00 - 13:00"),(NB624))))</formula>
    </cfRule>
    <cfRule type="containsText" dxfId="122" priority="105" operator="containsText" text="08:00 - 17:00">
      <formula>NOT(ISERROR(SEARCH(("08:00 - 17:00"),(NB624))))</formula>
    </cfRule>
  </conditionalFormatting>
  <conditionalFormatting sqref="MK8">
    <cfRule type="containsText" dxfId="121" priority="191" operator="containsText" text="14:00 - 23:00">
      <formula>NOT(ISERROR(SEARCH(("14:00 - 23:00"),(NC627))))</formula>
    </cfRule>
    <cfRule type="containsText" dxfId="120" priority="196" operator="containsText" text="12H-21H /SCO">
      <formula>NOT(ISERROR(SEARCH(("12H-21H /SCO"),(NC627))))</formula>
    </cfRule>
    <cfRule type="containsText" dxfId="119" priority="197" operator="containsText" text="12:00 - 21:00">
      <formula>NOT(ISERROR(SEARCH(("12:00 - 21:00"),(NC627))))</formula>
    </cfRule>
    <cfRule type="containsText" dxfId="118" priority="198" operator="containsText" text="Congé">
      <formula>NOT(ISERROR(SEARCH(("Congé"),(NC627))))</formula>
    </cfRule>
    <cfRule type="containsText" dxfId="117" priority="194" operator="containsText" text="09:00 - 18:00">
      <formula>NOT(ISERROR(SEARCH(("09:00 - 18:00"),(NC627))))</formula>
    </cfRule>
    <cfRule type="containsText" dxfId="116" priority="192" operator="containsText" text="07:00 - 16:00">
      <formula>NOT(ISERROR(SEARCH(("07:00 - 16:00"),(NC627))))</formula>
    </cfRule>
    <cfRule type="containsText" dxfId="115" priority="189" operator="containsText" text="06:00 - 15:00">
      <formula>NOT(ISERROR(SEARCH(("06:00 - 15:00"),(NC627))))</formula>
    </cfRule>
    <cfRule type="containsText" dxfId="114" priority="190" operator="containsText" text="04:00 - 13:00">
      <formula>NOT(ISERROR(SEARCH(("04:00 - 13:00"),(NC627))))</formula>
    </cfRule>
    <cfRule type="containsText" dxfId="113" priority="193" operator="containsText" text="08:00 - 17:00">
      <formula>NOT(ISERROR(SEARCH(("08:00 - 17:00"),(NC627))))</formula>
    </cfRule>
    <cfRule type="containsText" dxfId="112" priority="195" operator="containsText" text="10:00 - 19:00">
      <formula>NOT(ISERROR(SEARCH(("10:00 - 19:00"),(NC627))))</formula>
    </cfRule>
    <cfRule type="containsText" dxfId="111" priority="188" operator="containsText" text="OFF">
      <formula>NOT(ISERROR(SEARCH(("OFF"),(NC627))))</formula>
    </cfRule>
  </conditionalFormatting>
  <conditionalFormatting sqref="MK92:ML92">
    <cfRule type="containsText" dxfId="110" priority="247" operator="containsText" text="07:00 - 16:00">
      <formula>NOT(ISERROR(SEARCH(("07:00 - 16:00"),(NC619))))</formula>
    </cfRule>
    <cfRule type="containsText" dxfId="109" priority="246" operator="containsText" text="14:00 - 23:00">
      <formula>NOT(ISERROR(SEARCH(("14:00 - 23:00"),(NC619))))</formula>
    </cfRule>
    <cfRule type="containsText" dxfId="108" priority="245" operator="containsText" text="04:00 - 13:00">
      <formula>NOT(ISERROR(SEARCH(("04:00 - 13:00"),(NC619))))</formula>
    </cfRule>
    <cfRule type="containsText" dxfId="107" priority="244" operator="containsText" text="06:00 - 15:00">
      <formula>NOT(ISERROR(SEARCH(("06:00 - 15:00"),(NC619))))</formula>
    </cfRule>
    <cfRule type="containsText" dxfId="106" priority="243" operator="containsText" text="OFF">
      <formula>NOT(ISERROR(SEARCH(("OFF"),(NC619))))</formula>
    </cfRule>
    <cfRule type="containsText" dxfId="105" priority="253" operator="containsText" text="Congé">
      <formula>NOT(ISERROR(SEARCH(("Congé"),(NC619))))</formula>
    </cfRule>
    <cfRule type="containsText" dxfId="104" priority="252" operator="containsText" text="12:00 - 21:00">
      <formula>NOT(ISERROR(SEARCH(("12:00 - 21:00"),(NC619))))</formula>
    </cfRule>
    <cfRule type="containsText" dxfId="103" priority="250" operator="containsText" text="10:00 - 19:00">
      <formula>NOT(ISERROR(SEARCH(("10:00 - 19:00"),(NC619))))</formula>
    </cfRule>
    <cfRule type="containsText" dxfId="102" priority="248" operator="containsText" text="08:00 - 17:00">
      <formula>NOT(ISERROR(SEARCH(("08:00 - 17:00"),(NC619))))</formula>
    </cfRule>
    <cfRule type="containsText" dxfId="101" priority="251" operator="containsText" text="12H-21H /SCO">
      <formula>NOT(ISERROR(SEARCH(("12H-21H /SCO"),(NC619))))</formula>
    </cfRule>
    <cfRule type="containsText" dxfId="100" priority="249" operator="containsText" text="09:00 - 18:00">
      <formula>NOT(ISERROR(SEARCH(("09:00 - 18:00"),(NC619))))</formula>
    </cfRule>
  </conditionalFormatting>
  <conditionalFormatting sqref="ML19">
    <cfRule type="containsText" dxfId="99" priority="155" operator="containsText" text="OFF">
      <formula>NOT(ISERROR(SEARCH(("OFF"),(ND632))))</formula>
    </cfRule>
    <cfRule type="containsText" dxfId="98" priority="157" operator="containsText" text="04:00 - 13:00">
      <formula>NOT(ISERROR(SEARCH(("04:00 - 13:00"),(ND632))))</formula>
    </cfRule>
    <cfRule type="containsText" dxfId="97" priority="158" operator="containsText" text="14:00 - 23:00">
      <formula>NOT(ISERROR(SEARCH(("14:00 - 23:00"),(ND632))))</formula>
    </cfRule>
    <cfRule type="containsText" dxfId="96" priority="159" operator="containsText" text="07:00 - 16:00">
      <formula>NOT(ISERROR(SEARCH(("07:00 - 16:00"),(ND632))))</formula>
    </cfRule>
    <cfRule type="containsText" dxfId="95" priority="165" operator="containsText" text="Congé">
      <formula>NOT(ISERROR(SEARCH(("Congé"),(ND632))))</formula>
    </cfRule>
    <cfRule type="containsText" dxfId="94" priority="164" operator="containsText" text="12:00 - 21:00">
      <formula>NOT(ISERROR(SEARCH(("12:00 - 21:00"),(ND632))))</formula>
    </cfRule>
    <cfRule type="containsText" dxfId="93" priority="163" operator="containsText" text="12H-21H /SCO">
      <formula>NOT(ISERROR(SEARCH(("12H-21H /SCO"),(ND632))))</formula>
    </cfRule>
    <cfRule type="containsText" dxfId="92" priority="162" operator="containsText" text="10:00 - 19:00">
      <formula>NOT(ISERROR(SEARCH(("10:00 - 19:00"),(ND632))))</formula>
    </cfRule>
    <cfRule type="containsText" dxfId="91" priority="161" operator="containsText" text="09:00 - 18:00">
      <formula>NOT(ISERROR(SEARCH(("09:00 - 18:00"),(ND632))))</formula>
    </cfRule>
    <cfRule type="containsText" dxfId="90" priority="160" operator="containsText" text="08:00 - 17:00">
      <formula>NOT(ISERROR(SEARCH(("08:00 - 17:00"),(ND632))))</formula>
    </cfRule>
    <cfRule type="containsText" dxfId="89" priority="156" operator="containsText" text="06:00 - 15:00">
      <formula>NOT(ISERROR(SEARCH(("06:00 - 15:00"),(ND632))))</formula>
    </cfRule>
  </conditionalFormatting>
  <conditionalFormatting sqref="ML89">
    <cfRule type="containsText" dxfId="88" priority="29" operator="containsText" text="09:00 - 18:00">
      <formula>NOT(ISERROR(SEARCH(("09:00 - 18:00"),(ND524))))</formula>
    </cfRule>
    <cfRule type="containsText" dxfId="87" priority="33" operator="containsText" text="Congé">
      <formula>NOT(ISERROR(SEARCH(("Congé"),(ND524))))</formula>
    </cfRule>
    <cfRule type="containsText" dxfId="86" priority="32" operator="containsText" text="12:00 - 21:00">
      <formula>NOT(ISERROR(SEARCH(("12:00 - 21:00"),(ND524))))</formula>
    </cfRule>
    <cfRule type="containsText" dxfId="85" priority="31" operator="containsText" text="12H-21H /SCO">
      <formula>NOT(ISERROR(SEARCH(("12H-21H /SCO"),(ND524))))</formula>
    </cfRule>
    <cfRule type="containsText" dxfId="84" priority="30" operator="containsText" text="10:00 - 19:00">
      <formula>NOT(ISERROR(SEARCH(("10:00 - 19:00"),(ND524))))</formula>
    </cfRule>
    <cfRule type="containsText" dxfId="83" priority="28" operator="containsText" text="08:00 - 17:00">
      <formula>NOT(ISERROR(SEARCH(("08:00 - 17:00"),(ND524))))</formula>
    </cfRule>
    <cfRule type="containsText" dxfId="82" priority="27" operator="containsText" text="07:00 - 16:00">
      <formula>NOT(ISERROR(SEARCH(("07:00 - 16:00"),(ND524))))</formula>
    </cfRule>
    <cfRule type="containsText" dxfId="81" priority="26" operator="containsText" text="14:00 - 23:00">
      <formula>NOT(ISERROR(SEARCH(("14:00 - 23:00"),(ND524))))</formula>
    </cfRule>
    <cfRule type="containsText" dxfId="80" priority="25" operator="containsText" text="04:00 - 13:00">
      <formula>NOT(ISERROR(SEARCH(("04:00 - 13:00"),(ND524))))</formula>
    </cfRule>
    <cfRule type="containsText" dxfId="79" priority="24" operator="containsText" text="06:00 - 15:00">
      <formula>NOT(ISERROR(SEARCH(("06:00 - 15:00"),(ND524))))</formula>
    </cfRule>
    <cfRule type="containsText" dxfId="78" priority="23" operator="containsText" text="OFF">
      <formula>NOT(ISERROR(SEARCH(("OFF"),(ND524))))</formula>
    </cfRule>
  </conditionalFormatting>
  <conditionalFormatting sqref="ML91">
    <cfRule type="containsText" dxfId="77" priority="34" operator="containsText" text="OFF">
      <formula>NOT(ISERROR(SEARCH(("OFF"),(ND620))))</formula>
    </cfRule>
    <cfRule type="containsText" dxfId="76" priority="41" operator="containsText" text="10:00 - 19:00">
      <formula>NOT(ISERROR(SEARCH(("10:00 - 19:00"),(ND620))))</formula>
    </cfRule>
    <cfRule type="containsText" dxfId="75" priority="35" operator="containsText" text="06:00 - 15:00">
      <formula>NOT(ISERROR(SEARCH(("06:00 - 15:00"),(ND620))))</formula>
    </cfRule>
    <cfRule type="containsText" dxfId="74" priority="37" operator="containsText" text="14:00 - 23:00">
      <formula>NOT(ISERROR(SEARCH(("14:00 - 23:00"),(ND620))))</formula>
    </cfRule>
    <cfRule type="containsText" dxfId="73" priority="38" operator="containsText" text="07:00 - 16:00">
      <formula>NOT(ISERROR(SEARCH(("07:00 - 16:00"),(ND620))))</formula>
    </cfRule>
    <cfRule type="containsText" dxfId="72" priority="39" operator="containsText" text="08:00 - 17:00">
      <formula>NOT(ISERROR(SEARCH(("08:00 - 17:00"),(ND620))))</formula>
    </cfRule>
    <cfRule type="containsText" dxfId="71" priority="40" operator="containsText" text="09:00 - 18:00">
      <formula>NOT(ISERROR(SEARCH(("09:00 - 18:00"),(ND620))))</formula>
    </cfRule>
    <cfRule type="containsText" dxfId="70" priority="42" operator="containsText" text="12H-21H /SCO">
      <formula>NOT(ISERROR(SEARCH(("12H-21H /SCO"),(ND620))))</formula>
    </cfRule>
    <cfRule type="containsText" dxfId="69" priority="43" operator="containsText" text="12:00 - 21:00">
      <formula>NOT(ISERROR(SEARCH(("12:00 - 21:00"),(ND620))))</formula>
    </cfRule>
    <cfRule type="containsText" dxfId="68" priority="44" operator="containsText" text="Congé">
      <formula>NOT(ISERROR(SEARCH(("Congé"),(ND620))))</formula>
    </cfRule>
    <cfRule type="containsText" dxfId="67" priority="36" operator="containsText" text="04:00 - 13:00">
      <formula>NOT(ISERROR(SEARCH(("04:00 - 13:00"),(ND620))))</formula>
    </cfRule>
  </conditionalFormatting>
  <conditionalFormatting sqref="ML10:MM10">
    <cfRule type="containsText" dxfId="66" priority="218" operator="containsText" text="12H-21H /SCO">
      <formula>NOT(ISERROR(SEARCH(("12H-21H /SCO"),(ND623))))</formula>
    </cfRule>
    <cfRule type="containsText" dxfId="65" priority="219" operator="containsText" text="12:00 - 21:00">
      <formula>NOT(ISERROR(SEARCH(("12:00 - 21:00"),(ND623))))</formula>
    </cfRule>
    <cfRule type="containsText" dxfId="64" priority="220" operator="containsText" text="Congé">
      <formula>NOT(ISERROR(SEARCH(("Congé"),(ND623))))</formula>
    </cfRule>
    <cfRule type="containsText" dxfId="63" priority="212" operator="containsText" text="04:00 - 13:00">
      <formula>NOT(ISERROR(SEARCH(("04:00 - 13:00"),(ND623))))</formula>
    </cfRule>
    <cfRule type="containsText" dxfId="62" priority="211" operator="containsText" text="06:00 - 15:00">
      <formula>NOT(ISERROR(SEARCH(("06:00 - 15:00"),(ND623))))</formula>
    </cfRule>
    <cfRule type="containsText" dxfId="61" priority="217" operator="containsText" text="10:00 - 19:00">
      <formula>NOT(ISERROR(SEARCH(("10:00 - 19:00"),(ND623))))</formula>
    </cfRule>
    <cfRule type="containsText" dxfId="60" priority="214" operator="containsText" text="07:00 - 16:00">
      <formula>NOT(ISERROR(SEARCH(("07:00 - 16:00"),(ND623))))</formula>
    </cfRule>
    <cfRule type="containsText" dxfId="59" priority="210" operator="containsText" text="OFF">
      <formula>NOT(ISERROR(SEARCH(("OFF"),(ND623))))</formula>
    </cfRule>
    <cfRule type="containsText" dxfId="58" priority="215" operator="containsText" text="08:00 - 17:00">
      <formula>NOT(ISERROR(SEARCH(("08:00 - 17:00"),(ND623))))</formula>
    </cfRule>
    <cfRule type="containsText" dxfId="57" priority="216" operator="containsText" text="09:00 - 18:00">
      <formula>NOT(ISERROR(SEARCH(("09:00 - 18:00"),(ND623))))</formula>
    </cfRule>
    <cfRule type="containsText" dxfId="56" priority="213" operator="containsText" text="14:00 - 23:00">
      <formula>NOT(ISERROR(SEARCH(("14:00 - 23:00"),(ND623))))</formula>
    </cfRule>
  </conditionalFormatting>
  <conditionalFormatting sqref="MM8">
    <cfRule type="containsText" dxfId="55" priority="76" operator="containsText" text="12:00 - 21:00">
      <formula>NOT(ISERROR(SEARCH(("12:00 - 21:00"),(NE610))))</formula>
    </cfRule>
    <cfRule type="containsText" dxfId="54" priority="77" operator="containsText" text="Congé">
      <formula>NOT(ISERROR(SEARCH(("Congé"),(NE610))))</formula>
    </cfRule>
    <cfRule type="containsText" dxfId="53" priority="67" operator="containsText" text="OFF">
      <formula>NOT(ISERROR(SEARCH(("OFF"),(NE610))))</formula>
    </cfRule>
    <cfRule type="containsText" dxfId="52" priority="68" operator="containsText" text="06:00 - 15:00">
      <formula>NOT(ISERROR(SEARCH(("06:00 - 15:00"),(NE610))))</formula>
    </cfRule>
    <cfRule type="containsText" dxfId="51" priority="69" operator="containsText" text="04:00 - 13:00">
      <formula>NOT(ISERROR(SEARCH(("04:00 - 13:00"),(NE610))))</formula>
    </cfRule>
    <cfRule type="containsText" dxfId="50" priority="71" operator="containsText" text="07:00 - 16:00">
      <formula>NOT(ISERROR(SEARCH(("07:00 - 16:00"),(NE610))))</formula>
    </cfRule>
    <cfRule type="containsText" dxfId="49" priority="70" operator="containsText" text="14:00 - 23:00">
      <formula>NOT(ISERROR(SEARCH(("14:00 - 23:00"),(NE610))))</formula>
    </cfRule>
    <cfRule type="containsText" dxfId="48" priority="72" operator="containsText" text="08:00 - 17:00">
      <formula>NOT(ISERROR(SEARCH(("08:00 - 17:00"),(NE610))))</formula>
    </cfRule>
    <cfRule type="containsText" dxfId="47" priority="73" operator="containsText" text="09:00 - 18:00">
      <formula>NOT(ISERROR(SEARCH(("09:00 - 18:00"),(NE610))))</formula>
    </cfRule>
    <cfRule type="containsText" dxfId="46" priority="74" operator="containsText" text="10:00 - 19:00">
      <formula>NOT(ISERROR(SEARCH(("10:00 - 19:00"),(NE610))))</formula>
    </cfRule>
    <cfRule type="containsText" dxfId="45" priority="75" operator="containsText" text="12H-21H /SCO">
      <formula>NOT(ISERROR(SEARCH(("12H-21H /SCO"),(NE610))))</formula>
    </cfRule>
  </conditionalFormatting>
  <conditionalFormatting sqref="MM91">
    <cfRule type="containsText" dxfId="44" priority="203" operator="containsText" text="07:00 - 16:00">
      <formula>NOT(ISERROR(SEARCH(("07:00 - 16:00"),(NE629))))</formula>
    </cfRule>
    <cfRule type="containsText" dxfId="43" priority="207" operator="containsText" text="12H-21H /SCO">
      <formula>NOT(ISERROR(SEARCH(("12H-21H /SCO"),(NE629))))</formula>
    </cfRule>
    <cfRule type="containsText" dxfId="42" priority="209" operator="containsText" text="Congé">
      <formula>NOT(ISERROR(SEARCH(("Congé"),(NE629))))</formula>
    </cfRule>
    <cfRule type="containsText" dxfId="41" priority="206" operator="containsText" text="10:00 - 19:00">
      <formula>NOT(ISERROR(SEARCH(("10:00 - 19:00"),(NE629))))</formula>
    </cfRule>
    <cfRule type="containsText" dxfId="40" priority="208" operator="containsText" text="12:00 - 21:00">
      <formula>NOT(ISERROR(SEARCH(("12:00 - 21:00"),(NE629))))</formula>
    </cfRule>
    <cfRule type="containsText" dxfId="39" priority="204" operator="containsText" text="08:00 - 17:00">
      <formula>NOT(ISERROR(SEARCH(("08:00 - 17:00"),(NE629))))</formula>
    </cfRule>
    <cfRule type="containsText" dxfId="38" priority="199" operator="containsText" text="OFF">
      <formula>NOT(ISERROR(SEARCH(("OFF"),(NE629))))</formula>
    </cfRule>
    <cfRule type="containsText" dxfId="37" priority="200" operator="containsText" text="06:00 - 15:00">
      <formula>NOT(ISERROR(SEARCH(("06:00 - 15:00"),(NE629))))</formula>
    </cfRule>
    <cfRule type="containsText" dxfId="36" priority="201" operator="containsText" text="04:00 - 13:00">
      <formula>NOT(ISERROR(SEARCH(("04:00 - 13:00"),(NE629))))</formula>
    </cfRule>
    <cfRule type="containsText" dxfId="35" priority="202" operator="containsText" text="14:00 - 23:00">
      <formula>NOT(ISERROR(SEARCH(("14:00 - 23:00"),(NE629))))</formula>
    </cfRule>
    <cfRule type="containsText" dxfId="34" priority="205" operator="containsText" text="09:00 - 18:00">
      <formula>NOT(ISERROR(SEARCH(("09:00 - 18:00"),(NE629))))</formula>
    </cfRule>
  </conditionalFormatting>
  <conditionalFormatting sqref="MM98">
    <cfRule type="containsText" dxfId="33" priority="172" operator="containsText" text="09:00 - 18:00">
      <formula>NOT(ISERROR(SEARCH(("09:00 - 18:00"),(NE620))))</formula>
    </cfRule>
    <cfRule type="containsText" dxfId="32" priority="171" operator="containsText" text="08:00 - 17:00">
      <formula>NOT(ISERROR(SEARCH(("08:00 - 17:00"),(NE620))))</formula>
    </cfRule>
    <cfRule type="containsText" dxfId="31" priority="170" operator="containsText" text="07:00 - 16:00">
      <formula>NOT(ISERROR(SEARCH(("07:00 - 16:00"),(NE620))))</formula>
    </cfRule>
    <cfRule type="containsText" dxfId="30" priority="169" operator="containsText" text="14:00 - 23:00">
      <formula>NOT(ISERROR(SEARCH(("14:00 - 23:00"),(NE620))))</formula>
    </cfRule>
    <cfRule type="containsText" dxfId="29" priority="168" operator="containsText" text="04:00 - 13:00">
      <formula>NOT(ISERROR(SEARCH(("04:00 - 13:00"),(NE620))))</formula>
    </cfRule>
    <cfRule type="containsText" dxfId="28" priority="167" operator="containsText" text="06:00 - 15:00">
      <formula>NOT(ISERROR(SEARCH(("06:00 - 15:00"),(NE620))))</formula>
    </cfRule>
    <cfRule type="containsText" dxfId="27" priority="166" operator="containsText" text="OFF">
      <formula>NOT(ISERROR(SEARCH(("OFF"),(NE620))))</formula>
    </cfRule>
    <cfRule type="containsText" dxfId="26" priority="174" operator="containsText" text="12H-21H /SCO">
      <formula>NOT(ISERROR(SEARCH(("12H-21H /SCO"),(NE620))))</formula>
    </cfRule>
    <cfRule type="containsText" dxfId="25" priority="173" operator="containsText" text="10:00 - 19:00">
      <formula>NOT(ISERROR(SEARCH(("10:00 - 19:00"),(NE620))))</formula>
    </cfRule>
    <cfRule type="containsText" dxfId="24" priority="175" operator="containsText" text="12:00 - 21:00">
      <formula>NOT(ISERROR(SEARCH(("12:00 - 21:00"),(NE620))))</formula>
    </cfRule>
    <cfRule type="containsText" dxfId="23" priority="176" operator="containsText" text="Congé">
      <formula>NOT(ISERROR(SEARCH(("Congé"),(NE620))))</formula>
    </cfRule>
  </conditionalFormatting>
  <pageMargins left="0.7" right="0.7" top="0.75" bottom="0.75" header="0.3" footer="0.3"/>
  <pageSetup paperSize="9" orientation="portrait" verticalDpi="0" r:id="rId1"/>
  <legacyDrawing r:id="rId2"/>
  <tableParts count="21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328125" defaultRowHeight="15.75" customHeight="1" outlineLevelCol="1"/>
  <cols>
    <col min="1" max="1" width="19.6328125" customWidth="1"/>
    <col min="2" max="2" width="15.26953125" customWidth="1" outlineLevel="1"/>
    <col min="3" max="58" width="12.6328125" outlineLevel="1"/>
    <col min="123" max="124" width="10.36328125" customWidth="1"/>
  </cols>
  <sheetData>
    <row r="1" spans="1:158" ht="13">
      <c r="A1" s="171"/>
      <c r="B1" s="172"/>
      <c r="C1" s="571" t="s">
        <v>73</v>
      </c>
      <c r="D1" s="546"/>
      <c r="E1" s="546"/>
      <c r="F1" s="546"/>
      <c r="G1" s="546"/>
      <c r="H1" s="546"/>
      <c r="I1" s="547"/>
      <c r="J1" s="570" t="s">
        <v>74</v>
      </c>
      <c r="K1" s="546"/>
      <c r="L1" s="546"/>
      <c r="M1" s="546"/>
      <c r="N1" s="546"/>
      <c r="O1" s="546"/>
      <c r="P1" s="547"/>
      <c r="Q1" s="570" t="s">
        <v>75</v>
      </c>
      <c r="R1" s="546"/>
      <c r="S1" s="546"/>
      <c r="T1" s="546"/>
      <c r="U1" s="546"/>
      <c r="V1" s="546"/>
      <c r="W1" s="547"/>
      <c r="X1" s="570" t="s">
        <v>76</v>
      </c>
      <c r="Y1" s="546"/>
      <c r="Z1" s="546"/>
      <c r="AA1" s="546"/>
      <c r="AB1" s="546"/>
      <c r="AC1" s="546"/>
      <c r="AD1" s="547"/>
      <c r="AE1" s="570" t="s">
        <v>77</v>
      </c>
      <c r="AF1" s="546"/>
      <c r="AG1" s="546"/>
      <c r="AH1" s="546"/>
      <c r="AI1" s="546"/>
      <c r="AJ1" s="546"/>
      <c r="AK1" s="547"/>
      <c r="AL1" s="570" t="s">
        <v>78</v>
      </c>
      <c r="AM1" s="546"/>
      <c r="AN1" s="546"/>
      <c r="AO1" s="546"/>
      <c r="AP1" s="546"/>
      <c r="AQ1" s="546"/>
      <c r="AR1" s="547"/>
      <c r="AS1" s="570" t="s">
        <v>79</v>
      </c>
      <c r="AT1" s="546"/>
      <c r="AU1" s="546"/>
      <c r="AV1" s="546"/>
      <c r="AW1" s="546"/>
      <c r="AX1" s="546"/>
      <c r="AY1" s="547"/>
      <c r="AZ1" s="570" t="s">
        <v>80</v>
      </c>
      <c r="BA1" s="546"/>
      <c r="BB1" s="546"/>
      <c r="BC1" s="546"/>
      <c r="BD1" s="546"/>
      <c r="BE1" s="546"/>
      <c r="BF1" s="547"/>
      <c r="BG1" s="173"/>
      <c r="BH1" s="173"/>
      <c r="BI1" s="173"/>
      <c r="BJ1" s="173"/>
      <c r="BK1" s="173"/>
      <c r="BL1" s="173"/>
      <c r="BM1" s="173"/>
      <c r="BN1" s="173"/>
      <c r="BO1" s="173"/>
      <c r="BP1" s="173"/>
      <c r="BQ1" s="173"/>
      <c r="BR1" s="173"/>
      <c r="BS1" s="173"/>
      <c r="BT1" s="173"/>
      <c r="BU1" s="173"/>
      <c r="BV1" s="173"/>
      <c r="BW1" s="173"/>
      <c r="BX1" s="173"/>
      <c r="BY1" s="173"/>
      <c r="BZ1" s="173"/>
      <c r="CA1" s="173"/>
      <c r="CB1" s="173"/>
      <c r="CC1" s="173"/>
      <c r="CD1" s="173"/>
      <c r="CE1" s="173"/>
      <c r="CF1" s="173"/>
      <c r="CG1" s="173"/>
      <c r="CH1" s="173"/>
      <c r="CI1" s="173"/>
      <c r="CJ1" s="173"/>
      <c r="CK1" s="173"/>
      <c r="CL1" s="173"/>
      <c r="CM1" s="173"/>
      <c r="CN1" s="173"/>
      <c r="CO1" s="173"/>
      <c r="CP1" s="173"/>
      <c r="CQ1" s="173"/>
      <c r="CR1" s="173"/>
      <c r="CS1" s="173"/>
      <c r="CT1" s="173"/>
      <c r="CU1" s="173"/>
      <c r="CV1" s="173"/>
      <c r="CW1" s="173"/>
      <c r="CX1" s="173"/>
      <c r="CY1" s="173"/>
      <c r="CZ1" s="173"/>
      <c r="DA1" s="173"/>
      <c r="DB1" s="173"/>
      <c r="DC1" s="173"/>
      <c r="DD1" s="173"/>
      <c r="DE1" s="173"/>
      <c r="DF1" s="173"/>
      <c r="DG1" s="173"/>
      <c r="DH1" s="173"/>
      <c r="DI1" s="173"/>
      <c r="DJ1" s="173"/>
      <c r="DK1" s="173"/>
      <c r="DL1" s="173"/>
      <c r="DM1" s="173"/>
      <c r="DN1" s="173"/>
      <c r="DO1" s="173"/>
      <c r="DP1" s="173"/>
      <c r="DQ1" s="173"/>
      <c r="DR1" s="173"/>
      <c r="DS1" s="173"/>
      <c r="DT1" s="173"/>
      <c r="DU1" s="173"/>
      <c r="DV1" s="173"/>
      <c r="DW1" s="173"/>
      <c r="DX1" s="173"/>
      <c r="DY1" s="173"/>
      <c r="DZ1" s="173"/>
      <c r="EA1" s="173"/>
      <c r="EB1" s="173"/>
      <c r="EC1" s="173"/>
      <c r="ED1" s="173"/>
      <c r="EE1" s="173"/>
      <c r="EF1" s="173"/>
      <c r="EG1" s="173"/>
      <c r="EH1" s="173"/>
      <c r="EI1" s="173"/>
      <c r="EJ1" s="173"/>
      <c r="EK1" s="173"/>
      <c r="EL1" s="173"/>
      <c r="EM1" s="173"/>
      <c r="EN1" s="173"/>
      <c r="EO1" s="173"/>
      <c r="EP1" s="173"/>
      <c r="EQ1" s="173"/>
      <c r="ER1" s="173"/>
      <c r="ES1" s="173"/>
      <c r="ET1" s="173"/>
      <c r="EU1" s="173"/>
      <c r="EV1" s="173"/>
      <c r="EW1" s="173"/>
      <c r="EX1" s="173"/>
      <c r="EY1" s="173"/>
      <c r="EZ1" s="173"/>
      <c r="FA1" s="173"/>
      <c r="FB1" s="173"/>
    </row>
    <row r="2" spans="1:158" ht="15.75" customHeight="1">
      <c r="B2" s="174" t="s">
        <v>256</v>
      </c>
      <c r="C2" s="175">
        <v>45929</v>
      </c>
      <c r="D2" s="176">
        <v>45930</v>
      </c>
      <c r="E2" s="176">
        <v>45931</v>
      </c>
      <c r="F2" s="176">
        <v>45932</v>
      </c>
      <c r="G2" s="176">
        <v>45933</v>
      </c>
      <c r="H2" s="176">
        <v>45934</v>
      </c>
      <c r="I2" s="176">
        <v>45935</v>
      </c>
      <c r="J2" s="177">
        <v>45936</v>
      </c>
      <c r="K2" s="177">
        <v>45937</v>
      </c>
      <c r="L2" s="177">
        <v>45938</v>
      </c>
      <c r="M2" s="177">
        <v>45939</v>
      </c>
      <c r="N2" s="177">
        <v>45940</v>
      </c>
      <c r="O2" s="177">
        <v>45941</v>
      </c>
      <c r="P2" s="177">
        <v>45942</v>
      </c>
      <c r="Q2" s="177">
        <v>45943</v>
      </c>
      <c r="R2" s="177">
        <v>45944</v>
      </c>
      <c r="S2" s="177">
        <v>45945</v>
      </c>
      <c r="T2" s="177">
        <v>45946</v>
      </c>
      <c r="U2" s="177">
        <v>45947</v>
      </c>
      <c r="V2" s="177">
        <v>45948</v>
      </c>
      <c r="W2" s="177">
        <v>45949</v>
      </c>
      <c r="X2" s="177">
        <v>45950</v>
      </c>
      <c r="Y2" s="177">
        <v>45951</v>
      </c>
      <c r="Z2" s="177">
        <v>45952</v>
      </c>
      <c r="AA2" s="177">
        <v>45953</v>
      </c>
      <c r="AB2" s="177">
        <v>45954</v>
      </c>
      <c r="AC2" s="177">
        <v>45955</v>
      </c>
      <c r="AD2" s="177">
        <v>45956</v>
      </c>
      <c r="AE2" s="177">
        <v>45957</v>
      </c>
      <c r="AF2" s="177">
        <v>45958</v>
      </c>
      <c r="AG2" s="177">
        <v>45959</v>
      </c>
      <c r="AH2" s="177">
        <v>45960</v>
      </c>
      <c r="AI2" s="177">
        <v>45961</v>
      </c>
      <c r="AJ2" s="177">
        <v>45962</v>
      </c>
      <c r="AK2" s="177">
        <v>45963</v>
      </c>
      <c r="AL2" s="177">
        <v>45964</v>
      </c>
      <c r="AM2" s="177">
        <v>45965</v>
      </c>
      <c r="AN2" s="177">
        <v>45966</v>
      </c>
      <c r="AO2" s="177">
        <v>45967</v>
      </c>
      <c r="AP2" s="177">
        <v>45968</v>
      </c>
      <c r="AQ2" s="177">
        <v>45969</v>
      </c>
      <c r="AR2" s="177">
        <v>45970</v>
      </c>
      <c r="AS2" s="177">
        <v>45971</v>
      </c>
      <c r="AT2" s="178">
        <v>45972</v>
      </c>
      <c r="AU2" s="177">
        <v>45973</v>
      </c>
      <c r="AV2" s="177">
        <v>45974</v>
      </c>
      <c r="AW2" s="177">
        <v>45975</v>
      </c>
      <c r="AX2" s="177">
        <v>45976</v>
      </c>
      <c r="AY2" s="177">
        <v>45977</v>
      </c>
      <c r="AZ2" s="177">
        <v>45978</v>
      </c>
      <c r="BA2" s="179">
        <v>45979</v>
      </c>
      <c r="BB2" s="177">
        <v>45980</v>
      </c>
      <c r="BC2" s="177">
        <v>45981</v>
      </c>
      <c r="BD2" s="177">
        <v>45982</v>
      </c>
      <c r="BE2" s="177">
        <v>45983</v>
      </c>
      <c r="BF2" s="177">
        <v>45984</v>
      </c>
      <c r="BG2" s="177">
        <v>45985</v>
      </c>
      <c r="BH2" s="177">
        <v>45986</v>
      </c>
      <c r="BI2" s="177">
        <v>45987</v>
      </c>
      <c r="BJ2" s="177">
        <v>45988</v>
      </c>
      <c r="BK2" s="177">
        <v>45989</v>
      </c>
      <c r="BL2" s="177">
        <v>45990</v>
      </c>
      <c r="BM2" s="177">
        <v>45991</v>
      </c>
      <c r="BN2" s="177">
        <v>45992</v>
      </c>
      <c r="BO2" s="177">
        <v>45993</v>
      </c>
      <c r="BP2" s="177">
        <v>45994</v>
      </c>
      <c r="BQ2" s="177">
        <v>45995</v>
      </c>
      <c r="BR2" s="177">
        <v>45996</v>
      </c>
      <c r="BS2" s="177">
        <v>45997</v>
      </c>
      <c r="BT2" s="177">
        <v>45998</v>
      </c>
      <c r="BU2" s="177">
        <v>45999</v>
      </c>
      <c r="BV2" s="177">
        <v>46000</v>
      </c>
      <c r="BW2" s="177">
        <v>46001</v>
      </c>
      <c r="BX2" s="177">
        <v>46002</v>
      </c>
      <c r="BY2" s="177">
        <v>46003</v>
      </c>
      <c r="BZ2" s="177">
        <v>46004</v>
      </c>
      <c r="CA2" s="177">
        <v>46005</v>
      </c>
      <c r="CB2" s="177">
        <v>46006</v>
      </c>
      <c r="CC2" s="177">
        <v>46007</v>
      </c>
      <c r="CD2" s="177">
        <v>46008</v>
      </c>
      <c r="CE2" s="177">
        <v>46009</v>
      </c>
      <c r="CF2" s="177">
        <v>46010</v>
      </c>
      <c r="CG2" s="177">
        <v>46011</v>
      </c>
      <c r="CH2" s="177">
        <v>46012</v>
      </c>
      <c r="CI2" s="177">
        <v>46013</v>
      </c>
      <c r="CJ2" s="177">
        <v>46014</v>
      </c>
      <c r="CK2" s="177">
        <v>46015</v>
      </c>
      <c r="CL2" s="177">
        <v>46016</v>
      </c>
      <c r="CM2" s="177">
        <v>46017</v>
      </c>
      <c r="CN2" s="177">
        <v>46018</v>
      </c>
      <c r="CO2" s="177">
        <v>46019</v>
      </c>
      <c r="CP2" s="177">
        <v>46020</v>
      </c>
      <c r="CQ2" s="177">
        <v>46021</v>
      </c>
      <c r="CR2" s="177">
        <v>46022</v>
      </c>
      <c r="CS2" s="177">
        <v>46023</v>
      </c>
      <c r="CT2" s="177">
        <v>46024</v>
      </c>
      <c r="CU2" s="177">
        <v>46025</v>
      </c>
      <c r="CV2" s="177">
        <v>46026</v>
      </c>
      <c r="CW2" s="177">
        <v>46027</v>
      </c>
      <c r="CX2" s="177">
        <v>46028</v>
      </c>
      <c r="CY2" s="177">
        <v>46029</v>
      </c>
      <c r="CZ2" s="177">
        <v>46030</v>
      </c>
      <c r="DA2" s="177">
        <v>46031</v>
      </c>
      <c r="DB2" s="177">
        <v>46032</v>
      </c>
      <c r="DC2" s="177">
        <v>46033</v>
      </c>
      <c r="DD2" s="177">
        <v>46034</v>
      </c>
      <c r="DE2" s="177">
        <v>46035</v>
      </c>
      <c r="DF2" s="177">
        <v>46036</v>
      </c>
      <c r="DG2" s="177">
        <v>46037</v>
      </c>
      <c r="DH2" s="177">
        <v>46038</v>
      </c>
      <c r="DI2" s="177">
        <v>46039</v>
      </c>
      <c r="DJ2" s="177">
        <v>46040</v>
      </c>
      <c r="DK2" s="177">
        <v>46041</v>
      </c>
      <c r="DL2" s="177">
        <v>46042</v>
      </c>
      <c r="DM2" s="177">
        <v>46043</v>
      </c>
      <c r="DN2" s="177">
        <v>46044</v>
      </c>
      <c r="DO2" s="177">
        <v>46045</v>
      </c>
      <c r="DP2" s="177">
        <v>46046</v>
      </c>
      <c r="DQ2" s="177">
        <v>46047</v>
      </c>
      <c r="DR2" s="177">
        <v>46048</v>
      </c>
      <c r="DS2" s="177">
        <v>46049</v>
      </c>
      <c r="DT2" s="177">
        <v>46050</v>
      </c>
      <c r="DU2" s="177">
        <v>46051</v>
      </c>
      <c r="DV2" s="177">
        <v>46052</v>
      </c>
      <c r="DW2" s="177">
        <v>46053</v>
      </c>
      <c r="DX2" s="177">
        <v>46054</v>
      </c>
      <c r="DY2" s="177">
        <v>46055</v>
      </c>
      <c r="DZ2" s="177">
        <v>46056</v>
      </c>
      <c r="EA2" s="177">
        <v>46057</v>
      </c>
      <c r="EB2" s="177">
        <v>46058</v>
      </c>
      <c r="EC2" s="177">
        <v>46059</v>
      </c>
      <c r="ED2" s="177">
        <v>46060</v>
      </c>
      <c r="EE2" s="177">
        <v>46061</v>
      </c>
      <c r="EF2" s="177">
        <v>46062</v>
      </c>
      <c r="EG2" s="177">
        <v>46063</v>
      </c>
      <c r="EH2" s="177">
        <v>46064</v>
      </c>
      <c r="EI2" s="177">
        <v>46065</v>
      </c>
      <c r="EJ2" s="177">
        <v>46066</v>
      </c>
      <c r="EK2" s="177">
        <v>46067</v>
      </c>
      <c r="EL2" s="177">
        <v>46068</v>
      </c>
      <c r="EM2" s="177">
        <v>46069</v>
      </c>
      <c r="EN2" s="177">
        <v>46070</v>
      </c>
      <c r="EO2" s="177">
        <v>46071</v>
      </c>
      <c r="EP2" s="177">
        <v>46072</v>
      </c>
      <c r="EQ2" s="177">
        <v>46073</v>
      </c>
      <c r="ER2" s="177">
        <v>46074</v>
      </c>
      <c r="ES2" s="177">
        <v>46075</v>
      </c>
      <c r="ET2" s="177">
        <v>46076</v>
      </c>
      <c r="EU2" s="177">
        <v>46077</v>
      </c>
      <c r="EV2" s="177">
        <v>46078</v>
      </c>
      <c r="EW2" s="177">
        <v>46079</v>
      </c>
      <c r="EX2" s="177">
        <v>46080</v>
      </c>
      <c r="EY2" s="177">
        <v>46081</v>
      </c>
      <c r="EZ2" s="177">
        <v>46082</v>
      </c>
      <c r="FA2" s="180"/>
      <c r="FB2" s="180"/>
    </row>
    <row r="3" spans="1:158" ht="13">
      <c r="A3" s="181" t="s">
        <v>44</v>
      </c>
      <c r="B3" s="182">
        <f t="shared" ref="B3:B5" si="0">COUNTA(AQ3,AX3,BE3,BL3,BS3,BZ3,CG3,CN3,CU3,DB3,DI3,DP3,DW3,ED3,EK3,ER3,EY3)</f>
        <v>17</v>
      </c>
      <c r="C3" s="183" t="s">
        <v>11</v>
      </c>
      <c r="D3" s="183" t="s">
        <v>11</v>
      </c>
      <c r="E3" s="183" t="s">
        <v>11</v>
      </c>
      <c r="F3" s="184" t="s">
        <v>2</v>
      </c>
      <c r="G3" s="183" t="s">
        <v>11</v>
      </c>
      <c r="H3" s="185" t="s">
        <v>7</v>
      </c>
      <c r="I3" s="184" t="s">
        <v>2</v>
      </c>
      <c r="J3" s="183" t="s">
        <v>11</v>
      </c>
      <c r="K3" s="183" t="s">
        <v>11</v>
      </c>
      <c r="L3" s="184" t="s">
        <v>2</v>
      </c>
      <c r="M3" s="183" t="s">
        <v>11</v>
      </c>
      <c r="N3" s="183" t="s">
        <v>11</v>
      </c>
      <c r="O3" s="185" t="s">
        <v>7</v>
      </c>
      <c r="P3" s="184" t="s">
        <v>2</v>
      </c>
      <c r="Q3" s="183" t="s">
        <v>11</v>
      </c>
      <c r="R3" s="183" t="s">
        <v>11</v>
      </c>
      <c r="S3" s="183" t="s">
        <v>11</v>
      </c>
      <c r="T3" s="183" t="s">
        <v>11</v>
      </c>
      <c r="U3" s="183" t="s">
        <v>11</v>
      </c>
      <c r="V3" s="184" t="s">
        <v>2</v>
      </c>
      <c r="W3" s="184" t="s">
        <v>2</v>
      </c>
      <c r="X3" s="183" t="s">
        <v>11</v>
      </c>
      <c r="Y3" s="183" t="s">
        <v>11</v>
      </c>
      <c r="Z3" s="183" t="s">
        <v>11</v>
      </c>
      <c r="AA3" s="183" t="s">
        <v>11</v>
      </c>
      <c r="AB3" s="183" t="s">
        <v>11</v>
      </c>
      <c r="AC3" s="184" t="s">
        <v>2</v>
      </c>
      <c r="AD3" s="184" t="s">
        <v>2</v>
      </c>
      <c r="AE3" s="183" t="s">
        <v>11</v>
      </c>
      <c r="AF3" s="183" t="s">
        <v>11</v>
      </c>
      <c r="AG3" s="183" t="s">
        <v>11</v>
      </c>
      <c r="AH3" s="183" t="s">
        <v>11</v>
      </c>
      <c r="AI3" s="183" t="s">
        <v>11</v>
      </c>
      <c r="AJ3" s="184" t="s">
        <v>2</v>
      </c>
      <c r="AK3" s="184" t="s">
        <v>2</v>
      </c>
      <c r="AL3" s="183" t="s">
        <v>11</v>
      </c>
      <c r="AM3" s="183" t="s">
        <v>11</v>
      </c>
      <c r="AN3" s="183" t="s">
        <v>11</v>
      </c>
      <c r="AO3" s="183" t="s">
        <v>11</v>
      </c>
      <c r="AP3" s="183" t="s">
        <v>11</v>
      </c>
      <c r="AQ3" s="184" t="s">
        <v>2</v>
      </c>
      <c r="AR3" s="184" t="s">
        <v>2</v>
      </c>
      <c r="AS3" s="183" t="s">
        <v>11</v>
      </c>
      <c r="AT3" s="183" t="s">
        <v>11</v>
      </c>
      <c r="AU3" s="184" t="s">
        <v>2</v>
      </c>
      <c r="AV3" s="183" t="s">
        <v>11</v>
      </c>
      <c r="AW3" s="183" t="s">
        <v>11</v>
      </c>
      <c r="AX3" s="185" t="s">
        <v>7</v>
      </c>
      <c r="AY3" s="184" t="s">
        <v>2</v>
      </c>
      <c r="AZ3" s="183" t="s">
        <v>11</v>
      </c>
      <c r="BA3" s="183" t="s">
        <v>11</v>
      </c>
      <c r="BB3" s="183" t="s">
        <v>11</v>
      </c>
      <c r="BC3" s="183" t="s">
        <v>11</v>
      </c>
      <c r="BD3" s="183" t="s">
        <v>11</v>
      </c>
      <c r="BE3" s="184" t="s">
        <v>2</v>
      </c>
      <c r="BF3" s="184" t="s">
        <v>2</v>
      </c>
      <c r="BG3" s="183" t="s">
        <v>11</v>
      </c>
      <c r="BH3" s="183" t="s">
        <v>11</v>
      </c>
      <c r="BI3" s="183" t="s">
        <v>11</v>
      </c>
      <c r="BJ3" s="183" t="s">
        <v>11</v>
      </c>
      <c r="BK3" s="183" t="s">
        <v>11</v>
      </c>
      <c r="BL3" s="184" t="s">
        <v>2</v>
      </c>
      <c r="BM3" s="184" t="s">
        <v>2</v>
      </c>
      <c r="BN3" s="183" t="s">
        <v>11</v>
      </c>
      <c r="BO3" s="183" t="s">
        <v>11</v>
      </c>
      <c r="BP3" s="184" t="s">
        <v>2</v>
      </c>
      <c r="BQ3" s="183" t="s">
        <v>11</v>
      </c>
      <c r="BR3" s="183" t="s">
        <v>11</v>
      </c>
      <c r="BS3" s="186" t="s">
        <v>115</v>
      </c>
      <c r="BT3" s="184" t="s">
        <v>2</v>
      </c>
      <c r="BU3" s="183" t="s">
        <v>11</v>
      </c>
      <c r="BV3" s="183" t="s">
        <v>11</v>
      </c>
      <c r="BW3" s="183" t="s">
        <v>11</v>
      </c>
      <c r="BX3" s="183" t="s">
        <v>11</v>
      </c>
      <c r="BY3" s="183" t="s">
        <v>11</v>
      </c>
      <c r="BZ3" s="184" t="s">
        <v>2</v>
      </c>
      <c r="CA3" s="184" t="s">
        <v>2</v>
      </c>
      <c r="CB3" s="183" t="s">
        <v>11</v>
      </c>
      <c r="CC3" s="183" t="s">
        <v>11</v>
      </c>
      <c r="CD3" s="183" t="s">
        <v>11</v>
      </c>
      <c r="CE3" s="183" t="s">
        <v>11</v>
      </c>
      <c r="CF3" s="183" t="s">
        <v>11</v>
      </c>
      <c r="CG3" s="184" t="s">
        <v>2</v>
      </c>
      <c r="CH3" s="184" t="s">
        <v>2</v>
      </c>
      <c r="CI3" s="183" t="s">
        <v>11</v>
      </c>
      <c r="CJ3" s="183" t="s">
        <v>11</v>
      </c>
      <c r="CK3" s="183" t="s">
        <v>11</v>
      </c>
      <c r="CL3" s="184" t="s">
        <v>2</v>
      </c>
      <c r="CM3" s="183" t="s">
        <v>11</v>
      </c>
      <c r="CN3" s="186" t="s">
        <v>115</v>
      </c>
      <c r="CO3" s="184" t="s">
        <v>2</v>
      </c>
      <c r="CP3" s="183" t="s">
        <v>11</v>
      </c>
      <c r="CQ3" s="183" t="s">
        <v>11</v>
      </c>
      <c r="CR3" s="183" t="s">
        <v>11</v>
      </c>
      <c r="CS3" s="183" t="s">
        <v>11</v>
      </c>
      <c r="CT3" s="183" t="s">
        <v>11</v>
      </c>
      <c r="CU3" s="184" t="s">
        <v>2</v>
      </c>
      <c r="CV3" s="184" t="s">
        <v>2</v>
      </c>
      <c r="CW3" s="183" t="s">
        <v>11</v>
      </c>
      <c r="CX3" s="183" t="s">
        <v>11</v>
      </c>
      <c r="CY3" s="183" t="s">
        <v>11</v>
      </c>
      <c r="CZ3" s="187" t="s">
        <v>2</v>
      </c>
      <c r="DA3" s="183" t="s">
        <v>11</v>
      </c>
      <c r="DB3" s="186" t="s">
        <v>115</v>
      </c>
      <c r="DC3" s="184" t="s">
        <v>2</v>
      </c>
      <c r="DD3" s="183" t="s">
        <v>11</v>
      </c>
      <c r="DE3" s="183" t="s">
        <v>11</v>
      </c>
      <c r="DF3" s="183" t="s">
        <v>11</v>
      </c>
      <c r="DG3" s="183" t="s">
        <v>11</v>
      </c>
      <c r="DH3" s="188" t="s">
        <v>27</v>
      </c>
      <c r="DI3" s="184" t="s">
        <v>2</v>
      </c>
      <c r="DJ3" s="184" t="s">
        <v>2</v>
      </c>
      <c r="DK3" s="188" t="s">
        <v>27</v>
      </c>
      <c r="DL3" s="188" t="s">
        <v>27</v>
      </c>
      <c r="DM3" s="188" t="s">
        <v>27</v>
      </c>
      <c r="DN3" s="188" t="s">
        <v>27</v>
      </c>
      <c r="DO3" s="188" t="s">
        <v>27</v>
      </c>
      <c r="DP3" s="184" t="s">
        <v>2</v>
      </c>
      <c r="DQ3" s="184" t="s">
        <v>2</v>
      </c>
      <c r="DR3" s="183" t="s">
        <v>11</v>
      </c>
      <c r="DS3" s="183" t="s">
        <v>11</v>
      </c>
      <c r="DT3" s="183" t="s">
        <v>11</v>
      </c>
      <c r="DU3" s="183" t="s">
        <v>11</v>
      </c>
      <c r="DV3" s="183" t="s">
        <v>11</v>
      </c>
      <c r="DW3" s="184" t="s">
        <v>2</v>
      </c>
      <c r="DX3" s="184" t="s">
        <v>2</v>
      </c>
      <c r="DY3" s="183" t="s">
        <v>11</v>
      </c>
      <c r="DZ3" s="183" t="s">
        <v>11</v>
      </c>
      <c r="EA3" s="183" t="s">
        <v>11</v>
      </c>
      <c r="EB3" s="184" t="s">
        <v>2</v>
      </c>
      <c r="EC3" s="183" t="s">
        <v>11</v>
      </c>
      <c r="ED3" s="186" t="s">
        <v>115</v>
      </c>
      <c r="EE3" s="184" t="s">
        <v>2</v>
      </c>
      <c r="EF3" s="183" t="s">
        <v>11</v>
      </c>
      <c r="EG3" s="183" t="s">
        <v>11</v>
      </c>
      <c r="EH3" s="183" t="s">
        <v>11</v>
      </c>
      <c r="EI3" s="183" t="s">
        <v>11</v>
      </c>
      <c r="EJ3" s="183" t="s">
        <v>11</v>
      </c>
      <c r="EK3" s="184" t="s">
        <v>2</v>
      </c>
      <c r="EL3" s="184" t="s">
        <v>2</v>
      </c>
      <c r="EM3" s="189" t="s">
        <v>115</v>
      </c>
      <c r="EN3" s="189" t="s">
        <v>115</v>
      </c>
      <c r="EO3" s="189" t="s">
        <v>115</v>
      </c>
      <c r="EP3" s="189" t="s">
        <v>257</v>
      </c>
      <c r="EQ3" s="189" t="s">
        <v>257</v>
      </c>
      <c r="ER3" s="184" t="s">
        <v>2</v>
      </c>
      <c r="ES3" s="184" t="s">
        <v>2</v>
      </c>
      <c r="ET3" s="189" t="s">
        <v>257</v>
      </c>
      <c r="EU3" s="189" t="s">
        <v>257</v>
      </c>
      <c r="EV3" s="189" t="s">
        <v>257</v>
      </c>
      <c r="EW3" s="184" t="s">
        <v>2</v>
      </c>
      <c r="EX3" s="183" t="s">
        <v>11</v>
      </c>
      <c r="EY3" s="186" t="s">
        <v>115</v>
      </c>
      <c r="EZ3" s="184" t="s">
        <v>2</v>
      </c>
      <c r="FA3" s="190"/>
      <c r="FB3" s="190"/>
    </row>
    <row r="4" spans="1:158" ht="13">
      <c r="A4" s="181" t="s">
        <v>46</v>
      </c>
      <c r="B4" s="182">
        <f t="shared" si="0"/>
        <v>17</v>
      </c>
      <c r="C4" s="183" t="s">
        <v>11</v>
      </c>
      <c r="D4" s="183" t="s">
        <v>11</v>
      </c>
      <c r="E4" s="183" t="s">
        <v>11</v>
      </c>
      <c r="F4" s="183" t="s">
        <v>11</v>
      </c>
      <c r="G4" s="183" t="s">
        <v>11</v>
      </c>
      <c r="H4" s="184" t="s">
        <v>2</v>
      </c>
      <c r="I4" s="184" t="s">
        <v>2</v>
      </c>
      <c r="J4" s="183" t="s">
        <v>11</v>
      </c>
      <c r="K4" s="183" t="s">
        <v>11</v>
      </c>
      <c r="L4" s="183" t="s">
        <v>11</v>
      </c>
      <c r="M4" s="183" t="s">
        <v>11</v>
      </c>
      <c r="N4" s="185" t="s">
        <v>7</v>
      </c>
      <c r="O4" s="184" t="s">
        <v>2</v>
      </c>
      <c r="P4" s="184" t="s">
        <v>2</v>
      </c>
      <c r="Q4" s="185" t="s">
        <v>7</v>
      </c>
      <c r="R4" s="183" t="s">
        <v>11</v>
      </c>
      <c r="S4" s="184" t="s">
        <v>2</v>
      </c>
      <c r="T4" s="183" t="s">
        <v>11</v>
      </c>
      <c r="U4" s="183" t="s">
        <v>11</v>
      </c>
      <c r="V4" s="185" t="s">
        <v>7</v>
      </c>
      <c r="W4" s="184" t="s">
        <v>2</v>
      </c>
      <c r="X4" s="185" t="s">
        <v>7</v>
      </c>
      <c r="Y4" s="183" t="s">
        <v>11</v>
      </c>
      <c r="Z4" s="183" t="s">
        <v>11</v>
      </c>
      <c r="AA4" s="183" t="s">
        <v>11</v>
      </c>
      <c r="AB4" s="183" t="s">
        <v>11</v>
      </c>
      <c r="AC4" s="184" t="s">
        <v>2</v>
      </c>
      <c r="AD4" s="184" t="s">
        <v>2</v>
      </c>
      <c r="AE4" s="183" t="s">
        <v>11</v>
      </c>
      <c r="AF4" s="183" t="s">
        <v>11</v>
      </c>
      <c r="AG4" s="183" t="s">
        <v>11</v>
      </c>
      <c r="AH4" s="183" t="s">
        <v>11</v>
      </c>
      <c r="AI4" s="183" t="s">
        <v>11</v>
      </c>
      <c r="AJ4" s="184" t="s">
        <v>2</v>
      </c>
      <c r="AK4" s="184" t="s">
        <v>2</v>
      </c>
      <c r="AL4" s="183" t="s">
        <v>11</v>
      </c>
      <c r="AM4" s="183" t="s">
        <v>11</v>
      </c>
      <c r="AN4" s="183" t="s">
        <v>11</v>
      </c>
      <c r="AO4" s="183" t="s">
        <v>11</v>
      </c>
      <c r="AP4" s="183" t="s">
        <v>11</v>
      </c>
      <c r="AQ4" s="184" t="s">
        <v>2</v>
      </c>
      <c r="AR4" s="184" t="s">
        <v>2</v>
      </c>
      <c r="AS4" s="183" t="s">
        <v>11</v>
      </c>
      <c r="AT4" s="183" t="s">
        <v>11</v>
      </c>
      <c r="AU4" s="183" t="s">
        <v>11</v>
      </c>
      <c r="AV4" s="183" t="s">
        <v>11</v>
      </c>
      <c r="AW4" s="183" t="s">
        <v>11</v>
      </c>
      <c r="AX4" s="184" t="s">
        <v>2</v>
      </c>
      <c r="AY4" s="184" t="s">
        <v>2</v>
      </c>
      <c r="AZ4" s="191" t="s">
        <v>115</v>
      </c>
      <c r="BA4" s="192" t="s">
        <v>258</v>
      </c>
      <c r="BB4" s="192" t="s">
        <v>7</v>
      </c>
      <c r="BC4" s="192" t="s">
        <v>7</v>
      </c>
      <c r="BD4" s="192" t="s">
        <v>7</v>
      </c>
      <c r="BE4" s="184" t="s">
        <v>2</v>
      </c>
      <c r="BF4" s="184" t="s">
        <v>2</v>
      </c>
      <c r="BG4" s="192" t="s">
        <v>7</v>
      </c>
      <c r="BH4" s="183" t="s">
        <v>11</v>
      </c>
      <c r="BI4" s="183" t="s">
        <v>11</v>
      </c>
      <c r="BJ4" s="184" t="s">
        <v>2</v>
      </c>
      <c r="BK4" s="183" t="s">
        <v>11</v>
      </c>
      <c r="BL4" s="186" t="s">
        <v>115</v>
      </c>
      <c r="BM4" s="184" t="s">
        <v>2</v>
      </c>
      <c r="BN4" s="192" t="s">
        <v>7</v>
      </c>
      <c r="BO4" s="183" t="s">
        <v>11</v>
      </c>
      <c r="BP4" s="183" t="s">
        <v>11</v>
      </c>
      <c r="BQ4" s="183" t="s">
        <v>11</v>
      </c>
      <c r="BR4" s="183" t="s">
        <v>11</v>
      </c>
      <c r="BS4" s="184" t="s">
        <v>2</v>
      </c>
      <c r="BT4" s="184" t="s">
        <v>2</v>
      </c>
      <c r="BU4" s="192" t="s">
        <v>7</v>
      </c>
      <c r="BV4" s="192" t="s">
        <v>7</v>
      </c>
      <c r="BW4" s="184" t="s">
        <v>2</v>
      </c>
      <c r="BX4" s="192" t="s">
        <v>7</v>
      </c>
      <c r="BY4" s="192" t="s">
        <v>7</v>
      </c>
      <c r="BZ4" s="186" t="s">
        <v>115</v>
      </c>
      <c r="CA4" s="184" t="s">
        <v>2</v>
      </c>
      <c r="CB4" s="192" t="s">
        <v>7</v>
      </c>
      <c r="CC4" s="192" t="s">
        <v>7</v>
      </c>
      <c r="CD4" s="192" t="s">
        <v>7</v>
      </c>
      <c r="CE4" s="192" t="s">
        <v>7</v>
      </c>
      <c r="CF4" s="192" t="s">
        <v>7</v>
      </c>
      <c r="CG4" s="184" t="s">
        <v>2</v>
      </c>
      <c r="CH4" s="184" t="s">
        <v>2</v>
      </c>
      <c r="CI4" s="193" t="s">
        <v>7</v>
      </c>
      <c r="CJ4" s="193" t="s">
        <v>7</v>
      </c>
      <c r="CK4" s="193" t="s">
        <v>7</v>
      </c>
      <c r="CL4" s="187" t="s">
        <v>2</v>
      </c>
      <c r="CM4" s="193" t="s">
        <v>7</v>
      </c>
      <c r="CN4" s="193" t="s">
        <v>7</v>
      </c>
      <c r="CO4" s="187" t="s">
        <v>2</v>
      </c>
      <c r="CP4" s="193" t="s">
        <v>7</v>
      </c>
      <c r="CQ4" s="188" t="s">
        <v>27</v>
      </c>
      <c r="CR4" s="188" t="s">
        <v>27</v>
      </c>
      <c r="CS4" s="188" t="s">
        <v>27</v>
      </c>
      <c r="CT4" s="188" t="s">
        <v>27</v>
      </c>
      <c r="CU4" s="187" t="s">
        <v>2</v>
      </c>
      <c r="CV4" s="187" t="s">
        <v>2</v>
      </c>
      <c r="CW4" s="188" t="s">
        <v>27</v>
      </c>
      <c r="CX4" s="183" t="s">
        <v>11</v>
      </c>
      <c r="CY4" s="183" t="s">
        <v>11</v>
      </c>
      <c r="CZ4" s="183" t="s">
        <v>11</v>
      </c>
      <c r="DA4" s="183" t="s">
        <v>11</v>
      </c>
      <c r="DB4" s="184" t="s">
        <v>2</v>
      </c>
      <c r="DC4" s="184" t="s">
        <v>2</v>
      </c>
      <c r="DD4" s="183" t="s">
        <v>11</v>
      </c>
      <c r="DE4" s="183" t="s">
        <v>11</v>
      </c>
      <c r="DF4" s="183" t="s">
        <v>11</v>
      </c>
      <c r="DG4" s="183" t="s">
        <v>11</v>
      </c>
      <c r="DH4" s="183" t="s">
        <v>11</v>
      </c>
      <c r="DI4" s="184" t="s">
        <v>2</v>
      </c>
      <c r="DJ4" s="184" t="s">
        <v>2</v>
      </c>
      <c r="DK4" s="183" t="s">
        <v>11</v>
      </c>
      <c r="DL4" s="183" t="s">
        <v>11</v>
      </c>
      <c r="DM4" s="183" t="s">
        <v>11</v>
      </c>
      <c r="DN4" s="183" t="s">
        <v>11</v>
      </c>
      <c r="DO4" s="183" t="s">
        <v>11</v>
      </c>
      <c r="DP4" s="184" t="s">
        <v>2</v>
      </c>
      <c r="DQ4" s="184" t="s">
        <v>2</v>
      </c>
      <c r="DR4" s="183" t="s">
        <v>11</v>
      </c>
      <c r="DS4" s="183" t="s">
        <v>11</v>
      </c>
      <c r="DT4" s="183" t="s">
        <v>11</v>
      </c>
      <c r="DU4" s="183" t="s">
        <v>11</v>
      </c>
      <c r="DV4" s="183" t="s">
        <v>11</v>
      </c>
      <c r="DW4" s="184" t="s">
        <v>2</v>
      </c>
      <c r="DX4" s="184" t="s">
        <v>2</v>
      </c>
      <c r="DY4" s="183" t="s">
        <v>11</v>
      </c>
      <c r="DZ4" s="183" t="s">
        <v>11</v>
      </c>
      <c r="EA4" s="183" t="s">
        <v>11</v>
      </c>
      <c r="EB4" s="183" t="s">
        <v>11</v>
      </c>
      <c r="EC4" s="183" t="s">
        <v>11</v>
      </c>
      <c r="ED4" s="184" t="s">
        <v>2</v>
      </c>
      <c r="EE4" s="184" t="s">
        <v>2</v>
      </c>
      <c r="EF4" s="183" t="s">
        <v>11</v>
      </c>
      <c r="EG4" s="183" t="s">
        <v>11</v>
      </c>
      <c r="EH4" s="183" t="s">
        <v>11</v>
      </c>
      <c r="EI4" s="183" t="s">
        <v>11</v>
      </c>
      <c r="EJ4" s="183" t="s">
        <v>11</v>
      </c>
      <c r="EK4" s="184" t="s">
        <v>2</v>
      </c>
      <c r="EL4" s="184" t="s">
        <v>2</v>
      </c>
      <c r="EM4" s="183" t="s">
        <v>11</v>
      </c>
      <c r="EN4" s="183" t="s">
        <v>11</v>
      </c>
      <c r="EO4" s="183" t="s">
        <v>11</v>
      </c>
      <c r="EP4" s="183" t="s">
        <v>259</v>
      </c>
      <c r="EQ4" s="183" t="s">
        <v>11</v>
      </c>
      <c r="ER4" s="184" t="s">
        <v>2</v>
      </c>
      <c r="ES4" s="184" t="s">
        <v>2</v>
      </c>
      <c r="ET4" s="183" t="s">
        <v>11</v>
      </c>
      <c r="EU4" s="183" t="s">
        <v>11</v>
      </c>
      <c r="EV4" s="183" t="s">
        <v>11</v>
      </c>
      <c r="EW4" s="183" t="s">
        <v>11</v>
      </c>
      <c r="EX4" s="183" t="s">
        <v>11</v>
      </c>
      <c r="EY4" s="184" t="s">
        <v>2</v>
      </c>
      <c r="EZ4" s="184" t="s">
        <v>2</v>
      </c>
      <c r="FA4" s="190"/>
      <c r="FB4" s="190"/>
    </row>
    <row r="5" spans="1:158" ht="13">
      <c r="A5" s="181" t="s">
        <v>62</v>
      </c>
      <c r="B5" s="182">
        <f t="shared" si="0"/>
        <v>17</v>
      </c>
      <c r="C5" s="183" t="s">
        <v>11</v>
      </c>
      <c r="D5" s="183" t="s">
        <v>11</v>
      </c>
      <c r="E5" s="183" t="s">
        <v>11</v>
      </c>
      <c r="F5" s="183" t="s">
        <v>11</v>
      </c>
      <c r="G5" s="183" t="s">
        <v>10</v>
      </c>
      <c r="H5" s="184" t="s">
        <v>2</v>
      </c>
      <c r="I5" s="184" t="s">
        <v>2</v>
      </c>
      <c r="J5" s="183" t="s">
        <v>11</v>
      </c>
      <c r="K5" s="183" t="s">
        <v>11</v>
      </c>
      <c r="L5" s="183" t="s">
        <v>11</v>
      </c>
      <c r="M5" s="183" t="s">
        <v>11</v>
      </c>
      <c r="N5" s="183" t="s">
        <v>10</v>
      </c>
      <c r="O5" s="184" t="s">
        <v>2</v>
      </c>
      <c r="P5" s="184" t="s">
        <v>2</v>
      </c>
      <c r="Q5" s="183" t="s">
        <v>11</v>
      </c>
      <c r="R5" s="183" t="s">
        <v>11</v>
      </c>
      <c r="S5" s="183" t="s">
        <v>11</v>
      </c>
      <c r="T5" s="183" t="s">
        <v>11</v>
      </c>
      <c r="U5" s="183" t="s">
        <v>11</v>
      </c>
      <c r="V5" s="184" t="s">
        <v>2</v>
      </c>
      <c r="W5" s="184" t="s">
        <v>2</v>
      </c>
      <c r="X5" s="183" t="s">
        <v>11</v>
      </c>
      <c r="Y5" s="183" t="s">
        <v>11</v>
      </c>
      <c r="Z5" s="183" t="s">
        <v>11</v>
      </c>
      <c r="AA5" s="183" t="s">
        <v>11</v>
      </c>
      <c r="AB5" s="183" t="s">
        <v>11</v>
      </c>
      <c r="AC5" s="184" t="s">
        <v>2</v>
      </c>
      <c r="AD5" s="184" t="s">
        <v>2</v>
      </c>
      <c r="AE5" s="183" t="s">
        <v>11</v>
      </c>
      <c r="AF5" s="184" t="s">
        <v>2</v>
      </c>
      <c r="AG5" s="183" t="s">
        <v>11</v>
      </c>
      <c r="AH5" s="183" t="s">
        <v>11</v>
      </c>
      <c r="AI5" s="183" t="s">
        <v>11</v>
      </c>
      <c r="AJ5" s="183" t="s">
        <v>11</v>
      </c>
      <c r="AK5" s="184" t="s">
        <v>2</v>
      </c>
      <c r="AL5" s="183" t="s">
        <v>11</v>
      </c>
      <c r="AM5" s="183" t="s">
        <v>11</v>
      </c>
      <c r="AN5" s="183" t="s">
        <v>11</v>
      </c>
      <c r="AO5" s="183" t="s">
        <v>11</v>
      </c>
      <c r="AP5" s="183" t="s">
        <v>11</v>
      </c>
      <c r="AQ5" s="184" t="s">
        <v>2</v>
      </c>
      <c r="AR5" s="184" t="s">
        <v>2</v>
      </c>
      <c r="AS5" s="183" t="s">
        <v>11</v>
      </c>
      <c r="AT5" s="183" t="s">
        <v>11</v>
      </c>
      <c r="AU5" s="183" t="s">
        <v>11</v>
      </c>
      <c r="AV5" s="183" t="s">
        <v>11</v>
      </c>
      <c r="AW5" s="183" t="s">
        <v>11</v>
      </c>
      <c r="AX5" s="184" t="s">
        <v>2</v>
      </c>
      <c r="AY5" s="184" t="s">
        <v>2</v>
      </c>
      <c r="AZ5" s="183" t="s">
        <v>11</v>
      </c>
      <c r="BA5" s="183" t="s">
        <v>11</v>
      </c>
      <c r="BB5" s="183" t="s">
        <v>11</v>
      </c>
      <c r="BC5" s="183" t="s">
        <v>11</v>
      </c>
      <c r="BD5" s="183" t="s">
        <v>11</v>
      </c>
      <c r="BE5" s="184" t="s">
        <v>2</v>
      </c>
      <c r="BF5" s="184" t="s">
        <v>2</v>
      </c>
      <c r="BG5" s="183" t="s">
        <v>155</v>
      </c>
      <c r="BH5" s="183" t="s">
        <v>155</v>
      </c>
      <c r="BI5" s="183" t="s">
        <v>155</v>
      </c>
      <c r="BJ5" s="183" t="s">
        <v>155</v>
      </c>
      <c r="BK5" s="183" t="s">
        <v>155</v>
      </c>
      <c r="BL5" s="184" t="s">
        <v>2</v>
      </c>
      <c r="BM5" s="184" t="s">
        <v>2</v>
      </c>
      <c r="BN5" s="183" t="s">
        <v>11</v>
      </c>
      <c r="BO5" s="183" t="s">
        <v>11</v>
      </c>
      <c r="BP5" s="183" t="s">
        <v>11</v>
      </c>
      <c r="BQ5" s="183" t="s">
        <v>11</v>
      </c>
      <c r="BR5" s="183" t="s">
        <v>11</v>
      </c>
      <c r="BS5" s="184" t="s">
        <v>2</v>
      </c>
      <c r="BT5" s="184" t="s">
        <v>2</v>
      </c>
      <c r="BU5" s="183" t="s">
        <v>11</v>
      </c>
      <c r="BV5" s="183" t="s">
        <v>11</v>
      </c>
      <c r="BW5" s="183" t="s">
        <v>11</v>
      </c>
      <c r="BX5" s="183" t="s">
        <v>11</v>
      </c>
      <c r="BY5" s="183" t="s">
        <v>11</v>
      </c>
      <c r="BZ5" s="184" t="s">
        <v>2</v>
      </c>
      <c r="CA5" s="184" t="s">
        <v>2</v>
      </c>
      <c r="CB5" s="183" t="s">
        <v>11</v>
      </c>
      <c r="CC5" s="183" t="s">
        <v>11</v>
      </c>
      <c r="CD5" s="183" t="s">
        <v>11</v>
      </c>
      <c r="CE5" s="183" t="s">
        <v>11</v>
      </c>
      <c r="CF5" s="183" t="s">
        <v>11</v>
      </c>
      <c r="CG5" s="184" t="s">
        <v>2</v>
      </c>
      <c r="CH5" s="184" t="s">
        <v>2</v>
      </c>
      <c r="CI5" s="183" t="s">
        <v>11</v>
      </c>
      <c r="CJ5" s="183" t="s">
        <v>11</v>
      </c>
      <c r="CK5" s="183" t="s">
        <v>11</v>
      </c>
      <c r="CL5" s="183" t="s">
        <v>11</v>
      </c>
      <c r="CM5" s="183" t="s">
        <v>11</v>
      </c>
      <c r="CN5" s="184" t="s">
        <v>2</v>
      </c>
      <c r="CO5" s="184" t="s">
        <v>2</v>
      </c>
      <c r="CP5" s="183" t="s">
        <v>11</v>
      </c>
      <c r="CQ5" s="183" t="s">
        <v>11</v>
      </c>
      <c r="CR5" s="183" t="s">
        <v>11</v>
      </c>
      <c r="CS5" s="183" t="s">
        <v>11</v>
      </c>
      <c r="CT5" s="183" t="s">
        <v>11</v>
      </c>
      <c r="CU5" s="184" t="s">
        <v>2</v>
      </c>
      <c r="CV5" s="184" t="s">
        <v>2</v>
      </c>
      <c r="CW5" s="183" t="s">
        <v>11</v>
      </c>
      <c r="CX5" s="183" t="s">
        <v>11</v>
      </c>
      <c r="CY5" s="183" t="s">
        <v>11</v>
      </c>
      <c r="CZ5" s="183" t="s">
        <v>11</v>
      </c>
      <c r="DA5" s="183" t="s">
        <v>11</v>
      </c>
      <c r="DB5" s="184" t="s">
        <v>2</v>
      </c>
      <c r="DC5" s="184" t="s">
        <v>2</v>
      </c>
      <c r="DD5" s="183" t="s">
        <v>11</v>
      </c>
      <c r="DE5" s="183" t="s">
        <v>11</v>
      </c>
      <c r="DF5" s="183" t="s">
        <v>11</v>
      </c>
      <c r="DG5" s="183" t="s">
        <v>11</v>
      </c>
      <c r="DH5" s="183" t="s">
        <v>11</v>
      </c>
      <c r="DI5" s="184" t="s">
        <v>2</v>
      </c>
      <c r="DJ5" s="184" t="s">
        <v>2</v>
      </c>
      <c r="DK5" s="183" t="s">
        <v>11</v>
      </c>
      <c r="DL5" s="183" t="s">
        <v>11</v>
      </c>
      <c r="DM5" s="183" t="s">
        <v>11</v>
      </c>
      <c r="DN5" s="184" t="s">
        <v>2</v>
      </c>
      <c r="DO5" s="183" t="s">
        <v>11</v>
      </c>
      <c r="DP5" s="186" t="s">
        <v>115</v>
      </c>
      <c r="DQ5" s="184" t="s">
        <v>2</v>
      </c>
      <c r="DR5" s="183" t="s">
        <v>11</v>
      </c>
      <c r="DS5" s="183" t="s">
        <v>11</v>
      </c>
      <c r="DT5" s="183" t="s">
        <v>11</v>
      </c>
      <c r="DU5" s="183" t="s">
        <v>11</v>
      </c>
      <c r="DV5" s="183" t="s">
        <v>11</v>
      </c>
      <c r="DW5" s="184" t="s">
        <v>2</v>
      </c>
      <c r="DX5" s="184" t="s">
        <v>2</v>
      </c>
      <c r="DY5" s="183" t="s">
        <v>11</v>
      </c>
      <c r="DZ5" s="183" t="s">
        <v>11</v>
      </c>
      <c r="EA5" s="183" t="s">
        <v>11</v>
      </c>
      <c r="EB5" s="183" t="s">
        <v>11</v>
      </c>
      <c r="EC5" s="194" t="s">
        <v>155</v>
      </c>
      <c r="ED5" s="184" t="s">
        <v>2</v>
      </c>
      <c r="EE5" s="184" t="s">
        <v>2</v>
      </c>
      <c r="EF5" s="183" t="s">
        <v>11</v>
      </c>
      <c r="EG5" s="183" t="s">
        <v>11</v>
      </c>
      <c r="EH5" s="183" t="s">
        <v>11</v>
      </c>
      <c r="EI5" s="183" t="s">
        <v>11</v>
      </c>
      <c r="EJ5" s="183" t="s">
        <v>11</v>
      </c>
      <c r="EK5" s="184" t="s">
        <v>2</v>
      </c>
      <c r="EL5" s="184" t="s">
        <v>2</v>
      </c>
      <c r="EM5" s="183" t="s">
        <v>11</v>
      </c>
      <c r="EN5" s="183" t="s">
        <v>11</v>
      </c>
      <c r="EO5" s="183" t="s">
        <v>11</v>
      </c>
      <c r="EP5" s="184" t="s">
        <v>2</v>
      </c>
      <c r="EQ5" s="183" t="s">
        <v>11</v>
      </c>
      <c r="ER5" s="186" t="s">
        <v>115</v>
      </c>
      <c r="ES5" s="184" t="s">
        <v>2</v>
      </c>
      <c r="ET5" s="183" t="s">
        <v>11</v>
      </c>
      <c r="EU5" s="183" t="s">
        <v>11</v>
      </c>
      <c r="EV5" s="183" t="s">
        <v>11</v>
      </c>
      <c r="EW5" s="183" t="s">
        <v>11</v>
      </c>
      <c r="EX5" s="183" t="s">
        <v>11</v>
      </c>
      <c r="EY5" s="184" t="s">
        <v>2</v>
      </c>
      <c r="EZ5" s="184" t="s">
        <v>2</v>
      </c>
      <c r="FA5" s="190"/>
      <c r="FB5" s="190"/>
    </row>
    <row r="6" spans="1:158" ht="13">
      <c r="A6" s="181" t="s">
        <v>48</v>
      </c>
      <c r="AL6" s="183" t="s">
        <v>11</v>
      </c>
      <c r="AM6" s="183" t="s">
        <v>11</v>
      </c>
      <c r="AN6" s="183" t="s">
        <v>11</v>
      </c>
      <c r="AO6" s="183" t="s">
        <v>11</v>
      </c>
      <c r="AP6" s="183" t="s">
        <v>11</v>
      </c>
      <c r="AQ6" s="184" t="s">
        <v>2</v>
      </c>
      <c r="AR6" s="184" t="s">
        <v>2</v>
      </c>
      <c r="AS6" s="183" t="s">
        <v>11</v>
      </c>
      <c r="AT6" s="183" t="s">
        <v>11</v>
      </c>
      <c r="AU6" s="183" t="s">
        <v>11</v>
      </c>
      <c r="AV6" s="183" t="s">
        <v>11</v>
      </c>
      <c r="AW6" s="183" t="s">
        <v>11</v>
      </c>
      <c r="AX6" s="184" t="s">
        <v>2</v>
      </c>
      <c r="AY6" s="184" t="s">
        <v>2</v>
      </c>
      <c r="AZ6" s="183" t="s">
        <v>11</v>
      </c>
      <c r="BA6" s="183" t="s">
        <v>11</v>
      </c>
      <c r="BB6" s="183" t="s">
        <v>11</v>
      </c>
      <c r="BC6" s="183" t="s">
        <v>11</v>
      </c>
      <c r="BD6" s="183" t="s">
        <v>11</v>
      </c>
      <c r="BE6" s="184" t="s">
        <v>2</v>
      </c>
      <c r="BF6" s="184" t="s">
        <v>2</v>
      </c>
      <c r="BG6" s="183" t="s">
        <v>11</v>
      </c>
      <c r="BH6" s="183" t="s">
        <v>11</v>
      </c>
      <c r="BI6" s="183" t="s">
        <v>11</v>
      </c>
      <c r="BJ6" s="183" t="s">
        <v>11</v>
      </c>
      <c r="BK6" s="183" t="s">
        <v>11</v>
      </c>
      <c r="BL6" s="184" t="s">
        <v>2</v>
      </c>
      <c r="BM6" s="184" t="s">
        <v>2</v>
      </c>
      <c r="BN6" s="183" t="s">
        <v>11</v>
      </c>
      <c r="BO6" s="183" t="s">
        <v>11</v>
      </c>
      <c r="BP6" s="183" t="s">
        <v>11</v>
      </c>
      <c r="BQ6" s="183" t="s">
        <v>11</v>
      </c>
      <c r="BR6" s="183" t="s">
        <v>11</v>
      </c>
      <c r="BS6" s="184" t="s">
        <v>2</v>
      </c>
      <c r="BT6" s="184" t="s">
        <v>2</v>
      </c>
      <c r="BU6" s="183" t="s">
        <v>11</v>
      </c>
      <c r="BV6" s="183" t="s">
        <v>11</v>
      </c>
      <c r="BW6" s="183" t="s">
        <v>11</v>
      </c>
      <c r="BX6" s="183" t="s">
        <v>11</v>
      </c>
      <c r="BY6" s="183" t="s">
        <v>11</v>
      </c>
      <c r="BZ6" s="184" t="s">
        <v>2</v>
      </c>
      <c r="CA6" s="184" t="s">
        <v>2</v>
      </c>
      <c r="CB6" s="183" t="s">
        <v>11</v>
      </c>
      <c r="CC6" s="183" t="s">
        <v>11</v>
      </c>
      <c r="CD6" s="183" t="s">
        <v>11</v>
      </c>
      <c r="CE6" s="184" t="s">
        <v>2</v>
      </c>
      <c r="CF6" s="183" t="s">
        <v>11</v>
      </c>
      <c r="CG6" s="186" t="s">
        <v>115</v>
      </c>
      <c r="CH6" s="184" t="s">
        <v>2</v>
      </c>
      <c r="CI6" s="183" t="s">
        <v>11</v>
      </c>
      <c r="CJ6" s="183" t="s">
        <v>11</v>
      </c>
      <c r="CK6" s="183" t="s">
        <v>11</v>
      </c>
      <c r="CL6" s="183" t="s">
        <v>11</v>
      </c>
      <c r="CM6" s="183" t="s">
        <v>11</v>
      </c>
      <c r="CN6" s="184" t="s">
        <v>2</v>
      </c>
      <c r="CO6" s="184" t="s">
        <v>2</v>
      </c>
      <c r="CP6" s="183" t="s">
        <v>11</v>
      </c>
      <c r="CQ6" s="183" t="s">
        <v>11</v>
      </c>
      <c r="CR6" s="183" t="s">
        <v>11</v>
      </c>
      <c r="CS6" s="184" t="s">
        <v>2</v>
      </c>
      <c r="CT6" s="183" t="s">
        <v>11</v>
      </c>
      <c r="CU6" s="186" t="s">
        <v>115</v>
      </c>
      <c r="CV6" s="184" t="s">
        <v>2</v>
      </c>
      <c r="CW6" s="183" t="s">
        <v>11</v>
      </c>
      <c r="CX6" s="194" t="s">
        <v>155</v>
      </c>
      <c r="CY6" s="194" t="s">
        <v>155</v>
      </c>
      <c r="CZ6" s="194" t="s">
        <v>155</v>
      </c>
      <c r="DA6" s="183" t="s">
        <v>11</v>
      </c>
      <c r="DB6" s="184" t="s">
        <v>2</v>
      </c>
      <c r="DC6" s="184" t="s">
        <v>2</v>
      </c>
      <c r="DD6" s="183" t="s">
        <v>11</v>
      </c>
      <c r="DE6" s="183" t="s">
        <v>11</v>
      </c>
      <c r="DF6" s="183" t="s">
        <v>11</v>
      </c>
      <c r="DG6" s="184" t="s">
        <v>2</v>
      </c>
      <c r="DH6" s="183" t="s">
        <v>11</v>
      </c>
      <c r="DI6" s="186" t="s">
        <v>115</v>
      </c>
      <c r="DJ6" s="184" t="s">
        <v>2</v>
      </c>
      <c r="DK6" s="183" t="s">
        <v>11</v>
      </c>
      <c r="DL6" s="183" t="s">
        <v>11</v>
      </c>
      <c r="DM6" s="183" t="s">
        <v>11</v>
      </c>
      <c r="DN6" s="183" t="s">
        <v>11</v>
      </c>
      <c r="DO6" s="183" t="s">
        <v>11</v>
      </c>
      <c r="DP6" s="184" t="s">
        <v>2</v>
      </c>
      <c r="DQ6" s="184" t="s">
        <v>2</v>
      </c>
      <c r="DR6" s="183" t="s">
        <v>11</v>
      </c>
      <c r="DS6" s="183" t="s">
        <v>11</v>
      </c>
      <c r="DT6" s="183" t="s">
        <v>11</v>
      </c>
      <c r="DU6" s="183" t="s">
        <v>11</v>
      </c>
      <c r="DV6" s="183" t="s">
        <v>11</v>
      </c>
      <c r="DW6" s="184" t="s">
        <v>2</v>
      </c>
      <c r="DX6" s="184" t="s">
        <v>2</v>
      </c>
      <c r="DY6" s="183" t="s">
        <v>11</v>
      </c>
      <c r="DZ6" s="183" t="s">
        <v>11</v>
      </c>
      <c r="EA6" s="183" t="s">
        <v>11</v>
      </c>
      <c r="EB6" s="183" t="s">
        <v>11</v>
      </c>
      <c r="EC6" s="183" t="s">
        <v>11</v>
      </c>
      <c r="ED6" s="184" t="s">
        <v>2</v>
      </c>
      <c r="EE6" s="184" t="s">
        <v>2</v>
      </c>
      <c r="EF6" s="183" t="s">
        <v>11</v>
      </c>
      <c r="EG6" s="183" t="s">
        <v>11</v>
      </c>
      <c r="EH6" s="183" t="s">
        <v>11</v>
      </c>
      <c r="EI6" s="184" t="s">
        <v>2</v>
      </c>
      <c r="EJ6" s="183" t="s">
        <v>11</v>
      </c>
      <c r="EK6" s="186" t="s">
        <v>115</v>
      </c>
      <c r="EL6" s="184" t="s">
        <v>2</v>
      </c>
      <c r="EM6" s="183" t="s">
        <v>11</v>
      </c>
      <c r="EN6" s="183" t="s">
        <v>11</v>
      </c>
      <c r="EO6" s="183" t="s">
        <v>11</v>
      </c>
      <c r="EP6" s="183" t="s">
        <v>11</v>
      </c>
      <c r="EQ6" s="183" t="s">
        <v>11</v>
      </c>
      <c r="ER6" s="184" t="s">
        <v>2</v>
      </c>
      <c r="ES6" s="184" t="s">
        <v>2</v>
      </c>
      <c r="ET6" s="183" t="s">
        <v>11</v>
      </c>
      <c r="EU6" s="183" t="s">
        <v>11</v>
      </c>
      <c r="EV6" s="183" t="s">
        <v>11</v>
      </c>
      <c r="EW6" s="183" t="s">
        <v>11</v>
      </c>
      <c r="EX6" s="183" t="s">
        <v>11</v>
      </c>
      <c r="EY6" s="184" t="s">
        <v>2</v>
      </c>
      <c r="EZ6" s="184" t="s">
        <v>2</v>
      </c>
      <c r="FA6" s="190"/>
      <c r="FB6" s="190"/>
    </row>
    <row r="7" spans="1:158" ht="13">
      <c r="A7" s="195" t="s">
        <v>260</v>
      </c>
      <c r="DK7" s="183" t="s">
        <v>11</v>
      </c>
      <c r="DL7" s="183" t="s">
        <v>11</v>
      </c>
      <c r="DM7" s="183" t="s">
        <v>11</v>
      </c>
      <c r="DN7" s="183" t="s">
        <v>11</v>
      </c>
      <c r="DO7" s="183" t="s">
        <v>11</v>
      </c>
      <c r="DP7" s="184" t="s">
        <v>2</v>
      </c>
      <c r="DQ7" s="184" t="s">
        <v>2</v>
      </c>
      <c r="DR7" s="183" t="s">
        <v>11</v>
      </c>
      <c r="DS7" s="183" t="s">
        <v>11</v>
      </c>
      <c r="DT7" s="183" t="s">
        <v>11</v>
      </c>
      <c r="DU7" s="183" t="s">
        <v>135</v>
      </c>
      <c r="DV7" s="184" t="s">
        <v>2</v>
      </c>
      <c r="DW7" s="186" t="s">
        <v>115</v>
      </c>
      <c r="DX7" s="184" t="s">
        <v>2</v>
      </c>
      <c r="DY7" s="183" t="s">
        <v>135</v>
      </c>
      <c r="DZ7" s="183" t="s">
        <v>11</v>
      </c>
      <c r="EA7" s="183" t="s">
        <v>11</v>
      </c>
      <c r="EB7" s="183" t="s">
        <v>11</v>
      </c>
      <c r="EC7" s="183" t="s">
        <v>11</v>
      </c>
      <c r="ED7" s="184" t="s">
        <v>2</v>
      </c>
      <c r="EE7" s="184" t="s">
        <v>2</v>
      </c>
      <c r="EF7" s="183" t="s">
        <v>11</v>
      </c>
      <c r="EG7" s="183" t="s">
        <v>11</v>
      </c>
      <c r="EH7" s="183" t="s">
        <v>11</v>
      </c>
      <c r="EI7" s="183" t="s">
        <v>11</v>
      </c>
      <c r="EJ7" s="183" t="s">
        <v>11</v>
      </c>
      <c r="EK7" s="184" t="s">
        <v>2</v>
      </c>
      <c r="EL7" s="184" t="s">
        <v>2</v>
      </c>
      <c r="EM7" s="183" t="s">
        <v>11</v>
      </c>
      <c r="EN7" s="183" t="s">
        <v>11</v>
      </c>
      <c r="EO7" s="183" t="s">
        <v>11</v>
      </c>
      <c r="EP7" s="183" t="s">
        <v>11</v>
      </c>
      <c r="EQ7" s="183" t="s">
        <v>11</v>
      </c>
      <c r="ER7" s="184" t="s">
        <v>2</v>
      </c>
      <c r="ES7" s="184" t="s">
        <v>2</v>
      </c>
      <c r="ET7" s="183" t="s">
        <v>11</v>
      </c>
      <c r="EU7" s="183" t="s">
        <v>11</v>
      </c>
      <c r="EV7" s="183" t="s">
        <v>11</v>
      </c>
      <c r="EW7" s="183" t="s">
        <v>11</v>
      </c>
      <c r="EX7" s="183" t="s">
        <v>11</v>
      </c>
      <c r="EY7" s="184" t="s">
        <v>2</v>
      </c>
      <c r="EZ7" s="184" t="s">
        <v>2</v>
      </c>
    </row>
  </sheetData>
  <mergeCells count="8">
    <mergeCell ref="AL1:AR1"/>
    <mergeCell ref="AS1:AY1"/>
    <mergeCell ref="AZ1:BF1"/>
    <mergeCell ref="C1:I1"/>
    <mergeCell ref="J1:P1"/>
    <mergeCell ref="Q1:W1"/>
    <mergeCell ref="X1:AD1"/>
    <mergeCell ref="AE1:AK1"/>
  </mergeCells>
  <conditionalFormatting sqref="CZ3 DH3 DK3:DO3 CI4:CW4">
    <cfRule type="containsText" dxfId="22" priority="1" operator="containsText" text="OFF">
      <formula>NOT(ISERROR(SEARCH(("OFF"),(CZ3))))</formula>
    </cfRule>
    <cfRule type="containsText" dxfId="21" priority="2" operator="containsText" text="06:00 - 15:00">
      <formula>NOT(ISERROR(SEARCH(("06:00 - 15:00"),(CZ3))))</formula>
    </cfRule>
    <cfRule type="containsText" dxfId="20" priority="3" operator="containsText" text="04:00 - 13:00">
      <formula>NOT(ISERROR(SEARCH(("04:00 - 13:00"),(CZ3))))</formula>
    </cfRule>
    <cfRule type="containsText" dxfId="19" priority="4" operator="containsText" text="14:00 - 23:00">
      <formula>NOT(ISERROR(SEARCH(("14:00 - 23:00"),(CZ3))))</formula>
    </cfRule>
    <cfRule type="containsText" dxfId="18" priority="5" operator="containsText" text="07:00 - 16:00">
      <formula>NOT(ISERROR(SEARCH(("07:00 - 16:00"),(CZ3))))</formula>
    </cfRule>
    <cfRule type="containsText" dxfId="17" priority="6" operator="containsText" text="08:00 - 17:00">
      <formula>NOT(ISERROR(SEARCH(("08:00 - 17:00"),(CZ3))))</formula>
    </cfRule>
    <cfRule type="containsText" dxfId="16" priority="7" operator="containsText" text="09:00 - 18:00">
      <formula>NOT(ISERROR(SEARCH(("09:00 - 18:00"),(CZ3))))</formula>
    </cfRule>
    <cfRule type="containsText" dxfId="15" priority="8" operator="containsText" text="10:00 - 19:00">
      <formula>NOT(ISERROR(SEARCH(("10:00 - 19:00"),(CZ3))))</formula>
    </cfRule>
    <cfRule type="containsText" dxfId="14" priority="9" operator="containsText" text="12H-21H /SCO">
      <formula>NOT(ISERROR(SEARCH(("12H-21H /SCO"),(CZ3))))</formula>
    </cfRule>
    <cfRule type="containsText" dxfId="13" priority="10" operator="containsText" text="12:00 - 21:00">
      <formula>NOT(ISERROR(SEARCH(("12:00 - 21:00"),(CZ3))))</formula>
    </cfRule>
    <cfRule type="containsText" dxfId="12" priority="11" operator="containsText" text="Congé">
      <formula>NOT(ISERROR(SEARCH(("Congé"),(CZ3))))</formula>
    </cfRule>
  </conditionalFormatting>
  <hyperlinks>
    <hyperlink ref="A3" r:id="rId1" xr:uid="{00000000-0004-0000-0400-000000000000}"/>
    <hyperlink ref="A4" r:id="rId2" xr:uid="{00000000-0004-0000-0400-000001000000}"/>
    <hyperlink ref="A5" r:id="rId3" xr:uid="{00000000-0004-0000-0400-000002000000}"/>
    <hyperlink ref="A6" r:id="rId4" xr:uid="{00000000-0004-0000-0400-000003000000}"/>
  </hyperlinks>
  <pageMargins left="0.7" right="0.7" top="0.75" bottom="0.75" header="0.3" footer="0.3"/>
  <legacyDrawing r:id="rId5"/>
  <tableParts count="2"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  <outlinePr summaryBelow="0" summaryRight="0"/>
    <pageSetUpPr fitToPage="1"/>
  </sheetPr>
  <dimension ref="A1:NA46"/>
  <sheetViews>
    <sheetView showGridLines="0" workbookViewId="0">
      <pane xSplit="15" ySplit="2" topLeftCell="LW9" activePane="bottomRight" state="frozen"/>
      <selection pane="topRight" activeCell="C1" sqref="C1"/>
      <selection pane="bottomLeft" activeCell="A3" sqref="A3"/>
      <selection pane="bottomRight" activeCell="L15" sqref="L15"/>
    </sheetView>
  </sheetViews>
  <sheetFormatPr baseColWidth="10" defaultColWidth="12.6328125" defaultRowHeight="15.75" customHeight="1" outlineLevelCol="1"/>
  <cols>
    <col min="1" max="2" width="4" style="506" hidden="1" customWidth="1"/>
    <col min="3" max="5" width="4" style="506" bestFit="1" customWidth="1"/>
    <col min="6" max="14" width="4" style="506" customWidth="1"/>
    <col min="15" max="15" width="24.453125" style="506" bestFit="1" customWidth="1" collapsed="1"/>
    <col min="16" max="17" width="13.26953125" style="506" hidden="1" customWidth="1" outlineLevel="1"/>
    <col min="18" max="18" width="14.08984375" style="506" hidden="1" customWidth="1" outlineLevel="1"/>
    <col min="19" max="19" width="13.26953125" style="506" hidden="1" customWidth="1" outlineLevel="1"/>
    <col min="20" max="20" width="14" style="506" hidden="1" customWidth="1" outlineLevel="1"/>
    <col min="21" max="21" width="13.26953125" style="506" hidden="1" customWidth="1" outlineLevel="1"/>
    <col min="22" max="23" width="14.90625" style="506" hidden="1" customWidth="1" outlineLevel="1"/>
    <col min="24" max="24" width="15.453125" style="506" hidden="1" customWidth="1" outlineLevel="1"/>
    <col min="25" max="25" width="17.90625" style="506" hidden="1" customWidth="1" outlineLevel="1"/>
    <col min="26" max="26" width="14.90625" style="506" hidden="1" customWidth="1" outlineLevel="1"/>
    <col min="27" max="27" width="17.7265625" style="506" hidden="1" customWidth="1" outlineLevel="1"/>
    <col min="28" max="28" width="16.7265625" style="506" hidden="1" customWidth="1" outlineLevel="1"/>
    <col min="29" max="29" width="18.6328125" style="506" hidden="1" customWidth="1" outlineLevel="1"/>
    <col min="30" max="30" width="14.90625" style="506" hidden="1" customWidth="1" outlineLevel="1"/>
    <col min="31" max="31" width="15.453125" style="506" hidden="1" customWidth="1" outlineLevel="1"/>
    <col min="32" max="32" width="18.90625" style="506" hidden="1" customWidth="1" outlineLevel="1"/>
    <col min="33" max="33" width="15.90625" style="506" hidden="1" customWidth="1" outlineLevel="1"/>
    <col min="34" max="34" width="18.6328125" style="506" hidden="1" customWidth="1" outlineLevel="1"/>
    <col min="35" max="35" width="17.6328125" style="506" hidden="1" customWidth="1" outlineLevel="1"/>
    <col min="36" max="36" width="19.453125" style="506" hidden="1" customWidth="1" outlineLevel="1"/>
    <col min="37" max="37" width="15.90625" style="506" hidden="1" customWidth="1" outlineLevel="1"/>
    <col min="38" max="38" width="16.453125" style="506" hidden="1" customWidth="1" outlineLevel="1"/>
    <col min="39" max="39" width="18.90625" style="506" hidden="1" customWidth="1" outlineLevel="1"/>
    <col min="40" max="40" width="15.90625" style="506" hidden="1" customWidth="1" outlineLevel="1"/>
    <col min="41" max="41" width="18.6328125" style="506" hidden="1" customWidth="1" outlineLevel="1"/>
    <col min="42" max="42" width="17.6328125" style="506" hidden="1" customWidth="1" outlineLevel="1"/>
    <col min="43" max="43" width="19.453125" style="506" hidden="1" customWidth="1" outlineLevel="1"/>
    <col min="44" max="44" width="15.90625" style="506" hidden="1" customWidth="1" outlineLevel="1"/>
    <col min="45" max="45" width="16.453125" style="506" hidden="1" customWidth="1" outlineLevel="1"/>
    <col min="46" max="46" width="18.90625" style="506" hidden="1" customWidth="1" outlineLevel="1"/>
    <col min="47" max="47" width="15.90625" style="506" hidden="1" customWidth="1" outlineLevel="1"/>
    <col min="48" max="48" width="18.6328125" style="506" hidden="1" customWidth="1" outlineLevel="1"/>
    <col min="49" max="49" width="17.6328125" style="506" hidden="1" customWidth="1" outlineLevel="1"/>
    <col min="50" max="50" width="19.453125" style="506" hidden="1" customWidth="1" outlineLevel="1"/>
    <col min="51" max="51" width="15.90625" style="506" hidden="1" customWidth="1" outlineLevel="1"/>
    <col min="52" max="52" width="16.453125" style="506" hidden="1" customWidth="1" outlineLevel="1"/>
    <col min="53" max="53" width="15.6328125" style="506" hidden="1" customWidth="1" outlineLevel="1"/>
    <col min="54" max="54" width="13.36328125" style="506" hidden="1" customWidth="1" outlineLevel="1"/>
    <col min="55" max="55" width="15.36328125" style="506" hidden="1" customWidth="1" outlineLevel="1"/>
    <col min="56" max="56" width="14.36328125" style="506" hidden="1" customWidth="1" outlineLevel="1"/>
    <col min="57" max="57" width="16.26953125" style="506" hidden="1" customWidth="1" outlineLevel="1"/>
    <col min="58" max="59" width="13.36328125" style="506" hidden="1" customWidth="1" outlineLevel="1"/>
    <col min="60" max="60" width="15.6328125" style="506" hidden="1" customWidth="1" outlineLevel="1"/>
    <col min="61" max="61" width="13.36328125" style="506" hidden="1" customWidth="1" outlineLevel="1"/>
    <col min="62" max="62" width="16.36328125" style="506" hidden="1" customWidth="1" outlineLevel="1"/>
    <col min="63" max="63" width="15.36328125" style="506" hidden="1" customWidth="1" outlineLevel="1"/>
    <col min="64" max="64" width="17.26953125" style="506" hidden="1" customWidth="1" outlineLevel="1"/>
    <col min="65" max="65" width="13.6328125" style="506" hidden="1" customWidth="1" outlineLevel="1"/>
    <col min="66" max="66" width="14.08984375" style="506" hidden="1" customWidth="1" outlineLevel="1"/>
    <col min="67" max="67" width="16.453125" style="506" hidden="1" customWidth="1" outlineLevel="1"/>
    <col min="68" max="68" width="13.453125" style="506" hidden="1" customWidth="1" outlineLevel="1"/>
    <col min="69" max="69" width="16.36328125" style="506" hidden="1" customWidth="1" outlineLevel="1"/>
    <col min="70" max="70" width="15.36328125" style="506" hidden="1" customWidth="1" outlineLevel="1"/>
    <col min="71" max="71" width="17.26953125" style="506" hidden="1" customWidth="1" outlineLevel="1"/>
    <col min="72" max="72" width="13.6328125" style="506" hidden="1" customWidth="1" outlineLevel="1"/>
    <col min="73" max="73" width="14.08984375" style="506" hidden="1" customWidth="1" outlineLevel="1"/>
    <col min="74" max="74" width="16.453125" style="506" hidden="1" customWidth="1" outlineLevel="1"/>
    <col min="75" max="75" width="13.453125" style="506" hidden="1" customWidth="1" outlineLevel="1"/>
    <col min="76" max="76" width="16.36328125" style="506" hidden="1" customWidth="1" outlineLevel="1"/>
    <col min="77" max="77" width="15.36328125" style="506" hidden="1" customWidth="1" outlineLevel="1"/>
    <col min="78" max="78" width="17.26953125" style="506" hidden="1" customWidth="1" outlineLevel="1"/>
    <col min="79" max="79" width="13.90625" style="506" hidden="1" customWidth="1" outlineLevel="1"/>
    <col min="80" max="80" width="14.08984375" style="506" hidden="1" customWidth="1" outlineLevel="1"/>
    <col min="81" max="81" width="16.453125" style="506" hidden="1" customWidth="1" outlineLevel="1"/>
    <col min="82" max="82" width="13.90625" style="506" hidden="1" customWidth="1" outlineLevel="1"/>
    <col min="83" max="83" width="16.36328125" style="506" hidden="1" customWidth="1" outlineLevel="1"/>
    <col min="84" max="84" width="16.08984375" style="506" hidden="1" customWidth="1" outlineLevel="1"/>
    <col min="85" max="85" width="18" style="506" hidden="1" customWidth="1" outlineLevel="1"/>
    <col min="86" max="86" width="14.36328125" style="506" hidden="1" customWidth="1" outlineLevel="1"/>
    <col min="87" max="87" width="15" style="506" hidden="1" customWidth="1" outlineLevel="1"/>
    <col min="88" max="88" width="17.36328125" style="506" hidden="1" customWidth="1" outlineLevel="1"/>
    <col min="89" max="89" width="14.36328125" style="506" hidden="1" customWidth="1" outlineLevel="1"/>
    <col min="90" max="90" width="17.08984375" style="506" hidden="1" customWidth="1" outlineLevel="1"/>
    <col min="91" max="91" width="16.08984375" style="506" hidden="1" customWidth="1" outlineLevel="1"/>
    <col min="92" max="92" width="18" style="506" hidden="1" customWidth="1" outlineLevel="1"/>
    <col min="93" max="93" width="15.36328125" style="506" hidden="1" customWidth="1" outlineLevel="1"/>
    <col min="94" max="94" width="15.90625" style="506" hidden="1" customWidth="1" outlineLevel="1"/>
    <col min="95" max="95" width="18.26953125" style="506" hidden="1" customWidth="1" outlineLevel="1"/>
    <col min="96" max="96" width="15.26953125" style="506" hidden="1" customWidth="1" outlineLevel="1"/>
    <col min="97" max="97" width="18.08984375" style="506" hidden="1" customWidth="1" outlineLevel="1"/>
    <col min="98" max="98" width="17.08984375" style="506" hidden="1" customWidth="1" outlineLevel="1"/>
    <col min="99" max="99" width="19" style="506" hidden="1" customWidth="1" outlineLevel="1"/>
    <col min="100" max="100" width="15.26953125" style="506" hidden="1" customWidth="1" outlineLevel="1"/>
    <col min="101" max="101" width="15.90625" style="506" hidden="1" customWidth="1" outlineLevel="1"/>
    <col min="102" max="102" width="18.26953125" style="506" hidden="1" customWidth="1" outlineLevel="1"/>
    <col min="103" max="103" width="15.26953125" style="506" hidden="1" customWidth="1" outlineLevel="1"/>
    <col min="104" max="104" width="18.08984375" style="506" hidden="1" customWidth="1" outlineLevel="1"/>
    <col min="105" max="105" width="17.08984375" style="506" hidden="1" customWidth="1" outlineLevel="1"/>
    <col min="106" max="106" width="19" style="506" hidden="1" customWidth="1" outlineLevel="1"/>
    <col min="107" max="107" width="15.26953125" style="506" hidden="1" customWidth="1" outlineLevel="1"/>
    <col min="108" max="108" width="15.90625" style="506" hidden="1" customWidth="1" outlineLevel="1"/>
    <col min="109" max="109" width="18.26953125" style="506" hidden="1" customWidth="1" outlineLevel="1"/>
    <col min="110" max="110" width="15.26953125" style="506" hidden="1" customWidth="1" outlineLevel="1"/>
    <col min="111" max="111" width="18.08984375" style="506" hidden="1" customWidth="1" outlineLevel="1"/>
    <col min="112" max="112" width="17.08984375" style="506" hidden="1" customWidth="1" outlineLevel="1"/>
    <col min="113" max="113" width="19" style="506" hidden="1" customWidth="1" outlineLevel="1"/>
    <col min="114" max="114" width="14.90625" style="506" hidden="1" customWidth="1" outlineLevel="1"/>
    <col min="115" max="115" width="15" style="506" hidden="1" customWidth="1" outlineLevel="1"/>
    <col min="116" max="116" width="17.36328125" style="506" hidden="1" customWidth="1" outlineLevel="1"/>
    <col min="117" max="117" width="14.36328125" style="506" hidden="1" customWidth="1" outlineLevel="1"/>
    <col min="118" max="118" width="17.08984375" style="506" hidden="1" customWidth="1" outlineLevel="1"/>
    <col min="119" max="119" width="16.08984375" style="506" hidden="1" customWidth="1" outlineLevel="1"/>
    <col min="120" max="120" width="18" style="506" hidden="1" customWidth="1" outlineLevel="1"/>
    <col min="121" max="121" width="14.90625" style="506" hidden="1" customWidth="1" outlineLevel="1"/>
    <col min="122" max="122" width="15" style="506" hidden="1" customWidth="1" outlineLevel="1"/>
    <col min="123" max="123" width="18.36328125" style="506" hidden="1" customWidth="1" outlineLevel="1"/>
    <col min="124" max="124" width="15.26953125" style="506" hidden="1" customWidth="1" outlineLevel="1"/>
    <col min="125" max="125" width="18.08984375" style="506" hidden="1" customWidth="1" outlineLevel="1"/>
    <col min="126" max="126" width="17.08984375" style="506" hidden="1" customWidth="1" outlineLevel="1"/>
    <col min="127" max="127" width="19" style="506" hidden="1" customWidth="1" outlineLevel="1"/>
    <col min="128" max="128" width="15.36328125" style="506" hidden="1" customWidth="1" outlineLevel="1"/>
    <col min="129" max="129" width="16" style="506" hidden="1" customWidth="1" outlineLevel="1"/>
    <col min="130" max="130" width="18.36328125" style="506" hidden="1" customWidth="1" outlineLevel="1"/>
    <col min="131" max="131" width="15.26953125" style="506" hidden="1" customWidth="1" outlineLevel="1"/>
    <col min="132" max="132" width="18.08984375" style="506" hidden="1" customWidth="1" outlineLevel="1"/>
    <col min="133" max="133" width="17.08984375" style="506" hidden="1" customWidth="1" outlineLevel="1"/>
    <col min="134" max="134" width="19" style="506" hidden="1" customWidth="1" outlineLevel="1"/>
    <col min="135" max="135" width="15.36328125" style="506" hidden="1" customWidth="1" outlineLevel="1"/>
    <col min="136" max="136" width="16" style="506" hidden="1" customWidth="1" outlineLevel="1"/>
    <col min="137" max="137" width="18.36328125" style="506" hidden="1" customWidth="1" outlineLevel="1"/>
    <col min="138" max="138" width="16" style="506" hidden="1" customWidth="1" outlineLevel="1"/>
    <col min="139" max="139" width="18.08984375" style="506" hidden="1" customWidth="1" outlineLevel="1"/>
    <col min="140" max="140" width="17.08984375" style="506" hidden="1" customWidth="1" outlineLevel="1"/>
    <col min="141" max="141" width="19" style="506" hidden="1" customWidth="1" outlineLevel="1"/>
    <col min="142" max="142" width="15.36328125" style="506" hidden="1" customWidth="1" outlineLevel="1"/>
    <col min="143" max="143" width="16" style="506" hidden="1" customWidth="1" outlineLevel="1"/>
    <col min="144" max="144" width="18.36328125" style="506" hidden="1" customWidth="1" outlineLevel="1"/>
    <col min="145" max="145" width="14.36328125" style="506" hidden="1" customWidth="1" outlineLevel="1"/>
    <col min="146" max="146" width="14.90625" style="506" hidden="1" customWidth="1" outlineLevel="1"/>
    <col min="147" max="147" width="13.7265625" style="506" hidden="1" customWidth="1" outlineLevel="1"/>
    <col min="148" max="148" width="15.6328125" style="506" hidden="1" customWidth="1" outlineLevel="1"/>
    <col min="149" max="150" width="13.36328125" style="506" hidden="1" customWidth="1" outlineLevel="1"/>
    <col min="151" max="151" width="14.90625" style="506" hidden="1" customWidth="1" outlineLevel="1"/>
    <col min="152" max="152" width="13.36328125" style="506" hidden="1" customWidth="1" outlineLevel="1"/>
    <col min="153" max="153" width="16.08984375" style="506" hidden="1" customWidth="1" outlineLevel="1"/>
    <col min="154" max="154" width="14.6328125" style="506" hidden="1" customWidth="1" outlineLevel="1"/>
    <col min="155" max="155" width="16.453125" style="506" hidden="1" customWidth="1" outlineLevel="1"/>
    <col min="156" max="156" width="12.90625" style="506" hidden="1" customWidth="1" outlineLevel="1"/>
    <col min="157" max="157" width="13.453125" style="506" hidden="1" customWidth="1" outlineLevel="1"/>
    <col min="158" max="158" width="15.90625" style="506" hidden="1" customWidth="1" outlineLevel="1"/>
    <col min="159" max="159" width="14.90625" style="506" hidden="1" customWidth="1" outlineLevel="1"/>
    <col min="160" max="160" width="15.6328125" style="506" hidden="1" customWidth="1" outlineLevel="1"/>
    <col min="161" max="161" width="14.6328125" style="506" hidden="1" customWidth="1" outlineLevel="1"/>
    <col min="162" max="162" width="16.453125" style="506" hidden="1" customWidth="1" outlineLevel="1"/>
    <col min="163" max="164" width="14.90625" style="506" hidden="1" customWidth="1" outlineLevel="1"/>
    <col min="165" max="165" width="15.90625" style="506" hidden="1" customWidth="1" outlineLevel="1"/>
    <col min="166" max="166" width="14.90625" style="506" hidden="1" customWidth="1" outlineLevel="1"/>
    <col min="167" max="167" width="15.6328125" style="506" hidden="1" customWidth="1" outlineLevel="1"/>
    <col min="168" max="168" width="14.6328125" style="506" hidden="1" customWidth="1" outlineLevel="1"/>
    <col min="169" max="169" width="16.453125" style="506" hidden="1" customWidth="1" outlineLevel="1"/>
    <col min="170" max="170" width="13.36328125" style="506" hidden="1" customWidth="1" outlineLevel="1"/>
    <col min="171" max="171" width="14.90625" style="506" hidden="1" customWidth="1" outlineLevel="1"/>
    <col min="172" max="172" width="15.90625" style="506" hidden="1" customWidth="1" outlineLevel="1"/>
    <col min="173" max="173" width="14.90625" style="506" hidden="1" customWidth="1" outlineLevel="1"/>
    <col min="174" max="174" width="15.6328125" style="506" hidden="1" customWidth="1" outlineLevel="1"/>
    <col min="175" max="175" width="14.6328125" style="506" hidden="1" customWidth="1" outlineLevel="1"/>
    <col min="176" max="176" width="15.36328125" style="506" hidden="1" customWidth="1" outlineLevel="1"/>
    <col min="177" max="180" width="14.90625" style="506" hidden="1" customWidth="1" outlineLevel="1"/>
    <col min="181" max="181" width="14.453125" style="506" hidden="1" customWidth="1" outlineLevel="1"/>
    <col min="182" max="182" width="14.90625" style="506" hidden="1" customWidth="1" outlineLevel="1"/>
    <col min="183" max="183" width="15.36328125" style="506" hidden="1" customWidth="1" outlineLevel="1"/>
    <col min="184" max="185" width="14.90625" style="506" hidden="1" customWidth="1" outlineLevel="1"/>
    <col min="186" max="186" width="15.7265625" style="506" hidden="1" customWidth="1" outlineLevel="1"/>
    <col min="187" max="187" width="14.90625" style="506" hidden="1" customWidth="1" outlineLevel="1"/>
    <col min="188" max="188" width="15.453125" style="506" hidden="1" customWidth="1" outlineLevel="1"/>
    <col min="189" max="189" width="14.453125" style="506" hidden="1" customWidth="1" outlineLevel="1"/>
    <col min="190" max="190" width="16.36328125" style="506" hidden="1" customWidth="1" outlineLevel="1"/>
    <col min="191" max="191" width="15.7265625" style="506" hidden="1" customWidth="1" outlineLevel="1"/>
    <col min="192" max="192" width="16.36328125" style="506" hidden="1" customWidth="1" outlineLevel="1"/>
    <col min="193" max="195" width="16.26953125" style="506" hidden="1" customWidth="1" outlineLevel="1"/>
    <col min="196" max="196" width="15.7265625" style="506" hidden="1" customWidth="1" outlineLevel="1"/>
    <col min="197" max="197" width="20.26953125" style="506" hidden="1" customWidth="1" outlineLevel="1"/>
    <col min="198" max="202" width="16.26953125" style="506" hidden="1" customWidth="1" outlineLevel="1"/>
    <col min="203" max="203" width="15.7265625" style="506" hidden="1" customWidth="1" outlineLevel="1"/>
    <col min="204" max="204" width="20.26953125" style="506" hidden="1" customWidth="1" outlineLevel="1"/>
    <col min="205" max="205" width="16.26953125" style="506" hidden="1" customWidth="1" outlineLevel="1"/>
    <col min="206" max="206" width="17.26953125" style="506" hidden="1" customWidth="1" outlineLevel="1"/>
    <col min="207" max="209" width="16.26953125" style="506" hidden="1" customWidth="1" outlineLevel="1"/>
    <col min="210" max="210" width="15.7265625" style="506" hidden="1" customWidth="1" outlineLevel="1"/>
    <col min="211" max="211" width="20.26953125" style="506" hidden="1" customWidth="1" outlineLevel="1"/>
    <col min="212" max="212" width="17.6328125" style="506" hidden="1" customWidth="1" outlineLevel="1"/>
    <col min="213" max="213" width="17.36328125" style="506" hidden="1" customWidth="1" outlineLevel="1"/>
    <col min="214" max="214" width="18.08984375" style="506" hidden="1" customWidth="1" outlineLevel="1"/>
    <col min="215" max="215" width="17.36328125" style="506" hidden="1" customWidth="1" outlineLevel="1"/>
    <col min="216" max="216" width="20" style="506" hidden="1" customWidth="1" outlineLevel="1"/>
    <col min="217" max="217" width="15.7265625" style="506" hidden="1" customWidth="1" outlineLevel="1"/>
    <col min="218" max="218" width="19.7265625" style="506" hidden="1" customWidth="1" outlineLevel="1"/>
    <col min="219" max="219" width="17.36328125" style="506" hidden="1" customWidth="1" outlineLevel="1"/>
    <col min="220" max="220" width="16.7265625" style="506" hidden="1" customWidth="1" outlineLevel="1"/>
    <col min="221" max="221" width="15.7265625" style="506" hidden="1" customWidth="1" outlineLevel="1"/>
    <col min="222" max="222" width="15.90625" style="506" hidden="1" customWidth="1" outlineLevel="1"/>
    <col min="223" max="224" width="15.7265625" style="506" hidden="1" customWidth="1" outlineLevel="1"/>
    <col min="225" max="225" width="19.453125" style="506" hidden="1" customWidth="1" outlineLevel="1"/>
    <col min="226" max="226" width="17.36328125" style="506" hidden="1" customWidth="1" outlineLevel="1"/>
    <col min="227" max="227" width="15.7265625" style="506" hidden="1" customWidth="1" outlineLevel="1"/>
    <col min="228" max="228" width="17.08984375" style="506" hidden="1" customWidth="1" outlineLevel="1"/>
    <col min="229" max="229" width="13.453125" style="506" hidden="1" customWidth="1" outlineLevel="1"/>
    <col min="230" max="230" width="15.7265625" style="506" hidden="1" customWidth="1" outlineLevel="1"/>
    <col min="231" max="231" width="13.453125" style="506" hidden="1" customWidth="1" outlineLevel="1"/>
    <col min="232" max="232" width="15.36328125" style="506" hidden="1" customWidth="1" outlineLevel="1"/>
    <col min="233" max="234" width="15.7265625" style="506" hidden="1" customWidth="1" outlineLevel="1"/>
    <col min="235" max="236" width="17.36328125" style="506" hidden="1" customWidth="1" outlineLevel="1"/>
    <col min="237" max="237" width="15.7265625" style="506" hidden="1" customWidth="1" outlineLevel="1"/>
    <col min="238" max="240" width="17.36328125" style="506" hidden="1" customWidth="1" outlineLevel="1"/>
    <col min="241" max="242" width="17.08984375" style="506" hidden="1" customWidth="1" outlineLevel="1"/>
    <col min="243" max="243" width="17.36328125" style="506" hidden="1" customWidth="1" outlineLevel="1"/>
    <col min="244" max="245" width="15.7265625" style="506" hidden="1" customWidth="1" outlineLevel="1"/>
    <col min="246" max="246" width="14.90625" style="506" hidden="1" customWidth="1" outlineLevel="1"/>
    <col min="247" max="252" width="18.36328125" style="506" bestFit="1" customWidth="1"/>
    <col min="253" max="253" width="15.54296875" style="506" bestFit="1" customWidth="1"/>
    <col min="254" max="254" width="14.1796875" style="506" bestFit="1" customWidth="1"/>
    <col min="255" max="255" width="18.36328125" style="506" bestFit="1" customWidth="1"/>
    <col min="256" max="256" width="14.81640625" style="506" bestFit="1" customWidth="1"/>
    <col min="257" max="257" width="16.81640625" style="506" bestFit="1" customWidth="1"/>
    <col min="258" max="258" width="18.36328125" style="506" bestFit="1" customWidth="1"/>
    <col min="259" max="259" width="18.1796875" style="506" bestFit="1" customWidth="1"/>
    <col min="260" max="260" width="15.54296875" style="506" bestFit="1" customWidth="1"/>
    <col min="261" max="261" width="19.26953125" style="506" bestFit="1" customWidth="1"/>
    <col min="262" max="262" width="19.453125" style="506" bestFit="1" customWidth="1"/>
    <col min="263" max="263" width="19.54296875" style="506" bestFit="1" customWidth="1"/>
    <col min="264" max="264" width="19.26953125" style="506" bestFit="1" customWidth="1"/>
    <col min="265" max="265" width="13.1796875" style="506" bestFit="1" customWidth="1"/>
    <col min="266" max="268" width="16.81640625" style="506" bestFit="1" customWidth="1"/>
    <col min="269" max="269" width="14.1796875" style="506" bestFit="1" customWidth="1"/>
    <col min="270" max="272" width="18.36328125" style="506" bestFit="1" customWidth="1"/>
    <col min="273" max="273" width="14.1796875" style="506" bestFit="1" customWidth="1"/>
    <col min="274" max="274" width="15.08984375" style="506" bestFit="1" customWidth="1"/>
    <col min="275" max="275" width="18.36328125" style="506" bestFit="1" customWidth="1"/>
    <col min="276" max="276" width="18.1796875" style="506" bestFit="1" customWidth="1"/>
    <col min="277" max="277" width="14.36328125" style="506" bestFit="1" customWidth="1"/>
    <col min="278" max="280" width="14.1796875" style="506" bestFit="1" customWidth="1"/>
    <col min="281" max="281" width="15.08984375" style="506" bestFit="1" customWidth="1"/>
    <col min="282" max="282" width="16.81640625" style="506" bestFit="1" customWidth="1"/>
    <col min="283" max="283" width="14.1796875" style="506" bestFit="1" customWidth="1"/>
    <col min="284" max="284" width="18.36328125" style="506" bestFit="1" customWidth="1"/>
    <col min="285" max="287" width="14.1796875" style="506" bestFit="1" customWidth="1"/>
    <col min="288" max="288" width="15.08984375" style="506" bestFit="1" customWidth="1"/>
    <col min="289" max="290" width="14.1796875" style="506" bestFit="1" customWidth="1"/>
    <col min="291" max="291" width="14.36328125" style="506" bestFit="1" customWidth="1"/>
    <col min="292" max="294" width="14.1796875" style="506" bestFit="1" customWidth="1"/>
    <col min="295" max="295" width="15.08984375" style="506" bestFit="1" customWidth="1"/>
    <col min="296" max="301" width="14.1796875" style="506" bestFit="1" customWidth="1"/>
    <col min="302" max="302" width="14.453125" style="506" bestFit="1" customWidth="1"/>
    <col min="303" max="304" width="14.1796875" style="506" bestFit="1" customWidth="1"/>
    <col min="305" max="305" width="14.26953125" style="506" bestFit="1" customWidth="1"/>
    <col min="306" max="308" width="14.1796875" style="506" bestFit="1" customWidth="1"/>
    <col min="309" max="309" width="15" style="506" bestFit="1" customWidth="1"/>
    <col min="310" max="311" width="14.1796875" style="506" bestFit="1" customWidth="1"/>
    <col min="312" max="312" width="14.26953125" style="506" bestFit="1" customWidth="1"/>
    <col min="313" max="315" width="14.1796875" style="506" bestFit="1" customWidth="1"/>
    <col min="316" max="316" width="15" style="506" bestFit="1" customWidth="1"/>
    <col min="317" max="318" width="14.1796875" style="506" bestFit="1" customWidth="1"/>
    <col min="319" max="319" width="14.26953125" style="506" bestFit="1" customWidth="1"/>
    <col min="320" max="322" width="14.1796875" style="506" bestFit="1" customWidth="1"/>
    <col min="323" max="323" width="15" style="506" bestFit="1" customWidth="1"/>
    <col min="324" max="325" width="14.1796875" style="506" bestFit="1" customWidth="1"/>
    <col min="326" max="326" width="14.81640625" style="506" bestFit="1" customWidth="1"/>
    <col min="327" max="327" width="14.1796875" style="506" bestFit="1" customWidth="1"/>
    <col min="328" max="328" width="14.6328125" style="506" bestFit="1" customWidth="1"/>
    <col min="329" max="329" width="14.1796875" style="506" bestFit="1" customWidth="1"/>
    <col min="330" max="330" width="15.54296875" style="506" bestFit="1" customWidth="1"/>
    <col min="331" max="332" width="14.1796875" style="506" bestFit="1" customWidth="1"/>
    <col min="333" max="333" width="14.81640625" style="506" bestFit="1" customWidth="1"/>
    <col min="334" max="334" width="14.1796875" style="506" bestFit="1" customWidth="1"/>
    <col min="335" max="335" width="15.6328125" style="506" bestFit="1" customWidth="1"/>
    <col min="336" max="336" width="14.54296875" style="506" bestFit="1" customWidth="1"/>
    <col min="337" max="337" width="16.6328125" style="506" bestFit="1" customWidth="1"/>
    <col min="338" max="339" width="14.1796875" style="506" bestFit="1" customWidth="1"/>
    <col min="340" max="340" width="15.90625" style="506" bestFit="1" customWidth="1"/>
    <col min="341" max="341" width="14.1796875" style="506" bestFit="1" customWidth="1"/>
    <col min="342" max="342" width="15.6328125" style="506" bestFit="1" customWidth="1"/>
    <col min="343" max="343" width="14.54296875" style="506" bestFit="1" customWidth="1"/>
    <col min="344" max="344" width="16.6328125" style="506" bestFit="1" customWidth="1"/>
    <col min="345" max="345" width="12.54296875" style="506" bestFit="1" customWidth="1"/>
    <col min="346" max="346" width="13.26953125" style="506" bestFit="1" customWidth="1"/>
    <col min="347" max="347" width="15.90625" style="506" bestFit="1" customWidth="1"/>
    <col min="348" max="348" width="12.54296875" style="506" bestFit="1" customWidth="1"/>
    <col min="349" max="349" width="15.6328125" style="506" bestFit="1" customWidth="1"/>
    <col min="350" max="350" width="14.54296875" style="506" bestFit="1" customWidth="1"/>
    <col min="351" max="351" width="16.6328125" style="506" bestFit="1" customWidth="1"/>
    <col min="352" max="352" width="12.54296875" style="506" bestFit="1" customWidth="1"/>
    <col min="353" max="353" width="13.26953125" style="506" bestFit="1" customWidth="1"/>
    <col min="354" max="354" width="15.90625" style="506" bestFit="1" customWidth="1"/>
    <col min="355" max="355" width="12.54296875" style="506" bestFit="1" customWidth="1"/>
    <col min="356" max="356" width="15.6328125" style="506" bestFit="1" customWidth="1"/>
    <col min="357" max="357" width="12.7265625" style="506" bestFit="1" customWidth="1"/>
    <col min="358" max="358" width="14.7265625" style="506" bestFit="1" customWidth="1"/>
    <col min="359" max="16384" width="12.6328125" style="506"/>
  </cols>
  <sheetData>
    <row r="1" spans="1:358" ht="13">
      <c r="O1" s="579"/>
      <c r="P1" s="560" t="s">
        <v>68</v>
      </c>
      <c r="Q1" s="594"/>
      <c r="R1" s="594"/>
      <c r="S1" s="594"/>
      <c r="T1" s="594"/>
      <c r="U1" s="594"/>
      <c r="V1" s="605"/>
      <c r="W1" s="561" t="s">
        <v>69</v>
      </c>
      <c r="X1" s="594"/>
      <c r="Y1" s="594"/>
      <c r="Z1" s="594"/>
      <c r="AA1" s="594"/>
      <c r="AB1" s="594"/>
      <c r="AC1" s="605"/>
      <c r="AD1" s="560" t="s">
        <v>70</v>
      </c>
      <c r="AE1" s="594"/>
      <c r="AF1" s="594"/>
      <c r="AG1" s="594"/>
      <c r="AH1" s="594"/>
      <c r="AI1" s="594"/>
      <c r="AJ1" s="605"/>
      <c r="AK1" s="561" t="s">
        <v>71</v>
      </c>
      <c r="AL1" s="594"/>
      <c r="AM1" s="594"/>
      <c r="AN1" s="594"/>
      <c r="AO1" s="594"/>
      <c r="AP1" s="594"/>
      <c r="AQ1" s="605"/>
      <c r="AR1" s="560" t="s">
        <v>72</v>
      </c>
      <c r="AS1" s="594"/>
      <c r="AT1" s="594"/>
      <c r="AU1" s="594"/>
      <c r="AV1" s="594"/>
      <c r="AW1" s="594"/>
      <c r="AX1" s="605"/>
      <c r="AY1" s="561" t="s">
        <v>73</v>
      </c>
      <c r="AZ1" s="594"/>
      <c r="BA1" s="594"/>
      <c r="BB1" s="594"/>
      <c r="BC1" s="594"/>
      <c r="BD1" s="594"/>
      <c r="BE1" s="605"/>
      <c r="BF1" s="560" t="s">
        <v>74</v>
      </c>
      <c r="BG1" s="594"/>
      <c r="BH1" s="594"/>
      <c r="BI1" s="594"/>
      <c r="BJ1" s="594"/>
      <c r="BK1" s="594"/>
      <c r="BL1" s="605"/>
      <c r="BM1" s="561" t="s">
        <v>75</v>
      </c>
      <c r="BN1" s="594"/>
      <c r="BO1" s="594"/>
      <c r="BP1" s="594"/>
      <c r="BQ1" s="594"/>
      <c r="BR1" s="594"/>
      <c r="BS1" s="605"/>
      <c r="BT1" s="560" t="s">
        <v>76</v>
      </c>
      <c r="BU1" s="594"/>
      <c r="BV1" s="594"/>
      <c r="BW1" s="594"/>
      <c r="BX1" s="594"/>
      <c r="BY1" s="594"/>
      <c r="BZ1" s="605"/>
      <c r="CA1" s="561" t="s">
        <v>77</v>
      </c>
      <c r="CB1" s="594"/>
      <c r="CC1" s="594"/>
      <c r="CD1" s="594"/>
      <c r="CE1" s="594"/>
      <c r="CF1" s="594"/>
      <c r="CG1" s="605"/>
      <c r="CH1" s="560" t="s">
        <v>78</v>
      </c>
      <c r="CI1" s="594"/>
      <c r="CJ1" s="594"/>
      <c r="CK1" s="594"/>
      <c r="CL1" s="594"/>
      <c r="CM1" s="594"/>
      <c r="CN1" s="605"/>
      <c r="CO1" s="561" t="s">
        <v>79</v>
      </c>
      <c r="CP1" s="594"/>
      <c r="CQ1" s="594"/>
      <c r="CR1" s="594"/>
      <c r="CS1" s="594"/>
      <c r="CT1" s="594"/>
      <c r="CU1" s="605"/>
      <c r="CV1" s="560" t="s">
        <v>80</v>
      </c>
      <c r="CW1" s="594"/>
      <c r="CX1" s="594"/>
      <c r="CY1" s="594"/>
      <c r="CZ1" s="594"/>
      <c r="DA1" s="594"/>
      <c r="DB1" s="605"/>
      <c r="DC1" s="561" t="s">
        <v>81</v>
      </c>
      <c r="DD1" s="594"/>
      <c r="DE1" s="594"/>
      <c r="DF1" s="594"/>
      <c r="DG1" s="594"/>
      <c r="DH1" s="594"/>
      <c r="DI1" s="605"/>
      <c r="DJ1" s="560" t="s">
        <v>82</v>
      </c>
      <c r="DK1" s="594"/>
      <c r="DL1" s="594"/>
      <c r="DM1" s="594"/>
      <c r="DN1" s="594"/>
      <c r="DO1" s="594"/>
      <c r="DP1" s="605"/>
      <c r="DQ1" s="561" t="s">
        <v>83</v>
      </c>
      <c r="DR1" s="594"/>
      <c r="DS1" s="594"/>
      <c r="DT1" s="594"/>
      <c r="DU1" s="594"/>
      <c r="DV1" s="594"/>
      <c r="DW1" s="605"/>
      <c r="DX1" s="560" t="s">
        <v>84</v>
      </c>
      <c r="DY1" s="594"/>
      <c r="DZ1" s="594"/>
      <c r="EA1" s="594"/>
      <c r="EB1" s="594"/>
      <c r="EC1" s="594"/>
      <c r="ED1" s="605"/>
      <c r="EE1" s="561" t="s">
        <v>85</v>
      </c>
      <c r="EF1" s="594"/>
      <c r="EG1" s="594"/>
      <c r="EH1" s="594"/>
      <c r="EI1" s="594"/>
      <c r="EJ1" s="594"/>
      <c r="EK1" s="605"/>
      <c r="EL1" s="560" t="s">
        <v>86</v>
      </c>
      <c r="EM1" s="594"/>
      <c r="EN1" s="594"/>
      <c r="EO1" s="594"/>
      <c r="EP1" s="594"/>
      <c r="EQ1" s="594"/>
      <c r="ER1" s="605"/>
      <c r="ES1" s="561" t="s">
        <v>87</v>
      </c>
      <c r="ET1" s="594"/>
      <c r="EU1" s="594"/>
      <c r="EV1" s="594"/>
      <c r="EW1" s="594"/>
      <c r="EX1" s="594"/>
      <c r="EY1" s="605"/>
      <c r="EZ1" s="560" t="s">
        <v>88</v>
      </c>
      <c r="FA1" s="594"/>
      <c r="FB1" s="594"/>
      <c r="FC1" s="594"/>
      <c r="FD1" s="594"/>
      <c r="FE1" s="594"/>
      <c r="FF1" s="605"/>
      <c r="FG1" s="561" t="s">
        <v>89</v>
      </c>
      <c r="FH1" s="594"/>
      <c r="FI1" s="594"/>
      <c r="FJ1" s="594"/>
      <c r="FK1" s="594"/>
      <c r="FL1" s="594"/>
      <c r="FM1" s="605"/>
      <c r="FN1" s="560" t="s">
        <v>90</v>
      </c>
      <c r="FO1" s="594"/>
      <c r="FP1" s="594"/>
      <c r="FQ1" s="594"/>
      <c r="FR1" s="594"/>
      <c r="FS1" s="594"/>
      <c r="FT1" s="605"/>
      <c r="FU1" s="561" t="s">
        <v>91</v>
      </c>
      <c r="FV1" s="594"/>
      <c r="FW1" s="594"/>
      <c r="FX1" s="594"/>
      <c r="FY1" s="594"/>
      <c r="FZ1" s="594"/>
      <c r="GA1" s="605"/>
      <c r="GB1" s="560" t="s">
        <v>92</v>
      </c>
      <c r="GC1" s="594"/>
      <c r="GD1" s="594"/>
      <c r="GE1" s="594"/>
      <c r="GF1" s="594"/>
      <c r="GG1" s="594"/>
      <c r="GH1" s="605"/>
      <c r="GI1" s="561" t="s">
        <v>93</v>
      </c>
      <c r="GJ1" s="594"/>
      <c r="GK1" s="594"/>
      <c r="GL1" s="594"/>
      <c r="GM1" s="594"/>
      <c r="GN1" s="594"/>
      <c r="GO1" s="605"/>
      <c r="GP1" s="560" t="s">
        <v>94</v>
      </c>
      <c r="GQ1" s="594"/>
      <c r="GR1" s="594"/>
      <c r="GS1" s="594"/>
      <c r="GT1" s="594"/>
      <c r="GU1" s="594"/>
      <c r="GV1" s="605"/>
      <c r="GW1" s="561" t="s">
        <v>20</v>
      </c>
      <c r="GX1" s="594"/>
      <c r="GY1" s="594"/>
      <c r="GZ1" s="594"/>
      <c r="HA1" s="594"/>
      <c r="HB1" s="594"/>
      <c r="HC1" s="605"/>
      <c r="HD1" s="560" t="s">
        <v>21</v>
      </c>
      <c r="HE1" s="594"/>
      <c r="HF1" s="594"/>
      <c r="HG1" s="594"/>
      <c r="HH1" s="594"/>
      <c r="HI1" s="594"/>
      <c r="HJ1" s="605"/>
      <c r="HK1" s="561" t="s">
        <v>22</v>
      </c>
      <c r="HL1" s="594"/>
      <c r="HM1" s="594"/>
      <c r="HN1" s="594"/>
      <c r="HO1" s="594"/>
      <c r="HP1" s="594"/>
      <c r="HQ1" s="605"/>
      <c r="HR1" s="567" t="s">
        <v>23</v>
      </c>
      <c r="HS1" s="594"/>
      <c r="HT1" s="594"/>
      <c r="HU1" s="594"/>
      <c r="HV1" s="594"/>
      <c r="HW1" s="594"/>
      <c r="HX1" s="605"/>
      <c r="HY1" s="557" t="s">
        <v>24</v>
      </c>
      <c r="HZ1" s="594"/>
      <c r="IA1" s="594"/>
      <c r="IB1" s="594"/>
      <c r="IC1" s="594"/>
      <c r="ID1" s="594"/>
      <c r="IE1" s="605"/>
      <c r="IF1" s="567" t="s">
        <v>95</v>
      </c>
      <c r="IG1" s="594"/>
      <c r="IH1" s="594"/>
      <c r="II1" s="594"/>
      <c r="IJ1" s="594"/>
      <c r="IK1" s="594"/>
      <c r="IL1" s="605"/>
      <c r="IM1" s="557" t="s">
        <v>96</v>
      </c>
      <c r="IN1" s="594"/>
      <c r="IO1" s="594"/>
      <c r="IP1" s="594"/>
      <c r="IQ1" s="594"/>
      <c r="IR1" s="594"/>
      <c r="IS1" s="605"/>
      <c r="IT1" s="567" t="s">
        <v>97</v>
      </c>
      <c r="IU1" s="594"/>
      <c r="IV1" s="594"/>
      <c r="IW1" s="594"/>
      <c r="IX1" s="594"/>
      <c r="IY1" s="594"/>
      <c r="IZ1" s="605"/>
      <c r="JA1" s="557" t="s">
        <v>98</v>
      </c>
      <c r="JB1" s="594"/>
      <c r="JC1" s="594"/>
      <c r="JD1" s="594"/>
      <c r="JE1" s="594"/>
      <c r="JF1" s="594"/>
      <c r="JG1" s="605"/>
      <c r="JH1" s="567" t="s">
        <v>99</v>
      </c>
      <c r="JI1" s="594"/>
      <c r="JJ1" s="594"/>
      <c r="JK1" s="594"/>
      <c r="JL1" s="594"/>
      <c r="JM1" s="594"/>
      <c r="JN1" s="605"/>
      <c r="JO1" s="557" t="s">
        <v>100</v>
      </c>
      <c r="JP1" s="594"/>
      <c r="JQ1" s="594"/>
      <c r="JR1" s="594"/>
      <c r="JS1" s="594"/>
      <c r="JT1" s="594"/>
      <c r="JU1" s="605"/>
      <c r="JV1" s="557" t="s">
        <v>494</v>
      </c>
      <c r="JW1" s="594"/>
      <c r="JX1" s="594"/>
      <c r="JY1" s="594"/>
      <c r="JZ1" s="594"/>
      <c r="KA1" s="594"/>
      <c r="KB1" s="605"/>
      <c r="KC1" s="557" t="s">
        <v>495</v>
      </c>
      <c r="KD1" s="594"/>
      <c r="KE1" s="594"/>
      <c r="KF1" s="594"/>
      <c r="KG1" s="594"/>
      <c r="KH1" s="594"/>
      <c r="KI1" s="605"/>
      <c r="KJ1" s="557" t="s">
        <v>496</v>
      </c>
      <c r="KK1" s="594"/>
      <c r="KL1" s="594"/>
      <c r="KM1" s="594"/>
      <c r="KN1" s="594"/>
      <c r="KO1" s="594"/>
      <c r="KP1" s="605"/>
      <c r="KQ1" s="557" t="s">
        <v>497</v>
      </c>
      <c r="KR1" s="594"/>
      <c r="KS1" s="594"/>
      <c r="KT1" s="594"/>
      <c r="KU1" s="594"/>
      <c r="KV1" s="594"/>
      <c r="KW1" s="605"/>
      <c r="KX1" s="557" t="s">
        <v>498</v>
      </c>
      <c r="KY1" s="594"/>
      <c r="KZ1" s="594"/>
      <c r="LA1" s="594"/>
      <c r="LB1" s="594"/>
      <c r="LC1" s="594"/>
      <c r="LD1" s="605"/>
      <c r="LE1" s="557" t="s">
        <v>499</v>
      </c>
      <c r="LF1" s="594"/>
      <c r="LG1" s="594"/>
      <c r="LH1" s="594"/>
      <c r="LI1" s="594"/>
      <c r="LJ1" s="594"/>
      <c r="LK1" s="605"/>
      <c r="LL1" s="557" t="s">
        <v>500</v>
      </c>
      <c r="LM1" s="594"/>
      <c r="LN1" s="594"/>
      <c r="LO1" s="594"/>
      <c r="LP1" s="594"/>
      <c r="LQ1" s="594"/>
      <c r="LR1" s="605"/>
      <c r="LS1" s="557" t="s">
        <v>506</v>
      </c>
      <c r="LT1" s="594"/>
      <c r="LU1" s="594"/>
      <c r="LV1" s="594"/>
      <c r="LW1" s="594"/>
      <c r="LX1" s="594"/>
      <c r="LY1" s="605"/>
      <c r="LZ1" s="566" t="s">
        <v>512</v>
      </c>
      <c r="MA1" s="554"/>
      <c r="MB1" s="554"/>
      <c r="MC1" s="554"/>
      <c r="MD1" s="554"/>
      <c r="ME1" s="554"/>
      <c r="MF1" s="555"/>
      <c r="MG1" s="566" t="s">
        <v>513</v>
      </c>
      <c r="MH1" s="554"/>
      <c r="MI1" s="554"/>
      <c r="MJ1" s="554"/>
      <c r="MK1" s="554"/>
      <c r="ML1" s="554"/>
      <c r="MM1" s="555"/>
      <c r="MN1" s="566" t="s">
        <v>514</v>
      </c>
      <c r="MO1" s="554"/>
      <c r="MP1" s="554"/>
      <c r="MQ1" s="554"/>
      <c r="MR1" s="554"/>
      <c r="MS1" s="554"/>
      <c r="MT1" s="555"/>
    </row>
    <row r="2" spans="1:358" ht="13">
      <c r="O2" s="582"/>
      <c r="P2" s="5">
        <v>45894</v>
      </c>
      <c r="Q2" s="6">
        <v>45895</v>
      </c>
      <c r="R2" s="7">
        <v>45896</v>
      </c>
      <c r="S2" s="8">
        <v>45897</v>
      </c>
      <c r="T2" s="9">
        <v>45898</v>
      </c>
      <c r="U2" s="10">
        <v>45899</v>
      </c>
      <c r="V2" s="11">
        <v>45900</v>
      </c>
      <c r="W2" s="5">
        <v>45901</v>
      </c>
      <c r="X2" s="6">
        <v>45902</v>
      </c>
      <c r="Y2" s="7">
        <v>45903</v>
      </c>
      <c r="Z2" s="8">
        <v>45904</v>
      </c>
      <c r="AA2" s="9">
        <v>45905</v>
      </c>
      <c r="AB2" s="10">
        <v>45906</v>
      </c>
      <c r="AC2" s="11">
        <v>45907</v>
      </c>
      <c r="AD2" s="5">
        <v>45908</v>
      </c>
      <c r="AE2" s="6">
        <v>45909</v>
      </c>
      <c r="AF2" s="7">
        <v>45910</v>
      </c>
      <c r="AG2" s="8">
        <v>45911</v>
      </c>
      <c r="AH2" s="9">
        <v>45912</v>
      </c>
      <c r="AI2" s="10">
        <v>45913</v>
      </c>
      <c r="AJ2" s="11">
        <v>45914</v>
      </c>
      <c r="AK2" s="5">
        <v>45915</v>
      </c>
      <c r="AL2" s="6">
        <v>45916</v>
      </c>
      <c r="AM2" s="7">
        <v>45917</v>
      </c>
      <c r="AN2" s="8">
        <v>45918</v>
      </c>
      <c r="AO2" s="9">
        <v>45919</v>
      </c>
      <c r="AP2" s="10">
        <v>45920</v>
      </c>
      <c r="AQ2" s="11">
        <v>45921</v>
      </c>
      <c r="AR2" s="5">
        <v>45922</v>
      </c>
      <c r="AS2" s="6">
        <v>45923</v>
      </c>
      <c r="AT2" s="7">
        <v>45924</v>
      </c>
      <c r="AU2" s="8">
        <v>45925</v>
      </c>
      <c r="AV2" s="9">
        <v>45926</v>
      </c>
      <c r="AW2" s="10">
        <v>45927</v>
      </c>
      <c r="AX2" s="11">
        <v>45928</v>
      </c>
      <c r="AY2" s="5">
        <v>45929</v>
      </c>
      <c r="AZ2" s="6">
        <v>45930</v>
      </c>
      <c r="BA2" s="7">
        <v>45931</v>
      </c>
      <c r="BB2" s="8">
        <v>45932</v>
      </c>
      <c r="BC2" s="9">
        <v>45933</v>
      </c>
      <c r="BD2" s="10">
        <v>45934</v>
      </c>
      <c r="BE2" s="11">
        <v>45935</v>
      </c>
      <c r="BF2" s="5">
        <v>45936</v>
      </c>
      <c r="BG2" s="6">
        <v>45937</v>
      </c>
      <c r="BH2" s="7">
        <v>45938</v>
      </c>
      <c r="BI2" s="8">
        <v>45939</v>
      </c>
      <c r="BJ2" s="9">
        <v>45940</v>
      </c>
      <c r="BK2" s="10">
        <v>45941</v>
      </c>
      <c r="BL2" s="11">
        <v>45942</v>
      </c>
      <c r="BM2" s="5">
        <v>45943</v>
      </c>
      <c r="BN2" s="6">
        <v>45944</v>
      </c>
      <c r="BO2" s="7">
        <v>45945</v>
      </c>
      <c r="BP2" s="8">
        <v>45946</v>
      </c>
      <c r="BQ2" s="9">
        <v>45947</v>
      </c>
      <c r="BR2" s="10">
        <v>45948</v>
      </c>
      <c r="BS2" s="11">
        <v>45949</v>
      </c>
      <c r="BT2" s="5">
        <v>45950</v>
      </c>
      <c r="BU2" s="6">
        <v>45951</v>
      </c>
      <c r="BV2" s="7">
        <v>45952</v>
      </c>
      <c r="BW2" s="8">
        <v>45953</v>
      </c>
      <c r="BX2" s="9">
        <v>45954</v>
      </c>
      <c r="BY2" s="10">
        <v>45955</v>
      </c>
      <c r="BZ2" s="11">
        <v>45956</v>
      </c>
      <c r="CA2" s="5">
        <v>45957</v>
      </c>
      <c r="CB2" s="6">
        <v>45958</v>
      </c>
      <c r="CC2" s="7">
        <v>45959</v>
      </c>
      <c r="CD2" s="8">
        <v>45960</v>
      </c>
      <c r="CE2" s="9">
        <v>45961</v>
      </c>
      <c r="CF2" s="10">
        <v>45962</v>
      </c>
      <c r="CG2" s="11">
        <v>45963</v>
      </c>
      <c r="CH2" s="5">
        <v>45964</v>
      </c>
      <c r="CI2" s="6">
        <v>45965</v>
      </c>
      <c r="CJ2" s="7">
        <v>45966</v>
      </c>
      <c r="CK2" s="8">
        <v>45967</v>
      </c>
      <c r="CL2" s="9">
        <v>45968</v>
      </c>
      <c r="CM2" s="10">
        <v>45969</v>
      </c>
      <c r="CN2" s="11">
        <v>45970</v>
      </c>
      <c r="CO2" s="5">
        <v>45971</v>
      </c>
      <c r="CP2" s="6">
        <v>45972</v>
      </c>
      <c r="CQ2" s="7">
        <v>45973</v>
      </c>
      <c r="CR2" s="8">
        <v>45974</v>
      </c>
      <c r="CS2" s="9">
        <v>45975</v>
      </c>
      <c r="CT2" s="10">
        <v>45976</v>
      </c>
      <c r="CU2" s="11">
        <v>45977</v>
      </c>
      <c r="CV2" s="5">
        <v>45978</v>
      </c>
      <c r="CW2" s="6">
        <v>45979</v>
      </c>
      <c r="CX2" s="7">
        <v>45980</v>
      </c>
      <c r="CY2" s="8">
        <v>45981</v>
      </c>
      <c r="CZ2" s="9">
        <v>45982</v>
      </c>
      <c r="DA2" s="10">
        <v>45983</v>
      </c>
      <c r="DB2" s="11">
        <v>45984</v>
      </c>
      <c r="DC2" s="5">
        <v>45985</v>
      </c>
      <c r="DD2" s="6">
        <v>45986</v>
      </c>
      <c r="DE2" s="7">
        <v>45987</v>
      </c>
      <c r="DF2" s="8">
        <v>45988</v>
      </c>
      <c r="DG2" s="9">
        <v>45989</v>
      </c>
      <c r="DH2" s="10">
        <v>45990</v>
      </c>
      <c r="DI2" s="11">
        <v>45991</v>
      </c>
      <c r="DJ2" s="5">
        <v>45992</v>
      </c>
      <c r="DK2" s="6">
        <v>45993</v>
      </c>
      <c r="DL2" s="7">
        <v>45994</v>
      </c>
      <c r="DM2" s="8">
        <v>45995</v>
      </c>
      <c r="DN2" s="9">
        <v>45996</v>
      </c>
      <c r="DO2" s="10">
        <v>45997</v>
      </c>
      <c r="DP2" s="11">
        <v>45998</v>
      </c>
      <c r="DQ2" s="5">
        <v>45999</v>
      </c>
      <c r="DR2" s="6">
        <v>46000</v>
      </c>
      <c r="DS2" s="7">
        <v>46001</v>
      </c>
      <c r="DT2" s="8">
        <v>46002</v>
      </c>
      <c r="DU2" s="9">
        <v>46003</v>
      </c>
      <c r="DV2" s="10">
        <v>46004</v>
      </c>
      <c r="DW2" s="11">
        <v>46005</v>
      </c>
      <c r="DX2" s="5">
        <v>46006</v>
      </c>
      <c r="DY2" s="6">
        <v>46007</v>
      </c>
      <c r="DZ2" s="7">
        <v>46008</v>
      </c>
      <c r="EA2" s="8">
        <v>46009</v>
      </c>
      <c r="EB2" s="9">
        <v>46010</v>
      </c>
      <c r="EC2" s="10">
        <v>46011</v>
      </c>
      <c r="ED2" s="11">
        <v>46012</v>
      </c>
      <c r="EE2" s="5">
        <v>46013</v>
      </c>
      <c r="EF2" s="6">
        <v>46014</v>
      </c>
      <c r="EG2" s="7">
        <v>46015</v>
      </c>
      <c r="EH2" s="8">
        <v>46016</v>
      </c>
      <c r="EI2" s="9">
        <v>46017</v>
      </c>
      <c r="EJ2" s="10">
        <v>46018</v>
      </c>
      <c r="EK2" s="11">
        <v>46019</v>
      </c>
      <c r="EL2" s="5">
        <v>46020</v>
      </c>
      <c r="EM2" s="6">
        <v>46021</v>
      </c>
      <c r="EN2" s="7">
        <v>46022</v>
      </c>
      <c r="EO2" s="8">
        <v>46023</v>
      </c>
      <c r="EP2" s="9">
        <v>46024</v>
      </c>
      <c r="EQ2" s="10">
        <v>46025</v>
      </c>
      <c r="ER2" s="11">
        <v>46026</v>
      </c>
      <c r="ES2" s="5">
        <v>46027</v>
      </c>
      <c r="ET2" s="6">
        <v>46028</v>
      </c>
      <c r="EU2" s="7">
        <v>46029</v>
      </c>
      <c r="EV2" s="8">
        <v>46030</v>
      </c>
      <c r="EW2" s="9">
        <v>46031</v>
      </c>
      <c r="EX2" s="10">
        <v>46032</v>
      </c>
      <c r="EY2" s="11">
        <v>46033</v>
      </c>
      <c r="EZ2" s="5">
        <v>46034</v>
      </c>
      <c r="FA2" s="6">
        <v>46035</v>
      </c>
      <c r="FB2" s="7">
        <v>46036</v>
      </c>
      <c r="FC2" s="8">
        <v>46037</v>
      </c>
      <c r="FD2" s="9">
        <v>46038</v>
      </c>
      <c r="FE2" s="10">
        <v>46039</v>
      </c>
      <c r="FF2" s="11">
        <v>46040</v>
      </c>
      <c r="FG2" s="5">
        <v>46041</v>
      </c>
      <c r="FH2" s="6">
        <v>46042</v>
      </c>
      <c r="FI2" s="7">
        <v>46043</v>
      </c>
      <c r="FJ2" s="8">
        <v>46044</v>
      </c>
      <c r="FK2" s="9">
        <v>46045</v>
      </c>
      <c r="FL2" s="10">
        <v>46046</v>
      </c>
      <c r="FM2" s="11">
        <v>46047</v>
      </c>
      <c r="FN2" s="5">
        <v>46048</v>
      </c>
      <c r="FO2" s="6">
        <v>46049</v>
      </c>
      <c r="FP2" s="7">
        <v>46050</v>
      </c>
      <c r="FQ2" s="8">
        <v>46051</v>
      </c>
      <c r="FR2" s="9">
        <v>46052</v>
      </c>
      <c r="FS2" s="10">
        <v>46053</v>
      </c>
      <c r="FT2" s="11">
        <v>46054</v>
      </c>
      <c r="FU2" s="5">
        <v>46055</v>
      </c>
      <c r="FV2" s="6">
        <v>46056</v>
      </c>
      <c r="FW2" s="7">
        <v>46057</v>
      </c>
      <c r="FX2" s="8">
        <v>46058</v>
      </c>
      <c r="FY2" s="9">
        <v>46059</v>
      </c>
      <c r="FZ2" s="10">
        <v>46060</v>
      </c>
      <c r="GA2" s="11">
        <v>46061</v>
      </c>
      <c r="GB2" s="5">
        <v>46062</v>
      </c>
      <c r="GC2" s="6">
        <v>46063</v>
      </c>
      <c r="GD2" s="7">
        <v>46064</v>
      </c>
      <c r="GE2" s="8">
        <v>46065</v>
      </c>
      <c r="GF2" s="9">
        <v>46066</v>
      </c>
      <c r="GG2" s="10">
        <v>46067</v>
      </c>
      <c r="GH2" s="11">
        <v>46068</v>
      </c>
      <c r="GI2" s="5">
        <v>46069</v>
      </c>
      <c r="GJ2" s="6">
        <v>46070</v>
      </c>
      <c r="GK2" s="7">
        <v>46071</v>
      </c>
      <c r="GL2" s="8">
        <v>46072</v>
      </c>
      <c r="GM2" s="9">
        <v>46073</v>
      </c>
      <c r="GN2" s="10">
        <v>46074</v>
      </c>
      <c r="GO2" s="11">
        <v>46075</v>
      </c>
      <c r="GP2" s="5">
        <v>46076</v>
      </c>
      <c r="GQ2" s="6">
        <v>46077</v>
      </c>
      <c r="GR2" s="7">
        <v>46078</v>
      </c>
      <c r="GS2" s="8">
        <v>46079</v>
      </c>
      <c r="GT2" s="9">
        <v>46080</v>
      </c>
      <c r="GU2" s="10">
        <v>46081</v>
      </c>
      <c r="GV2" s="11">
        <v>46082</v>
      </c>
      <c r="GW2" s="5">
        <v>46083</v>
      </c>
      <c r="GX2" s="6">
        <v>46084</v>
      </c>
      <c r="GY2" s="7">
        <v>46085</v>
      </c>
      <c r="GZ2" s="8">
        <v>46086</v>
      </c>
      <c r="HA2" s="9">
        <v>46087</v>
      </c>
      <c r="HB2" s="10">
        <v>46088</v>
      </c>
      <c r="HC2" s="11">
        <v>46089</v>
      </c>
      <c r="HD2" s="5">
        <v>46090</v>
      </c>
      <c r="HE2" s="6">
        <v>46091</v>
      </c>
      <c r="HF2" s="7">
        <v>46092</v>
      </c>
      <c r="HG2" s="8">
        <v>46093</v>
      </c>
      <c r="HH2" s="9">
        <v>46094</v>
      </c>
      <c r="HI2" s="10">
        <v>46095</v>
      </c>
      <c r="HJ2" s="11">
        <v>46096</v>
      </c>
      <c r="HK2" s="5">
        <v>46097</v>
      </c>
      <c r="HL2" s="6">
        <v>46098</v>
      </c>
      <c r="HM2" s="7">
        <v>46099</v>
      </c>
      <c r="HN2" s="8">
        <v>46100</v>
      </c>
      <c r="HO2" s="9">
        <v>46101</v>
      </c>
      <c r="HP2" s="10">
        <v>46102</v>
      </c>
      <c r="HQ2" s="11">
        <v>46103</v>
      </c>
      <c r="HR2" s="19">
        <v>46104</v>
      </c>
      <c r="HS2" s="20">
        <v>46105</v>
      </c>
      <c r="HT2" s="21">
        <v>46106</v>
      </c>
      <c r="HU2" s="22">
        <v>46107</v>
      </c>
      <c r="HV2" s="23">
        <v>46108</v>
      </c>
      <c r="HW2" s="24">
        <v>46109</v>
      </c>
      <c r="HX2" s="25">
        <v>46110</v>
      </c>
      <c r="HY2" s="19">
        <v>46111</v>
      </c>
      <c r="HZ2" s="20">
        <v>46112</v>
      </c>
      <c r="IA2" s="21">
        <v>46113</v>
      </c>
      <c r="IB2" s="22">
        <v>46114</v>
      </c>
      <c r="IC2" s="23">
        <v>46115</v>
      </c>
      <c r="ID2" s="24">
        <v>46116</v>
      </c>
      <c r="IE2" s="25">
        <v>46117</v>
      </c>
      <c r="IF2" s="19">
        <v>46118</v>
      </c>
      <c r="IG2" s="20">
        <v>46119</v>
      </c>
      <c r="IH2" s="21">
        <v>46120</v>
      </c>
      <c r="II2" s="22">
        <v>46121</v>
      </c>
      <c r="IJ2" s="23">
        <v>46122</v>
      </c>
      <c r="IK2" s="24">
        <v>46123</v>
      </c>
      <c r="IL2" s="25">
        <v>46124</v>
      </c>
      <c r="IM2" s="19">
        <v>46125</v>
      </c>
      <c r="IN2" s="20">
        <v>46126</v>
      </c>
      <c r="IO2" s="21">
        <v>46127</v>
      </c>
      <c r="IP2" s="22">
        <v>46128</v>
      </c>
      <c r="IQ2" s="23">
        <v>46129</v>
      </c>
      <c r="IR2" s="24">
        <v>46130</v>
      </c>
      <c r="IS2" s="25">
        <v>46131</v>
      </c>
      <c r="IT2" s="19">
        <v>46132</v>
      </c>
      <c r="IU2" s="20">
        <v>46133</v>
      </c>
      <c r="IV2" s="21">
        <v>46134</v>
      </c>
      <c r="IW2" s="22">
        <v>46135</v>
      </c>
      <c r="IX2" s="23">
        <v>46136</v>
      </c>
      <c r="IY2" s="24">
        <v>46137</v>
      </c>
      <c r="IZ2" s="25">
        <v>46138</v>
      </c>
      <c r="JA2" s="19">
        <v>46139</v>
      </c>
      <c r="JB2" s="20">
        <v>46140</v>
      </c>
      <c r="JC2" s="21">
        <v>46141</v>
      </c>
      <c r="JD2" s="22">
        <v>46142</v>
      </c>
      <c r="JE2" s="23">
        <v>46143</v>
      </c>
      <c r="JF2" s="24">
        <v>46144</v>
      </c>
      <c r="JG2" s="25">
        <v>46145</v>
      </c>
      <c r="JH2" s="19">
        <v>46146</v>
      </c>
      <c r="JI2" s="20">
        <v>46147</v>
      </c>
      <c r="JJ2" s="21">
        <v>46148</v>
      </c>
      <c r="JK2" s="22">
        <v>46149</v>
      </c>
      <c r="JL2" s="23">
        <v>46150</v>
      </c>
      <c r="JM2" s="24">
        <v>46151</v>
      </c>
      <c r="JN2" s="25">
        <v>46152</v>
      </c>
      <c r="JO2" s="19">
        <v>46153</v>
      </c>
      <c r="JP2" s="20">
        <v>46154</v>
      </c>
      <c r="JQ2" s="21">
        <v>46155</v>
      </c>
      <c r="JR2" s="22">
        <v>46156</v>
      </c>
      <c r="JS2" s="23">
        <v>46157</v>
      </c>
      <c r="JT2" s="24">
        <v>46158</v>
      </c>
      <c r="JU2" s="25">
        <v>46159</v>
      </c>
      <c r="JV2" s="19">
        <v>46160</v>
      </c>
      <c r="JW2" s="20">
        <v>46161</v>
      </c>
      <c r="JX2" s="21">
        <v>46162</v>
      </c>
      <c r="JY2" s="22">
        <v>46163</v>
      </c>
      <c r="JZ2" s="23">
        <v>46164</v>
      </c>
      <c r="KA2" s="24">
        <v>46165</v>
      </c>
      <c r="KB2" s="25">
        <v>46166</v>
      </c>
      <c r="KC2" s="19">
        <v>46167</v>
      </c>
      <c r="KD2" s="20">
        <v>46168</v>
      </c>
      <c r="KE2" s="21">
        <v>46169</v>
      </c>
      <c r="KF2" s="22">
        <v>46170</v>
      </c>
      <c r="KG2" s="23">
        <v>46171</v>
      </c>
      <c r="KH2" s="24">
        <v>46172</v>
      </c>
      <c r="KI2" s="25">
        <v>46173</v>
      </c>
      <c r="KJ2" s="19">
        <v>46174</v>
      </c>
      <c r="KK2" s="20">
        <v>46175</v>
      </c>
      <c r="KL2" s="21">
        <v>46176</v>
      </c>
      <c r="KM2" s="22">
        <v>46177</v>
      </c>
      <c r="KN2" s="23">
        <v>46178</v>
      </c>
      <c r="KO2" s="24">
        <v>46179</v>
      </c>
      <c r="KP2" s="25">
        <v>46180</v>
      </c>
      <c r="KQ2" s="19">
        <v>46181</v>
      </c>
      <c r="KR2" s="20">
        <v>46182</v>
      </c>
      <c r="KS2" s="21">
        <v>46183</v>
      </c>
      <c r="KT2" s="22">
        <v>46184</v>
      </c>
      <c r="KU2" s="23">
        <v>46185</v>
      </c>
      <c r="KV2" s="24">
        <v>46186</v>
      </c>
      <c r="KW2" s="25">
        <v>46187</v>
      </c>
      <c r="KX2" s="19">
        <v>46188</v>
      </c>
      <c r="KY2" s="20">
        <v>46189</v>
      </c>
      <c r="KZ2" s="21">
        <v>46190</v>
      </c>
      <c r="LA2" s="22">
        <v>46191</v>
      </c>
      <c r="LB2" s="23">
        <v>46192</v>
      </c>
      <c r="LC2" s="24">
        <v>46193</v>
      </c>
      <c r="LD2" s="25">
        <v>46194</v>
      </c>
      <c r="LE2" s="19">
        <v>46195</v>
      </c>
      <c r="LF2" s="20">
        <v>46196</v>
      </c>
      <c r="LG2" s="21">
        <v>46197</v>
      </c>
      <c r="LH2" s="22">
        <v>46198</v>
      </c>
      <c r="LI2" s="23">
        <v>46199</v>
      </c>
      <c r="LJ2" s="24">
        <v>46200</v>
      </c>
      <c r="LK2" s="25">
        <v>46201</v>
      </c>
      <c r="LL2" s="19">
        <v>46202</v>
      </c>
      <c r="LM2" s="20">
        <v>46203</v>
      </c>
      <c r="LN2" s="21">
        <v>46204</v>
      </c>
      <c r="LO2" s="22">
        <v>46205</v>
      </c>
      <c r="LP2" s="23">
        <v>46206</v>
      </c>
      <c r="LQ2" s="24">
        <v>46207</v>
      </c>
      <c r="LR2" s="25">
        <v>46208</v>
      </c>
      <c r="LS2" s="19">
        <v>46209</v>
      </c>
      <c r="LT2" s="20">
        <v>46210</v>
      </c>
      <c r="LU2" s="21">
        <v>46211</v>
      </c>
      <c r="LV2" s="22">
        <v>46212</v>
      </c>
      <c r="LW2" s="23">
        <v>46213</v>
      </c>
      <c r="LX2" s="24">
        <v>46214</v>
      </c>
      <c r="LY2" s="25">
        <v>46215</v>
      </c>
      <c r="LZ2" s="19">
        <v>46216</v>
      </c>
      <c r="MA2" s="20">
        <v>46217</v>
      </c>
      <c r="MB2" s="21">
        <v>46218</v>
      </c>
      <c r="MC2" s="22">
        <v>46219</v>
      </c>
      <c r="MD2" s="23">
        <v>46220</v>
      </c>
      <c r="ME2" s="24">
        <v>46221</v>
      </c>
      <c r="MF2" s="25">
        <v>46222</v>
      </c>
      <c r="MG2" s="19">
        <v>46223</v>
      </c>
      <c r="MH2" s="20">
        <v>46224</v>
      </c>
      <c r="MI2" s="21">
        <v>46225</v>
      </c>
      <c r="MJ2" s="22">
        <v>46226</v>
      </c>
      <c r="MK2" s="23">
        <v>46227</v>
      </c>
      <c r="ML2" s="24">
        <v>46228</v>
      </c>
      <c r="MM2" s="25">
        <v>46229</v>
      </c>
      <c r="MN2" s="19">
        <v>46230</v>
      </c>
      <c r="MO2" s="20">
        <v>46231</v>
      </c>
      <c r="MP2" s="21">
        <v>46232</v>
      </c>
      <c r="MQ2" s="22">
        <v>46233</v>
      </c>
      <c r="MR2" s="23">
        <v>46234</v>
      </c>
      <c r="MS2" s="24">
        <v>46235</v>
      </c>
      <c r="MT2" s="25">
        <v>46236</v>
      </c>
    </row>
    <row r="3" spans="1:358" ht="13" hidden="1">
      <c r="O3" s="26" t="s">
        <v>261</v>
      </c>
      <c r="P3" s="27">
        <f t="shared" ref="P3:HJ3" si="0">COUNTIF(P10:P18,"OFF")</f>
        <v>0</v>
      </c>
      <c r="Q3" s="27">
        <f t="shared" si="0"/>
        <v>3</v>
      </c>
      <c r="R3" s="27">
        <f t="shared" si="0"/>
        <v>2</v>
      </c>
      <c r="S3" s="27">
        <f t="shared" si="0"/>
        <v>1</v>
      </c>
      <c r="T3" s="27">
        <f t="shared" si="0"/>
        <v>1</v>
      </c>
      <c r="U3" s="27">
        <f t="shared" si="0"/>
        <v>5</v>
      </c>
      <c r="V3" s="27">
        <f t="shared" si="0"/>
        <v>5</v>
      </c>
      <c r="W3" s="27">
        <f t="shared" si="0"/>
        <v>2</v>
      </c>
      <c r="X3" s="27">
        <f t="shared" si="0"/>
        <v>2</v>
      </c>
      <c r="Y3" s="27">
        <f t="shared" si="0"/>
        <v>0</v>
      </c>
      <c r="Z3" s="27">
        <f t="shared" si="0"/>
        <v>0</v>
      </c>
      <c r="AA3" s="27">
        <f t="shared" si="0"/>
        <v>2</v>
      </c>
      <c r="AB3" s="27">
        <f t="shared" si="0"/>
        <v>6</v>
      </c>
      <c r="AC3" s="27">
        <f t="shared" si="0"/>
        <v>6</v>
      </c>
      <c r="AD3" s="27">
        <f t="shared" si="0"/>
        <v>2</v>
      </c>
      <c r="AE3" s="27">
        <f t="shared" si="0"/>
        <v>1</v>
      </c>
      <c r="AF3" s="27">
        <f t="shared" si="0"/>
        <v>1</v>
      </c>
      <c r="AG3" s="27">
        <f t="shared" si="0"/>
        <v>2</v>
      </c>
      <c r="AH3" s="27">
        <f t="shared" si="0"/>
        <v>2</v>
      </c>
      <c r="AI3" s="27">
        <f t="shared" si="0"/>
        <v>5</v>
      </c>
      <c r="AJ3" s="27">
        <f t="shared" si="0"/>
        <v>5</v>
      </c>
      <c r="AK3" s="27">
        <f t="shared" si="0"/>
        <v>1</v>
      </c>
      <c r="AL3" s="27">
        <f t="shared" si="0"/>
        <v>1</v>
      </c>
      <c r="AM3" s="27">
        <f t="shared" si="0"/>
        <v>1</v>
      </c>
      <c r="AN3" s="27">
        <f t="shared" si="0"/>
        <v>2</v>
      </c>
      <c r="AO3" s="27">
        <f t="shared" si="0"/>
        <v>2</v>
      </c>
      <c r="AP3" s="27">
        <f t="shared" si="0"/>
        <v>6</v>
      </c>
      <c r="AQ3" s="27">
        <f t="shared" si="0"/>
        <v>5</v>
      </c>
      <c r="AR3" s="27">
        <f t="shared" si="0"/>
        <v>1</v>
      </c>
      <c r="AS3" s="27">
        <f t="shared" si="0"/>
        <v>2</v>
      </c>
      <c r="AT3" s="27">
        <f t="shared" si="0"/>
        <v>2</v>
      </c>
      <c r="AU3" s="27">
        <f t="shared" si="0"/>
        <v>2</v>
      </c>
      <c r="AV3" s="27">
        <f t="shared" si="0"/>
        <v>2</v>
      </c>
      <c r="AW3" s="27">
        <f t="shared" si="0"/>
        <v>5</v>
      </c>
      <c r="AX3" s="27">
        <f t="shared" si="0"/>
        <v>4</v>
      </c>
      <c r="AY3" s="27">
        <f t="shared" si="0"/>
        <v>3</v>
      </c>
      <c r="AZ3" s="27">
        <f t="shared" si="0"/>
        <v>1</v>
      </c>
      <c r="BA3" s="27">
        <f t="shared" si="0"/>
        <v>1</v>
      </c>
      <c r="BB3" s="27">
        <f t="shared" si="0"/>
        <v>2</v>
      </c>
      <c r="BC3" s="27">
        <f t="shared" si="0"/>
        <v>2</v>
      </c>
      <c r="BD3" s="27">
        <f t="shared" si="0"/>
        <v>3</v>
      </c>
      <c r="BE3" s="27">
        <f t="shared" si="0"/>
        <v>6</v>
      </c>
      <c r="BF3" s="27">
        <f t="shared" si="0"/>
        <v>2</v>
      </c>
      <c r="BG3" s="27">
        <f t="shared" si="0"/>
        <v>2</v>
      </c>
      <c r="BH3" s="27">
        <f t="shared" si="0"/>
        <v>2</v>
      </c>
      <c r="BI3" s="27">
        <f t="shared" si="0"/>
        <v>2</v>
      </c>
      <c r="BJ3" s="27">
        <f t="shared" si="0"/>
        <v>2</v>
      </c>
      <c r="BK3" s="27">
        <f t="shared" si="0"/>
        <v>3</v>
      </c>
      <c r="BL3" s="27">
        <f t="shared" si="0"/>
        <v>5</v>
      </c>
      <c r="BM3" s="27">
        <f t="shared" si="0"/>
        <v>2</v>
      </c>
      <c r="BN3" s="27">
        <f t="shared" si="0"/>
        <v>1</v>
      </c>
      <c r="BO3" s="27">
        <f t="shared" si="0"/>
        <v>2</v>
      </c>
      <c r="BP3" s="27">
        <f t="shared" si="0"/>
        <v>2</v>
      </c>
      <c r="BQ3" s="27">
        <f t="shared" si="0"/>
        <v>3</v>
      </c>
      <c r="BR3" s="27">
        <f t="shared" si="0"/>
        <v>4</v>
      </c>
      <c r="BS3" s="27">
        <f t="shared" si="0"/>
        <v>4</v>
      </c>
      <c r="BT3" s="27">
        <f t="shared" si="0"/>
        <v>2</v>
      </c>
      <c r="BU3" s="27">
        <f t="shared" si="0"/>
        <v>2</v>
      </c>
      <c r="BV3" s="27">
        <f t="shared" si="0"/>
        <v>2</v>
      </c>
      <c r="BW3" s="27">
        <f t="shared" si="0"/>
        <v>1</v>
      </c>
      <c r="BX3" s="27">
        <f t="shared" si="0"/>
        <v>2</v>
      </c>
      <c r="BY3" s="27">
        <f t="shared" si="0"/>
        <v>3</v>
      </c>
      <c r="BZ3" s="27">
        <f t="shared" si="0"/>
        <v>6</v>
      </c>
      <c r="CA3" s="27">
        <f t="shared" si="0"/>
        <v>2</v>
      </c>
      <c r="CB3" s="27">
        <f t="shared" si="0"/>
        <v>1</v>
      </c>
      <c r="CC3" s="27">
        <f t="shared" si="0"/>
        <v>2</v>
      </c>
      <c r="CD3" s="27">
        <f t="shared" si="0"/>
        <v>1</v>
      </c>
      <c r="CE3" s="27">
        <f t="shared" si="0"/>
        <v>2</v>
      </c>
      <c r="CF3" s="27">
        <f t="shared" si="0"/>
        <v>4</v>
      </c>
      <c r="CG3" s="27">
        <f t="shared" si="0"/>
        <v>6</v>
      </c>
      <c r="CH3" s="27">
        <f t="shared" si="0"/>
        <v>0</v>
      </c>
      <c r="CI3" s="27">
        <f t="shared" si="0"/>
        <v>2</v>
      </c>
      <c r="CJ3" s="27">
        <f t="shared" si="0"/>
        <v>3</v>
      </c>
      <c r="CK3" s="27">
        <f t="shared" si="0"/>
        <v>3</v>
      </c>
      <c r="CL3" s="27">
        <f t="shared" si="0"/>
        <v>2</v>
      </c>
      <c r="CM3" s="27">
        <f t="shared" si="0"/>
        <v>4</v>
      </c>
      <c r="CN3" s="27">
        <f t="shared" si="0"/>
        <v>4</v>
      </c>
      <c r="CO3" s="27">
        <f t="shared" si="0"/>
        <v>2</v>
      </c>
      <c r="CP3" s="27">
        <f t="shared" si="0"/>
        <v>2</v>
      </c>
      <c r="CQ3" s="27">
        <f t="shared" si="0"/>
        <v>1</v>
      </c>
      <c r="CR3" s="27">
        <f t="shared" si="0"/>
        <v>1</v>
      </c>
      <c r="CS3" s="27">
        <f t="shared" si="0"/>
        <v>3</v>
      </c>
      <c r="CT3" s="27">
        <f t="shared" si="0"/>
        <v>3</v>
      </c>
      <c r="CU3" s="27">
        <f t="shared" si="0"/>
        <v>6</v>
      </c>
      <c r="CV3" s="27">
        <f t="shared" si="0"/>
        <v>1</v>
      </c>
      <c r="CW3" s="27">
        <f t="shared" si="0"/>
        <v>0</v>
      </c>
      <c r="CX3" s="27">
        <f t="shared" si="0"/>
        <v>2</v>
      </c>
      <c r="CY3" s="27">
        <f t="shared" si="0"/>
        <v>3</v>
      </c>
      <c r="CZ3" s="27">
        <f t="shared" si="0"/>
        <v>3</v>
      </c>
      <c r="DA3" s="27">
        <f t="shared" si="0"/>
        <v>5</v>
      </c>
      <c r="DB3" s="27">
        <f t="shared" si="0"/>
        <v>4</v>
      </c>
      <c r="DC3" s="27">
        <f t="shared" si="0"/>
        <v>1</v>
      </c>
      <c r="DD3" s="27">
        <f t="shared" si="0"/>
        <v>3</v>
      </c>
      <c r="DE3" s="27">
        <f t="shared" si="0"/>
        <v>3</v>
      </c>
      <c r="DF3" s="27">
        <f t="shared" si="0"/>
        <v>3</v>
      </c>
      <c r="DG3" s="27">
        <f t="shared" si="0"/>
        <v>2</v>
      </c>
      <c r="DH3" s="27">
        <f t="shared" si="0"/>
        <v>2</v>
      </c>
      <c r="DI3" s="27">
        <f t="shared" si="0"/>
        <v>4</v>
      </c>
      <c r="DJ3" s="27">
        <f t="shared" si="0"/>
        <v>2</v>
      </c>
      <c r="DK3" s="27">
        <f t="shared" si="0"/>
        <v>1</v>
      </c>
      <c r="DL3" s="27">
        <f t="shared" si="0"/>
        <v>1</v>
      </c>
      <c r="DM3" s="27">
        <f t="shared" si="0"/>
        <v>3</v>
      </c>
      <c r="DN3" s="27">
        <f t="shared" si="0"/>
        <v>2</v>
      </c>
      <c r="DO3" s="27">
        <f t="shared" si="0"/>
        <v>3</v>
      </c>
      <c r="DP3" s="27">
        <f t="shared" si="0"/>
        <v>6</v>
      </c>
      <c r="DQ3" s="27">
        <f t="shared" si="0"/>
        <v>2</v>
      </c>
      <c r="DR3" s="27">
        <f t="shared" si="0"/>
        <v>2</v>
      </c>
      <c r="DS3" s="27">
        <f t="shared" si="0"/>
        <v>3</v>
      </c>
      <c r="DT3" s="27">
        <f t="shared" si="0"/>
        <v>3</v>
      </c>
      <c r="DU3" s="27">
        <f t="shared" si="0"/>
        <v>3</v>
      </c>
      <c r="DV3" s="27">
        <f t="shared" si="0"/>
        <v>1</v>
      </c>
      <c r="DW3" s="27">
        <f t="shared" si="0"/>
        <v>4</v>
      </c>
      <c r="DX3" s="27">
        <f t="shared" si="0"/>
        <v>2</v>
      </c>
      <c r="DY3" s="27">
        <f t="shared" si="0"/>
        <v>2</v>
      </c>
      <c r="DZ3" s="27">
        <f t="shared" si="0"/>
        <v>2</v>
      </c>
      <c r="EA3" s="27">
        <f t="shared" si="0"/>
        <v>2</v>
      </c>
      <c r="EB3" s="27">
        <f t="shared" si="0"/>
        <v>2</v>
      </c>
      <c r="EC3" s="27">
        <f t="shared" si="0"/>
        <v>3</v>
      </c>
      <c r="ED3" s="27">
        <f t="shared" si="0"/>
        <v>5</v>
      </c>
      <c r="EE3" s="27">
        <f t="shared" si="0"/>
        <v>0</v>
      </c>
      <c r="EF3" s="27">
        <f t="shared" si="0"/>
        <v>1</v>
      </c>
      <c r="EG3" s="27">
        <f t="shared" si="0"/>
        <v>2</v>
      </c>
      <c r="EH3" s="27">
        <f t="shared" si="0"/>
        <v>6</v>
      </c>
      <c r="EI3" s="27">
        <f t="shared" si="0"/>
        <v>2</v>
      </c>
      <c r="EJ3" s="27">
        <f t="shared" si="0"/>
        <v>2</v>
      </c>
      <c r="EK3" s="27">
        <f t="shared" si="0"/>
        <v>5</v>
      </c>
      <c r="EL3" s="27">
        <f t="shared" si="0"/>
        <v>0</v>
      </c>
      <c r="EM3" s="27">
        <f t="shared" si="0"/>
        <v>1</v>
      </c>
      <c r="EN3" s="27">
        <f t="shared" si="0"/>
        <v>0</v>
      </c>
      <c r="EO3" s="27">
        <f t="shared" si="0"/>
        <v>7</v>
      </c>
      <c r="EP3" s="27">
        <f t="shared" si="0"/>
        <v>2</v>
      </c>
      <c r="EQ3" s="27">
        <f t="shared" si="0"/>
        <v>3</v>
      </c>
      <c r="ER3" s="27">
        <f t="shared" si="0"/>
        <v>5</v>
      </c>
      <c r="ES3" s="27">
        <f t="shared" si="0"/>
        <v>1</v>
      </c>
      <c r="ET3" s="27">
        <f t="shared" si="0"/>
        <v>2</v>
      </c>
      <c r="EU3" s="27">
        <f t="shared" si="0"/>
        <v>2</v>
      </c>
      <c r="EV3" s="27">
        <f t="shared" si="0"/>
        <v>2</v>
      </c>
      <c r="EW3" s="27">
        <f t="shared" si="0"/>
        <v>2</v>
      </c>
      <c r="EX3" s="27">
        <f t="shared" si="0"/>
        <v>4</v>
      </c>
      <c r="EY3" s="27">
        <f t="shared" si="0"/>
        <v>5</v>
      </c>
      <c r="EZ3" s="27">
        <f t="shared" si="0"/>
        <v>3</v>
      </c>
      <c r="FA3" s="27">
        <f t="shared" si="0"/>
        <v>2</v>
      </c>
      <c r="FB3" s="27">
        <f t="shared" si="0"/>
        <v>1</v>
      </c>
      <c r="FC3" s="27">
        <f t="shared" si="0"/>
        <v>1</v>
      </c>
      <c r="FD3" s="27">
        <f t="shared" si="0"/>
        <v>1</v>
      </c>
      <c r="FE3" s="27">
        <f t="shared" si="0"/>
        <v>5</v>
      </c>
      <c r="FF3" s="27">
        <f t="shared" si="0"/>
        <v>5</v>
      </c>
      <c r="FG3" s="27">
        <f t="shared" si="0"/>
        <v>2</v>
      </c>
      <c r="FH3" s="27">
        <f t="shared" si="0"/>
        <v>2</v>
      </c>
      <c r="FI3" s="27">
        <f t="shared" si="0"/>
        <v>1</v>
      </c>
      <c r="FJ3" s="27">
        <f t="shared" si="0"/>
        <v>2</v>
      </c>
      <c r="FK3" s="27">
        <f t="shared" si="0"/>
        <v>1</v>
      </c>
      <c r="FL3" s="27">
        <f t="shared" si="0"/>
        <v>4</v>
      </c>
      <c r="FM3" s="27">
        <f t="shared" si="0"/>
        <v>5</v>
      </c>
      <c r="FN3" s="27">
        <f t="shared" si="0"/>
        <v>2</v>
      </c>
      <c r="FO3" s="27">
        <f t="shared" si="0"/>
        <v>2</v>
      </c>
      <c r="FP3" s="27">
        <f t="shared" si="0"/>
        <v>2</v>
      </c>
      <c r="FQ3" s="27">
        <f t="shared" si="0"/>
        <v>1</v>
      </c>
      <c r="FR3" s="27">
        <f t="shared" si="0"/>
        <v>1</v>
      </c>
      <c r="FS3" s="27">
        <f t="shared" si="0"/>
        <v>4</v>
      </c>
      <c r="FT3" s="27">
        <f t="shared" si="0"/>
        <v>5</v>
      </c>
      <c r="FU3" s="27">
        <f t="shared" si="0"/>
        <v>2</v>
      </c>
      <c r="FV3" s="27">
        <f t="shared" si="0"/>
        <v>1</v>
      </c>
      <c r="FW3" s="27">
        <f t="shared" si="0"/>
        <v>1</v>
      </c>
      <c r="FX3" s="27">
        <f t="shared" si="0"/>
        <v>2</v>
      </c>
      <c r="FY3" s="27">
        <f t="shared" si="0"/>
        <v>1</v>
      </c>
      <c r="FZ3" s="27">
        <f t="shared" si="0"/>
        <v>5</v>
      </c>
      <c r="GA3" s="27">
        <f t="shared" si="0"/>
        <v>6</v>
      </c>
      <c r="GB3" s="27">
        <f t="shared" si="0"/>
        <v>2</v>
      </c>
      <c r="GC3" s="27">
        <f t="shared" si="0"/>
        <v>1</v>
      </c>
      <c r="GD3" s="27">
        <f t="shared" si="0"/>
        <v>1</v>
      </c>
      <c r="GE3" s="27">
        <f t="shared" si="0"/>
        <v>2</v>
      </c>
      <c r="GF3" s="27">
        <f t="shared" si="0"/>
        <v>3</v>
      </c>
      <c r="GG3" s="27">
        <f t="shared" si="0"/>
        <v>5</v>
      </c>
      <c r="GH3" s="27">
        <f t="shared" si="0"/>
        <v>4</v>
      </c>
      <c r="GI3" s="27">
        <f t="shared" si="0"/>
        <v>2</v>
      </c>
      <c r="GJ3" s="27">
        <f t="shared" si="0"/>
        <v>1</v>
      </c>
      <c r="GK3" s="27">
        <f t="shared" si="0"/>
        <v>1</v>
      </c>
      <c r="GL3" s="27">
        <f t="shared" si="0"/>
        <v>1</v>
      </c>
      <c r="GM3" s="27">
        <f t="shared" si="0"/>
        <v>3</v>
      </c>
      <c r="GN3" s="27">
        <f t="shared" si="0"/>
        <v>5</v>
      </c>
      <c r="GO3" s="27">
        <f t="shared" si="0"/>
        <v>5</v>
      </c>
      <c r="GP3" s="27">
        <f t="shared" si="0"/>
        <v>1</v>
      </c>
      <c r="GQ3" s="27">
        <f t="shared" si="0"/>
        <v>2</v>
      </c>
      <c r="GR3" s="27">
        <f t="shared" si="0"/>
        <v>1</v>
      </c>
      <c r="GS3" s="27">
        <f t="shared" si="0"/>
        <v>2</v>
      </c>
      <c r="GT3" s="27">
        <f t="shared" si="0"/>
        <v>1</v>
      </c>
      <c r="GU3" s="27">
        <f t="shared" si="0"/>
        <v>5</v>
      </c>
      <c r="GV3" s="27">
        <f t="shared" si="0"/>
        <v>6</v>
      </c>
      <c r="GW3" s="27">
        <f t="shared" si="0"/>
        <v>2</v>
      </c>
      <c r="GX3" s="27">
        <f t="shared" si="0"/>
        <v>1</v>
      </c>
      <c r="GY3" s="27">
        <f t="shared" si="0"/>
        <v>2</v>
      </c>
      <c r="GZ3" s="27">
        <f t="shared" si="0"/>
        <v>2</v>
      </c>
      <c r="HA3" s="27">
        <f t="shared" si="0"/>
        <v>2</v>
      </c>
      <c r="HB3" s="27">
        <f t="shared" si="0"/>
        <v>4</v>
      </c>
      <c r="HC3" s="27">
        <f t="shared" si="0"/>
        <v>5</v>
      </c>
      <c r="HD3" s="27">
        <f t="shared" si="0"/>
        <v>2</v>
      </c>
      <c r="HE3" s="27">
        <f t="shared" si="0"/>
        <v>2</v>
      </c>
      <c r="HF3" s="27">
        <f t="shared" si="0"/>
        <v>1</v>
      </c>
      <c r="HG3" s="27">
        <f t="shared" si="0"/>
        <v>0</v>
      </c>
      <c r="HH3" s="27">
        <f t="shared" si="0"/>
        <v>3</v>
      </c>
      <c r="HI3" s="27">
        <f t="shared" si="0"/>
        <v>6</v>
      </c>
      <c r="HJ3" s="27">
        <f t="shared" si="0"/>
        <v>4</v>
      </c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5">
        <v>46132</v>
      </c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</row>
    <row r="4" spans="1:358" ht="13" hidden="1">
      <c r="O4" s="26" t="s">
        <v>262</v>
      </c>
      <c r="P4" s="27">
        <f t="shared" ref="P4:HJ4" si="1">COUNTIFS(P10:P18,"&lt;&gt;"&amp;"OFF",P10:P18,"&lt;&gt;"&amp;"ABS",P10:P18,"&lt;&gt;"&amp;"CP",P10:P18,"&lt;&gt;"&amp;"FERIE")</f>
        <v>9</v>
      </c>
      <c r="Q4" s="27">
        <f t="shared" si="1"/>
        <v>6</v>
      </c>
      <c r="R4" s="27">
        <f t="shared" si="1"/>
        <v>6</v>
      </c>
      <c r="S4" s="27">
        <f t="shared" si="1"/>
        <v>8</v>
      </c>
      <c r="T4" s="27">
        <f t="shared" si="1"/>
        <v>8</v>
      </c>
      <c r="U4" s="27">
        <f t="shared" si="1"/>
        <v>4</v>
      </c>
      <c r="V4" s="27">
        <f t="shared" si="1"/>
        <v>4</v>
      </c>
      <c r="W4" s="27">
        <f t="shared" si="1"/>
        <v>7</v>
      </c>
      <c r="X4" s="27">
        <f t="shared" si="1"/>
        <v>6</v>
      </c>
      <c r="Y4" s="27">
        <f t="shared" si="1"/>
        <v>9</v>
      </c>
      <c r="Z4" s="27">
        <f t="shared" si="1"/>
        <v>9</v>
      </c>
      <c r="AA4" s="27">
        <f t="shared" si="1"/>
        <v>7</v>
      </c>
      <c r="AB4" s="27">
        <f t="shared" si="1"/>
        <v>3</v>
      </c>
      <c r="AC4" s="27">
        <f t="shared" si="1"/>
        <v>3</v>
      </c>
      <c r="AD4" s="27">
        <f t="shared" si="1"/>
        <v>7</v>
      </c>
      <c r="AE4" s="27">
        <f t="shared" si="1"/>
        <v>8</v>
      </c>
      <c r="AF4" s="27">
        <f t="shared" si="1"/>
        <v>8</v>
      </c>
      <c r="AG4" s="27">
        <f t="shared" si="1"/>
        <v>7</v>
      </c>
      <c r="AH4" s="27">
        <f t="shared" si="1"/>
        <v>7</v>
      </c>
      <c r="AI4" s="27">
        <f t="shared" si="1"/>
        <v>4</v>
      </c>
      <c r="AJ4" s="27">
        <f t="shared" si="1"/>
        <v>4</v>
      </c>
      <c r="AK4" s="27">
        <f t="shared" si="1"/>
        <v>8</v>
      </c>
      <c r="AL4" s="27">
        <f t="shared" si="1"/>
        <v>8</v>
      </c>
      <c r="AM4" s="27">
        <f t="shared" si="1"/>
        <v>8</v>
      </c>
      <c r="AN4" s="27">
        <f t="shared" si="1"/>
        <v>7</v>
      </c>
      <c r="AO4" s="27">
        <f t="shared" si="1"/>
        <v>6</v>
      </c>
      <c r="AP4" s="27">
        <f t="shared" si="1"/>
        <v>3</v>
      </c>
      <c r="AQ4" s="27">
        <f t="shared" si="1"/>
        <v>4</v>
      </c>
      <c r="AR4" s="27">
        <f t="shared" si="1"/>
        <v>8</v>
      </c>
      <c r="AS4" s="27">
        <f t="shared" si="1"/>
        <v>7</v>
      </c>
      <c r="AT4" s="27">
        <f t="shared" si="1"/>
        <v>6</v>
      </c>
      <c r="AU4" s="27">
        <f t="shared" si="1"/>
        <v>7</v>
      </c>
      <c r="AV4" s="27">
        <f t="shared" si="1"/>
        <v>7</v>
      </c>
      <c r="AW4" s="27">
        <f t="shared" si="1"/>
        <v>4</v>
      </c>
      <c r="AX4" s="27">
        <f t="shared" si="1"/>
        <v>5</v>
      </c>
      <c r="AY4" s="27">
        <f t="shared" si="1"/>
        <v>6</v>
      </c>
      <c r="AZ4" s="27">
        <f t="shared" si="1"/>
        <v>8</v>
      </c>
      <c r="BA4" s="27">
        <f t="shared" si="1"/>
        <v>8</v>
      </c>
      <c r="BB4" s="27">
        <f t="shared" si="1"/>
        <v>7</v>
      </c>
      <c r="BC4" s="27">
        <f t="shared" si="1"/>
        <v>7</v>
      </c>
      <c r="BD4" s="27">
        <f t="shared" si="1"/>
        <v>6</v>
      </c>
      <c r="BE4" s="27">
        <f t="shared" si="1"/>
        <v>3</v>
      </c>
      <c r="BF4" s="27">
        <f t="shared" si="1"/>
        <v>7</v>
      </c>
      <c r="BG4" s="27">
        <f t="shared" si="1"/>
        <v>7</v>
      </c>
      <c r="BH4" s="27">
        <f t="shared" si="1"/>
        <v>7</v>
      </c>
      <c r="BI4" s="27">
        <f t="shared" si="1"/>
        <v>7</v>
      </c>
      <c r="BJ4" s="27">
        <f t="shared" si="1"/>
        <v>7</v>
      </c>
      <c r="BK4" s="27">
        <f t="shared" si="1"/>
        <v>6</v>
      </c>
      <c r="BL4" s="27">
        <f t="shared" si="1"/>
        <v>4</v>
      </c>
      <c r="BM4" s="27">
        <f t="shared" si="1"/>
        <v>7</v>
      </c>
      <c r="BN4" s="27">
        <f t="shared" si="1"/>
        <v>8</v>
      </c>
      <c r="BO4" s="27">
        <f t="shared" si="1"/>
        <v>7</v>
      </c>
      <c r="BP4" s="27">
        <f t="shared" si="1"/>
        <v>7</v>
      </c>
      <c r="BQ4" s="27">
        <f t="shared" si="1"/>
        <v>6</v>
      </c>
      <c r="BR4" s="27">
        <f t="shared" si="1"/>
        <v>5</v>
      </c>
      <c r="BS4" s="27">
        <f t="shared" si="1"/>
        <v>5</v>
      </c>
      <c r="BT4" s="27">
        <f t="shared" si="1"/>
        <v>7</v>
      </c>
      <c r="BU4" s="27">
        <f t="shared" si="1"/>
        <v>7</v>
      </c>
      <c r="BV4" s="27">
        <f t="shared" si="1"/>
        <v>7</v>
      </c>
      <c r="BW4" s="27">
        <f t="shared" si="1"/>
        <v>8</v>
      </c>
      <c r="BX4" s="27">
        <f t="shared" si="1"/>
        <v>7</v>
      </c>
      <c r="BY4" s="27">
        <f t="shared" si="1"/>
        <v>6</v>
      </c>
      <c r="BZ4" s="27">
        <f t="shared" si="1"/>
        <v>2</v>
      </c>
      <c r="CA4" s="27">
        <f t="shared" si="1"/>
        <v>7</v>
      </c>
      <c r="CB4" s="27">
        <f t="shared" si="1"/>
        <v>8</v>
      </c>
      <c r="CC4" s="27">
        <f t="shared" si="1"/>
        <v>7</v>
      </c>
      <c r="CD4" s="27">
        <f t="shared" si="1"/>
        <v>8</v>
      </c>
      <c r="CE4" s="27">
        <f t="shared" si="1"/>
        <v>7</v>
      </c>
      <c r="CF4" s="27">
        <f t="shared" si="1"/>
        <v>5</v>
      </c>
      <c r="CG4" s="27">
        <f t="shared" si="1"/>
        <v>3</v>
      </c>
      <c r="CH4" s="27">
        <f t="shared" si="1"/>
        <v>9</v>
      </c>
      <c r="CI4" s="27">
        <f t="shared" si="1"/>
        <v>7</v>
      </c>
      <c r="CJ4" s="27">
        <f t="shared" si="1"/>
        <v>6</v>
      </c>
      <c r="CK4" s="27">
        <f t="shared" si="1"/>
        <v>6</v>
      </c>
      <c r="CL4" s="27">
        <f t="shared" si="1"/>
        <v>6</v>
      </c>
      <c r="CM4" s="27">
        <f t="shared" si="1"/>
        <v>5</v>
      </c>
      <c r="CN4" s="27">
        <f t="shared" si="1"/>
        <v>5</v>
      </c>
      <c r="CO4" s="27">
        <f t="shared" si="1"/>
        <v>7</v>
      </c>
      <c r="CP4" s="27">
        <f t="shared" si="1"/>
        <v>7</v>
      </c>
      <c r="CQ4" s="27">
        <f t="shared" si="1"/>
        <v>8</v>
      </c>
      <c r="CR4" s="27">
        <f t="shared" si="1"/>
        <v>8</v>
      </c>
      <c r="CS4" s="27">
        <f t="shared" si="1"/>
        <v>6</v>
      </c>
      <c r="CT4" s="27">
        <f t="shared" si="1"/>
        <v>6</v>
      </c>
      <c r="CU4" s="27">
        <f t="shared" si="1"/>
        <v>2</v>
      </c>
      <c r="CV4" s="27">
        <f t="shared" si="1"/>
        <v>8</v>
      </c>
      <c r="CW4" s="27">
        <f t="shared" si="1"/>
        <v>6</v>
      </c>
      <c r="CX4" s="27">
        <f t="shared" si="1"/>
        <v>7</v>
      </c>
      <c r="CY4" s="27">
        <f t="shared" si="1"/>
        <v>6</v>
      </c>
      <c r="CZ4" s="27">
        <f t="shared" si="1"/>
        <v>6</v>
      </c>
      <c r="DA4" s="27">
        <f t="shared" si="1"/>
        <v>4</v>
      </c>
      <c r="DB4" s="27">
        <f t="shared" si="1"/>
        <v>5</v>
      </c>
      <c r="DC4" s="27">
        <f t="shared" si="1"/>
        <v>8</v>
      </c>
      <c r="DD4" s="27">
        <f t="shared" si="1"/>
        <v>6</v>
      </c>
      <c r="DE4" s="27">
        <f t="shared" si="1"/>
        <v>6</v>
      </c>
      <c r="DF4" s="27">
        <f t="shared" si="1"/>
        <v>6</v>
      </c>
      <c r="DG4" s="27">
        <f t="shared" si="1"/>
        <v>7</v>
      </c>
      <c r="DH4" s="27">
        <f t="shared" si="1"/>
        <v>7</v>
      </c>
      <c r="DI4" s="27">
        <f t="shared" si="1"/>
        <v>5</v>
      </c>
      <c r="DJ4" s="27">
        <f t="shared" si="1"/>
        <v>7</v>
      </c>
      <c r="DK4" s="27">
        <f t="shared" si="1"/>
        <v>8</v>
      </c>
      <c r="DL4" s="27">
        <f t="shared" si="1"/>
        <v>8</v>
      </c>
      <c r="DM4" s="27">
        <f t="shared" si="1"/>
        <v>6</v>
      </c>
      <c r="DN4" s="27">
        <f t="shared" si="1"/>
        <v>7</v>
      </c>
      <c r="DO4" s="27">
        <f t="shared" si="1"/>
        <v>6</v>
      </c>
      <c r="DP4" s="27">
        <f t="shared" si="1"/>
        <v>3</v>
      </c>
      <c r="DQ4" s="27">
        <f t="shared" si="1"/>
        <v>7</v>
      </c>
      <c r="DR4" s="27">
        <f t="shared" si="1"/>
        <v>7</v>
      </c>
      <c r="DS4" s="27">
        <f t="shared" si="1"/>
        <v>6</v>
      </c>
      <c r="DT4" s="27">
        <f t="shared" si="1"/>
        <v>6</v>
      </c>
      <c r="DU4" s="27">
        <f t="shared" si="1"/>
        <v>6</v>
      </c>
      <c r="DV4" s="27">
        <f t="shared" si="1"/>
        <v>8</v>
      </c>
      <c r="DW4" s="27">
        <f t="shared" si="1"/>
        <v>5</v>
      </c>
      <c r="DX4" s="27">
        <f t="shared" si="1"/>
        <v>7</v>
      </c>
      <c r="DY4" s="27">
        <f t="shared" si="1"/>
        <v>7</v>
      </c>
      <c r="DZ4" s="27">
        <f t="shared" si="1"/>
        <v>7</v>
      </c>
      <c r="EA4" s="27">
        <f t="shared" si="1"/>
        <v>7</v>
      </c>
      <c r="EB4" s="27">
        <f t="shared" si="1"/>
        <v>7</v>
      </c>
      <c r="EC4" s="27">
        <f t="shared" si="1"/>
        <v>6</v>
      </c>
      <c r="ED4" s="27">
        <f t="shared" si="1"/>
        <v>4</v>
      </c>
      <c r="EE4" s="27">
        <f t="shared" si="1"/>
        <v>9</v>
      </c>
      <c r="EF4" s="27">
        <f t="shared" si="1"/>
        <v>8</v>
      </c>
      <c r="EG4" s="27">
        <f t="shared" si="1"/>
        <v>7</v>
      </c>
      <c r="EH4" s="27">
        <f t="shared" si="1"/>
        <v>3</v>
      </c>
      <c r="EI4" s="27">
        <f t="shared" si="1"/>
        <v>7</v>
      </c>
      <c r="EJ4" s="27">
        <f t="shared" si="1"/>
        <v>7</v>
      </c>
      <c r="EK4" s="27">
        <f t="shared" si="1"/>
        <v>4</v>
      </c>
      <c r="EL4" s="27">
        <f t="shared" si="1"/>
        <v>9</v>
      </c>
      <c r="EM4" s="27">
        <f t="shared" si="1"/>
        <v>8</v>
      </c>
      <c r="EN4" s="27">
        <f t="shared" si="1"/>
        <v>9</v>
      </c>
      <c r="EO4" s="27">
        <f t="shared" si="1"/>
        <v>2</v>
      </c>
      <c r="EP4" s="27">
        <f t="shared" si="1"/>
        <v>7</v>
      </c>
      <c r="EQ4" s="27">
        <f t="shared" si="1"/>
        <v>6</v>
      </c>
      <c r="ER4" s="27">
        <f t="shared" si="1"/>
        <v>4</v>
      </c>
      <c r="ES4" s="27">
        <f t="shared" si="1"/>
        <v>8</v>
      </c>
      <c r="ET4" s="27">
        <f t="shared" si="1"/>
        <v>7</v>
      </c>
      <c r="EU4" s="27">
        <f t="shared" si="1"/>
        <v>7</v>
      </c>
      <c r="EV4" s="27">
        <f t="shared" si="1"/>
        <v>7</v>
      </c>
      <c r="EW4" s="27">
        <f t="shared" si="1"/>
        <v>7</v>
      </c>
      <c r="EX4" s="27">
        <f t="shared" si="1"/>
        <v>5</v>
      </c>
      <c r="EY4" s="27">
        <f t="shared" si="1"/>
        <v>4</v>
      </c>
      <c r="EZ4" s="27">
        <f t="shared" si="1"/>
        <v>6</v>
      </c>
      <c r="FA4" s="27">
        <f t="shared" si="1"/>
        <v>7</v>
      </c>
      <c r="FB4" s="27">
        <f t="shared" si="1"/>
        <v>8</v>
      </c>
      <c r="FC4" s="27">
        <f t="shared" si="1"/>
        <v>8</v>
      </c>
      <c r="FD4" s="27">
        <f t="shared" si="1"/>
        <v>8</v>
      </c>
      <c r="FE4" s="27">
        <f t="shared" si="1"/>
        <v>4</v>
      </c>
      <c r="FF4" s="27">
        <f t="shared" si="1"/>
        <v>4</v>
      </c>
      <c r="FG4" s="27">
        <f t="shared" si="1"/>
        <v>7</v>
      </c>
      <c r="FH4" s="27">
        <f t="shared" si="1"/>
        <v>7</v>
      </c>
      <c r="FI4" s="27">
        <f t="shared" si="1"/>
        <v>8</v>
      </c>
      <c r="FJ4" s="27">
        <f t="shared" si="1"/>
        <v>7</v>
      </c>
      <c r="FK4" s="27">
        <f t="shared" si="1"/>
        <v>8</v>
      </c>
      <c r="FL4" s="27">
        <f t="shared" si="1"/>
        <v>5</v>
      </c>
      <c r="FM4" s="27">
        <f t="shared" si="1"/>
        <v>4</v>
      </c>
      <c r="FN4" s="27">
        <f t="shared" si="1"/>
        <v>7</v>
      </c>
      <c r="FO4" s="27">
        <f t="shared" si="1"/>
        <v>7</v>
      </c>
      <c r="FP4" s="27">
        <f t="shared" si="1"/>
        <v>7</v>
      </c>
      <c r="FQ4" s="27">
        <f t="shared" si="1"/>
        <v>8</v>
      </c>
      <c r="FR4" s="27">
        <f t="shared" si="1"/>
        <v>8</v>
      </c>
      <c r="FS4" s="27">
        <f t="shared" si="1"/>
        <v>5</v>
      </c>
      <c r="FT4" s="27">
        <f t="shared" si="1"/>
        <v>4</v>
      </c>
      <c r="FU4" s="27">
        <f t="shared" si="1"/>
        <v>7</v>
      </c>
      <c r="FV4" s="27">
        <f t="shared" si="1"/>
        <v>8</v>
      </c>
      <c r="FW4" s="27">
        <f t="shared" si="1"/>
        <v>8</v>
      </c>
      <c r="FX4" s="27">
        <f t="shared" si="1"/>
        <v>7</v>
      </c>
      <c r="FY4" s="27">
        <f t="shared" si="1"/>
        <v>8</v>
      </c>
      <c r="FZ4" s="27">
        <f t="shared" si="1"/>
        <v>4</v>
      </c>
      <c r="GA4" s="27">
        <f t="shared" si="1"/>
        <v>3</v>
      </c>
      <c r="GB4" s="27">
        <f t="shared" si="1"/>
        <v>7</v>
      </c>
      <c r="GC4" s="27">
        <f t="shared" si="1"/>
        <v>8</v>
      </c>
      <c r="GD4" s="27">
        <f t="shared" si="1"/>
        <v>8</v>
      </c>
      <c r="GE4" s="27">
        <f t="shared" si="1"/>
        <v>7</v>
      </c>
      <c r="GF4" s="27">
        <f t="shared" si="1"/>
        <v>6</v>
      </c>
      <c r="GG4" s="27">
        <f t="shared" si="1"/>
        <v>4</v>
      </c>
      <c r="GH4" s="27">
        <f t="shared" si="1"/>
        <v>5</v>
      </c>
      <c r="GI4" s="27">
        <f t="shared" si="1"/>
        <v>7</v>
      </c>
      <c r="GJ4" s="27">
        <f t="shared" si="1"/>
        <v>8</v>
      </c>
      <c r="GK4" s="27">
        <f t="shared" si="1"/>
        <v>8</v>
      </c>
      <c r="GL4" s="27">
        <f t="shared" si="1"/>
        <v>8</v>
      </c>
      <c r="GM4" s="27">
        <f t="shared" si="1"/>
        <v>6</v>
      </c>
      <c r="GN4" s="27">
        <f t="shared" si="1"/>
        <v>4</v>
      </c>
      <c r="GO4" s="27">
        <f t="shared" si="1"/>
        <v>4</v>
      </c>
      <c r="GP4" s="27">
        <f t="shared" si="1"/>
        <v>8</v>
      </c>
      <c r="GQ4" s="27">
        <f t="shared" si="1"/>
        <v>7</v>
      </c>
      <c r="GR4" s="27">
        <f t="shared" si="1"/>
        <v>8</v>
      </c>
      <c r="GS4" s="27">
        <f t="shared" si="1"/>
        <v>7</v>
      </c>
      <c r="GT4" s="27">
        <f t="shared" si="1"/>
        <v>8</v>
      </c>
      <c r="GU4" s="27">
        <f t="shared" si="1"/>
        <v>4</v>
      </c>
      <c r="GV4" s="27">
        <f t="shared" si="1"/>
        <v>3</v>
      </c>
      <c r="GW4" s="27">
        <f t="shared" si="1"/>
        <v>7</v>
      </c>
      <c r="GX4" s="27">
        <f t="shared" si="1"/>
        <v>8</v>
      </c>
      <c r="GY4" s="27">
        <f t="shared" si="1"/>
        <v>7</v>
      </c>
      <c r="GZ4" s="27">
        <f t="shared" si="1"/>
        <v>7</v>
      </c>
      <c r="HA4" s="27">
        <f t="shared" si="1"/>
        <v>7</v>
      </c>
      <c r="HB4" s="27">
        <f t="shared" si="1"/>
        <v>5</v>
      </c>
      <c r="HC4" s="27">
        <f t="shared" si="1"/>
        <v>4</v>
      </c>
      <c r="HD4" s="27">
        <f t="shared" si="1"/>
        <v>7</v>
      </c>
      <c r="HE4" s="27">
        <f t="shared" si="1"/>
        <v>7</v>
      </c>
      <c r="HF4" s="27">
        <f t="shared" si="1"/>
        <v>8</v>
      </c>
      <c r="HG4" s="27">
        <f t="shared" si="1"/>
        <v>9</v>
      </c>
      <c r="HH4" s="27">
        <f t="shared" si="1"/>
        <v>6</v>
      </c>
      <c r="HI4" s="27">
        <f t="shared" si="1"/>
        <v>3</v>
      </c>
      <c r="HJ4" s="27">
        <f t="shared" si="1"/>
        <v>5</v>
      </c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5">
        <v>46133</v>
      </c>
      <c r="IT4" s="27"/>
      <c r="IU4" s="27"/>
      <c r="IV4" s="27"/>
      <c r="IW4" s="27"/>
      <c r="IX4" s="27"/>
      <c r="IY4" s="27"/>
      <c r="IZ4" s="27"/>
      <c r="JA4" s="27"/>
      <c r="JB4" s="27"/>
      <c r="JC4" s="27"/>
      <c r="JD4" s="27"/>
      <c r="JE4" s="27"/>
      <c r="JF4" s="27"/>
      <c r="JG4" s="27"/>
      <c r="JH4" s="27"/>
      <c r="JI4" s="27"/>
      <c r="JJ4" s="27"/>
      <c r="JK4" s="27"/>
      <c r="JL4" s="27"/>
      <c r="JM4" s="27"/>
      <c r="JN4" s="27"/>
      <c r="JO4" s="27"/>
      <c r="JP4" s="27"/>
      <c r="JQ4" s="27"/>
      <c r="JR4" s="27"/>
      <c r="JS4" s="27"/>
      <c r="JT4" s="27"/>
      <c r="JU4" s="27"/>
    </row>
    <row r="5" spans="1:358" ht="13" hidden="1">
      <c r="O5" s="196" t="s">
        <v>263</v>
      </c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  <c r="AI5" s="197"/>
      <c r="AJ5" s="197"/>
      <c r="AK5" s="197"/>
      <c r="AL5" s="197"/>
      <c r="AM5" s="197"/>
      <c r="AN5" s="197"/>
      <c r="AO5" s="197"/>
      <c r="AP5" s="197"/>
      <c r="AQ5" s="197"/>
      <c r="AR5" s="197"/>
      <c r="AS5" s="197"/>
      <c r="AT5" s="197"/>
      <c r="AU5" s="197"/>
      <c r="AV5" s="197"/>
      <c r="AW5" s="197"/>
      <c r="AX5" s="197"/>
      <c r="AY5" s="197"/>
      <c r="AZ5" s="197"/>
      <c r="BA5" s="197"/>
      <c r="BB5" s="197"/>
      <c r="BC5" s="197"/>
      <c r="BD5" s="197"/>
      <c r="BE5" s="197"/>
      <c r="BF5" s="197"/>
      <c r="BG5" s="197"/>
      <c r="BH5" s="197"/>
      <c r="BI5" s="197"/>
      <c r="BJ5" s="197"/>
      <c r="BK5" s="197"/>
      <c r="BL5" s="197"/>
      <c r="BM5" s="197"/>
      <c r="BN5" s="197"/>
      <c r="BO5" s="197"/>
      <c r="BP5" s="197"/>
      <c r="BQ5" s="197"/>
      <c r="BR5" s="197"/>
      <c r="BS5" s="197"/>
      <c r="BT5" s="197"/>
      <c r="BU5" s="197"/>
      <c r="BV5" s="197"/>
      <c r="BW5" s="197"/>
      <c r="BX5" s="197"/>
      <c r="BY5" s="197"/>
      <c r="BZ5" s="197"/>
      <c r="CA5" s="197"/>
      <c r="CB5" s="197"/>
      <c r="CC5" s="197"/>
      <c r="CD5" s="197"/>
      <c r="CE5" s="197"/>
      <c r="CF5" s="197"/>
      <c r="CG5" s="197"/>
      <c r="CH5" s="197"/>
      <c r="CI5" s="197"/>
      <c r="CJ5" s="197"/>
      <c r="CK5" s="197"/>
      <c r="CL5" s="197"/>
      <c r="CM5" s="197"/>
      <c r="CN5" s="197"/>
      <c r="CO5" s="197"/>
      <c r="CP5" s="197"/>
      <c r="CQ5" s="197"/>
      <c r="CR5" s="197"/>
      <c r="CS5" s="197"/>
      <c r="CT5" s="197"/>
      <c r="CU5" s="197"/>
      <c r="CV5" s="197"/>
      <c r="CW5" s="197"/>
      <c r="CX5" s="197"/>
      <c r="CY5" s="197"/>
      <c r="CZ5" s="197"/>
      <c r="DA5" s="197"/>
      <c r="DB5" s="197"/>
      <c r="DC5" s="197"/>
      <c r="DD5" s="197"/>
      <c r="DE5" s="197"/>
      <c r="DF5" s="197"/>
      <c r="DG5" s="197"/>
      <c r="DH5" s="197"/>
      <c r="DI5" s="197"/>
      <c r="DJ5" s="197"/>
      <c r="DK5" s="197"/>
      <c r="DL5" s="197"/>
      <c r="DM5" s="197"/>
      <c r="DN5" s="197"/>
      <c r="DO5" s="197"/>
      <c r="DP5" s="197"/>
      <c r="DQ5" s="197"/>
      <c r="DR5" s="197"/>
      <c r="DS5" s="197"/>
      <c r="DT5" s="197"/>
      <c r="DU5" s="197"/>
      <c r="DV5" s="197"/>
      <c r="DW5" s="197"/>
      <c r="DX5" s="197"/>
      <c r="DY5" s="197"/>
      <c r="DZ5" s="197"/>
      <c r="EA5" s="197"/>
      <c r="EB5" s="197"/>
      <c r="EC5" s="197"/>
      <c r="ED5" s="197"/>
      <c r="EE5" s="197"/>
      <c r="EF5" s="197"/>
      <c r="EG5" s="197"/>
      <c r="EH5" s="197"/>
      <c r="EI5" s="197"/>
      <c r="EJ5" s="197"/>
      <c r="EK5" s="197"/>
      <c r="EL5" s="197"/>
      <c r="EM5" s="197"/>
      <c r="EN5" s="197"/>
      <c r="EO5" s="197"/>
      <c r="EP5" s="197"/>
      <c r="EQ5" s="197"/>
      <c r="ER5" s="197"/>
      <c r="ES5" s="197"/>
      <c r="ET5" s="197"/>
      <c r="EU5" s="197"/>
      <c r="EV5" s="197"/>
      <c r="EW5" s="197"/>
      <c r="EX5" s="197"/>
      <c r="EY5" s="197"/>
      <c r="EZ5" s="197"/>
      <c r="FA5" s="197"/>
      <c r="FB5" s="197"/>
      <c r="FC5" s="197"/>
      <c r="FD5" s="197"/>
      <c r="FE5" s="197"/>
      <c r="FF5" s="197"/>
      <c r="FG5" s="197"/>
      <c r="FH5" s="197"/>
      <c r="FI5" s="197"/>
      <c r="FJ5" s="197"/>
      <c r="FK5" s="197"/>
      <c r="FL5" s="197"/>
      <c r="FM5" s="197"/>
      <c r="FN5" s="197"/>
      <c r="FO5" s="197"/>
      <c r="FP5" s="197"/>
      <c r="FQ5" s="197"/>
      <c r="FR5" s="197"/>
      <c r="FS5" s="197"/>
      <c r="FT5" s="197"/>
      <c r="FU5" s="197"/>
      <c r="FV5" s="197"/>
      <c r="FW5" s="197"/>
      <c r="FX5" s="197"/>
      <c r="FY5" s="197"/>
      <c r="FZ5" s="197"/>
      <c r="GA5" s="197"/>
      <c r="GB5" s="197"/>
      <c r="GC5" s="197"/>
      <c r="GD5" s="197"/>
      <c r="GE5" s="197"/>
      <c r="GF5" s="197"/>
      <c r="GG5" s="197"/>
      <c r="GH5" s="197"/>
      <c r="GI5" s="197"/>
      <c r="GJ5" s="197"/>
      <c r="GK5" s="197"/>
      <c r="GL5" s="197"/>
      <c r="GM5" s="197"/>
      <c r="GN5" s="197"/>
      <c r="GO5" s="197"/>
      <c r="GP5" s="197"/>
      <c r="GQ5" s="197"/>
      <c r="GR5" s="197"/>
      <c r="GS5" s="197"/>
      <c r="GT5" s="197"/>
      <c r="GU5" s="197"/>
      <c r="GV5" s="197"/>
      <c r="GW5" s="197"/>
      <c r="GX5" s="197"/>
      <c r="GY5" s="197"/>
      <c r="GZ5" s="197"/>
      <c r="HA5" s="197"/>
      <c r="HB5" s="197"/>
      <c r="HC5" s="197"/>
      <c r="HD5" s="197"/>
      <c r="HE5" s="197"/>
      <c r="HF5" s="197"/>
      <c r="HG5" s="197"/>
      <c r="HH5" s="197"/>
      <c r="HI5" s="197"/>
      <c r="HJ5" s="197"/>
      <c r="HK5" s="197"/>
      <c r="HL5" s="197"/>
      <c r="HM5" s="197"/>
      <c r="HN5" s="197"/>
      <c r="HO5" s="197"/>
      <c r="HP5" s="197"/>
      <c r="HQ5" s="197"/>
      <c r="HR5" s="197"/>
      <c r="HS5" s="197"/>
      <c r="HT5" s="197"/>
      <c r="HU5" s="197"/>
      <c r="HV5" s="197"/>
      <c r="HW5" s="197"/>
      <c r="HX5" s="197"/>
      <c r="HY5" s="197"/>
      <c r="HZ5" s="197"/>
      <c r="IA5" s="197"/>
      <c r="IB5" s="197"/>
      <c r="IC5" s="197"/>
      <c r="ID5" s="197"/>
      <c r="IE5" s="197"/>
      <c r="IF5" s="197"/>
      <c r="IG5" s="197"/>
      <c r="IH5" s="197"/>
      <c r="II5" s="197"/>
      <c r="IJ5" s="197"/>
      <c r="IK5" s="197"/>
      <c r="IL5" s="197"/>
      <c r="IM5" s="197"/>
      <c r="IN5" s="197"/>
      <c r="IO5" s="197"/>
      <c r="IP5" s="197"/>
      <c r="IQ5" s="197"/>
      <c r="IR5" s="197"/>
      <c r="IS5" s="25">
        <v>46134</v>
      </c>
      <c r="IT5" s="197"/>
      <c r="IU5" s="197"/>
      <c r="IV5" s="197"/>
      <c r="IW5" s="197"/>
      <c r="IX5" s="197"/>
      <c r="IY5" s="197"/>
      <c r="IZ5" s="197"/>
      <c r="JA5" s="197"/>
      <c r="JB5" s="197"/>
      <c r="JC5" s="197"/>
      <c r="JD5" s="197"/>
      <c r="JE5" s="197"/>
      <c r="JF5" s="197"/>
      <c r="JG5" s="197"/>
      <c r="JH5" s="197"/>
      <c r="JI5" s="197"/>
      <c r="JJ5" s="197"/>
      <c r="JK5" s="197"/>
      <c r="JL5" s="197"/>
      <c r="JM5" s="197"/>
      <c r="JN5" s="197"/>
      <c r="JO5" s="197"/>
      <c r="JP5" s="197"/>
      <c r="JQ5" s="197"/>
      <c r="JR5" s="197"/>
      <c r="JS5" s="197"/>
      <c r="JT5" s="197"/>
      <c r="JU5" s="197"/>
    </row>
    <row r="6" spans="1:358" ht="13" hidden="1">
      <c r="O6" s="196" t="s">
        <v>264</v>
      </c>
      <c r="P6" s="197"/>
      <c r="Q6" s="197"/>
      <c r="R6" s="197"/>
      <c r="S6" s="197"/>
      <c r="T6" s="197"/>
      <c r="U6" s="197"/>
      <c r="V6" s="197"/>
      <c r="W6" s="197"/>
      <c r="X6" s="197"/>
      <c r="Y6" s="197"/>
      <c r="Z6" s="197"/>
      <c r="AA6" s="197"/>
      <c r="AB6" s="197"/>
      <c r="AC6" s="197"/>
      <c r="AD6" s="197"/>
      <c r="AE6" s="197"/>
      <c r="AF6" s="197"/>
      <c r="AG6" s="197"/>
      <c r="AH6" s="197"/>
      <c r="AI6" s="197"/>
      <c r="AJ6" s="197"/>
      <c r="AK6" s="197"/>
      <c r="AL6" s="197"/>
      <c r="AM6" s="197"/>
      <c r="AN6" s="197"/>
      <c r="AO6" s="197"/>
      <c r="AP6" s="197"/>
      <c r="AQ6" s="197"/>
      <c r="AR6" s="197"/>
      <c r="AS6" s="197"/>
      <c r="AT6" s="197"/>
      <c r="AU6" s="197"/>
      <c r="AV6" s="197"/>
      <c r="AW6" s="197"/>
      <c r="AX6" s="197"/>
      <c r="AY6" s="197"/>
      <c r="AZ6" s="197"/>
      <c r="BA6" s="197"/>
      <c r="BB6" s="197"/>
      <c r="BC6" s="197"/>
      <c r="BD6" s="197"/>
      <c r="BE6" s="197"/>
      <c r="BF6" s="197"/>
      <c r="BG6" s="197"/>
      <c r="BH6" s="197"/>
      <c r="BI6" s="197"/>
      <c r="BJ6" s="197"/>
      <c r="BK6" s="197"/>
      <c r="BL6" s="197"/>
      <c r="BM6" s="197"/>
      <c r="BN6" s="197"/>
      <c r="BO6" s="197"/>
      <c r="BP6" s="197"/>
      <c r="BQ6" s="197"/>
      <c r="BR6" s="197"/>
      <c r="BS6" s="197"/>
      <c r="BT6" s="197"/>
      <c r="BU6" s="197"/>
      <c r="BV6" s="197"/>
      <c r="BW6" s="197"/>
      <c r="BX6" s="197"/>
      <c r="BY6" s="197"/>
      <c r="BZ6" s="197"/>
      <c r="CA6" s="197"/>
      <c r="CB6" s="197"/>
      <c r="CC6" s="197"/>
      <c r="CD6" s="197"/>
      <c r="CE6" s="197"/>
      <c r="CF6" s="197"/>
      <c r="CG6" s="197"/>
      <c r="CH6" s="197"/>
      <c r="CI6" s="197"/>
      <c r="CJ6" s="197"/>
      <c r="CK6" s="197"/>
      <c r="CL6" s="197"/>
      <c r="CM6" s="197"/>
      <c r="CN6" s="197"/>
      <c r="CO6" s="197"/>
      <c r="CP6" s="197"/>
      <c r="CQ6" s="197"/>
      <c r="CR6" s="197"/>
      <c r="CS6" s="197"/>
      <c r="CT6" s="197"/>
      <c r="CU6" s="197"/>
      <c r="CV6" s="197"/>
      <c r="CW6" s="197"/>
      <c r="CX6" s="197"/>
      <c r="CY6" s="197"/>
      <c r="CZ6" s="197"/>
      <c r="DA6" s="197"/>
      <c r="DB6" s="197"/>
      <c r="DC6" s="197"/>
      <c r="DD6" s="197"/>
      <c r="DE6" s="197"/>
      <c r="DF6" s="197"/>
      <c r="DG6" s="197"/>
      <c r="DH6" s="197"/>
      <c r="DI6" s="197"/>
      <c r="DJ6" s="197"/>
      <c r="DK6" s="197"/>
      <c r="DL6" s="197"/>
      <c r="DM6" s="197"/>
      <c r="DN6" s="197"/>
      <c r="DO6" s="197"/>
      <c r="DP6" s="197"/>
      <c r="DQ6" s="197"/>
      <c r="DR6" s="197"/>
      <c r="DS6" s="197"/>
      <c r="DT6" s="197"/>
      <c r="DU6" s="197"/>
      <c r="DV6" s="197"/>
      <c r="DW6" s="197"/>
      <c r="DX6" s="197"/>
      <c r="DY6" s="197"/>
      <c r="DZ6" s="197"/>
      <c r="EA6" s="197"/>
      <c r="EB6" s="197"/>
      <c r="EC6" s="197"/>
      <c r="ED6" s="197"/>
      <c r="EE6" s="197"/>
      <c r="EF6" s="197"/>
      <c r="EG6" s="197"/>
      <c r="EH6" s="197"/>
      <c r="EI6" s="197"/>
      <c r="EJ6" s="197"/>
      <c r="EK6" s="197"/>
      <c r="EL6" s="197"/>
      <c r="EM6" s="197"/>
      <c r="EN6" s="197"/>
      <c r="EO6" s="197"/>
      <c r="EP6" s="197"/>
      <c r="EQ6" s="197"/>
      <c r="ER6" s="197"/>
      <c r="ES6" s="197"/>
      <c r="ET6" s="197"/>
      <c r="EU6" s="197"/>
      <c r="EV6" s="197"/>
      <c r="EW6" s="197"/>
      <c r="EX6" s="197"/>
      <c r="EY6" s="197"/>
      <c r="EZ6" s="197"/>
      <c r="FA6" s="197"/>
      <c r="FB6" s="197"/>
      <c r="FC6" s="197"/>
      <c r="FD6" s="197"/>
      <c r="FE6" s="197"/>
      <c r="FF6" s="197"/>
      <c r="FG6" s="197"/>
      <c r="FH6" s="197"/>
      <c r="FI6" s="197"/>
      <c r="FJ6" s="197"/>
      <c r="FK6" s="197"/>
      <c r="FL6" s="197"/>
      <c r="FM6" s="197"/>
      <c r="FN6" s="197"/>
      <c r="FO6" s="197"/>
      <c r="FP6" s="197"/>
      <c r="FQ6" s="197"/>
      <c r="FR6" s="197"/>
      <c r="FS6" s="197"/>
      <c r="FT6" s="197"/>
      <c r="FU6" s="197"/>
      <c r="FV6" s="197"/>
      <c r="FW6" s="197"/>
      <c r="FX6" s="197"/>
      <c r="FY6" s="197"/>
      <c r="FZ6" s="197"/>
      <c r="GA6" s="197"/>
      <c r="GB6" s="197"/>
      <c r="GC6" s="197"/>
      <c r="GD6" s="197"/>
      <c r="GE6" s="197"/>
      <c r="GF6" s="197"/>
      <c r="GG6" s="197"/>
      <c r="GH6" s="197"/>
      <c r="GI6" s="197"/>
      <c r="GJ6" s="197"/>
      <c r="GK6" s="197"/>
      <c r="GL6" s="197"/>
      <c r="GM6" s="197"/>
      <c r="GN6" s="197"/>
      <c r="GO6" s="197"/>
      <c r="GP6" s="197"/>
      <c r="GQ6" s="197"/>
      <c r="GR6" s="197"/>
      <c r="GS6" s="197"/>
      <c r="GT6" s="197"/>
      <c r="GU6" s="197"/>
      <c r="GV6" s="197"/>
      <c r="GW6" s="197"/>
      <c r="GX6" s="197"/>
      <c r="GY6" s="197"/>
      <c r="GZ6" s="197"/>
      <c r="HA6" s="197"/>
      <c r="HB6" s="197"/>
      <c r="HC6" s="197"/>
      <c r="HD6" s="197"/>
      <c r="HE6" s="197"/>
      <c r="HF6" s="197"/>
      <c r="HG6" s="197"/>
      <c r="HH6" s="197"/>
      <c r="HI6" s="197"/>
      <c r="HJ6" s="197"/>
      <c r="HK6" s="197"/>
      <c r="HL6" s="197"/>
      <c r="HM6" s="197"/>
      <c r="HN6" s="197"/>
      <c r="HO6" s="197"/>
      <c r="HP6" s="197"/>
      <c r="HQ6" s="197"/>
      <c r="HR6" s="197"/>
      <c r="HS6" s="197"/>
      <c r="HT6" s="197"/>
      <c r="HU6" s="197"/>
      <c r="HV6" s="197"/>
      <c r="HW6" s="197"/>
      <c r="HX6" s="197"/>
      <c r="HY6" s="197"/>
      <c r="HZ6" s="197"/>
      <c r="IA6" s="197"/>
      <c r="IB6" s="197"/>
      <c r="IC6" s="197"/>
      <c r="ID6" s="197"/>
      <c r="IE6" s="197"/>
      <c r="IF6" s="197"/>
      <c r="IG6" s="197"/>
      <c r="IH6" s="197"/>
      <c r="II6" s="197"/>
      <c r="IJ6" s="197"/>
      <c r="IK6" s="197"/>
      <c r="IL6" s="197"/>
      <c r="IM6" s="197"/>
      <c r="IN6" s="197"/>
      <c r="IO6" s="197"/>
      <c r="IP6" s="197"/>
      <c r="IQ6" s="197"/>
      <c r="IR6" s="197"/>
      <c r="IS6" s="25">
        <v>46135</v>
      </c>
      <c r="IT6" s="197"/>
      <c r="IU6" s="197"/>
      <c r="IV6" s="197"/>
      <c r="IW6" s="197"/>
      <c r="IX6" s="197"/>
      <c r="IY6" s="197"/>
      <c r="IZ6" s="197"/>
      <c r="JA6" s="197"/>
      <c r="JB6" s="197"/>
      <c r="JC6" s="197"/>
      <c r="JD6" s="197"/>
      <c r="JE6" s="197"/>
      <c r="JF6" s="197"/>
      <c r="JG6" s="197"/>
      <c r="JH6" s="197"/>
      <c r="JI6" s="197"/>
      <c r="JJ6" s="197"/>
      <c r="JK6" s="197"/>
      <c r="JL6" s="197"/>
      <c r="JM6" s="197"/>
      <c r="JN6" s="197"/>
      <c r="JO6" s="197"/>
      <c r="JP6" s="197"/>
      <c r="JQ6" s="197"/>
      <c r="JR6" s="197"/>
      <c r="JS6" s="197"/>
      <c r="JT6" s="197"/>
      <c r="JU6" s="197"/>
    </row>
    <row r="7" spans="1:358" ht="13" hidden="1">
      <c r="O7" s="26" t="s">
        <v>265</v>
      </c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  <c r="IO7" s="27"/>
      <c r="IP7" s="27"/>
      <c r="IQ7" s="27"/>
      <c r="IR7" s="27"/>
      <c r="IS7" s="25">
        <v>46136</v>
      </c>
      <c r="IT7" s="27"/>
      <c r="IU7" s="27"/>
      <c r="IV7" s="27"/>
      <c r="IW7" s="27"/>
      <c r="IX7" s="27"/>
      <c r="IY7" s="27"/>
      <c r="IZ7" s="27"/>
      <c r="JA7" s="27"/>
      <c r="JB7" s="27"/>
      <c r="JC7" s="27"/>
      <c r="JD7" s="27"/>
      <c r="JE7" s="27"/>
      <c r="JF7" s="27"/>
      <c r="JG7" s="27"/>
      <c r="JH7" s="27"/>
      <c r="JI7" s="27"/>
      <c r="JJ7" s="27"/>
      <c r="JK7" s="27"/>
      <c r="JL7" s="27"/>
      <c r="JM7" s="27"/>
      <c r="JN7" s="27"/>
      <c r="JO7" s="27"/>
      <c r="JP7" s="27"/>
      <c r="JQ7" s="27"/>
      <c r="JR7" s="27"/>
      <c r="JS7" s="27"/>
      <c r="JT7" s="27"/>
      <c r="JU7" s="27"/>
    </row>
    <row r="8" spans="1:358" ht="13" hidden="1">
      <c r="O8" s="26" t="s">
        <v>266</v>
      </c>
      <c r="P8" s="27">
        <f t="shared" ref="P8:HJ8" si="2">COUNTIFS(P26:P32,"&lt;&gt;"&amp;"OFF",P26:P32,"&lt;&gt;"&amp;"ABS",P26:P32,"&lt;&gt;"&amp;"CP",P26:P32,"&lt;&gt;"&amp;"FERIE")</f>
        <v>6</v>
      </c>
      <c r="Q8" s="27">
        <f t="shared" si="2"/>
        <v>6</v>
      </c>
      <c r="R8" s="27">
        <f t="shared" si="2"/>
        <v>6</v>
      </c>
      <c r="S8" s="27">
        <f t="shared" si="2"/>
        <v>6</v>
      </c>
      <c r="T8" s="27">
        <f t="shared" si="2"/>
        <v>6</v>
      </c>
      <c r="U8" s="27">
        <f t="shared" si="2"/>
        <v>5</v>
      </c>
      <c r="V8" s="27">
        <f t="shared" si="2"/>
        <v>2</v>
      </c>
      <c r="W8" s="27">
        <f t="shared" si="2"/>
        <v>6</v>
      </c>
      <c r="X8" s="27">
        <f t="shared" si="2"/>
        <v>6</v>
      </c>
      <c r="Y8" s="27">
        <f t="shared" si="2"/>
        <v>6</v>
      </c>
      <c r="Z8" s="27">
        <f t="shared" si="2"/>
        <v>7</v>
      </c>
      <c r="AA8" s="27">
        <f t="shared" si="2"/>
        <v>6</v>
      </c>
      <c r="AB8" s="27">
        <f t="shared" si="2"/>
        <v>4</v>
      </c>
      <c r="AC8" s="27">
        <f t="shared" si="2"/>
        <v>2</v>
      </c>
      <c r="AD8" s="27">
        <f t="shared" si="2"/>
        <v>6</v>
      </c>
      <c r="AE8" s="27">
        <f t="shared" si="2"/>
        <v>6</v>
      </c>
      <c r="AF8" s="27">
        <f t="shared" si="2"/>
        <v>6</v>
      </c>
      <c r="AG8" s="27">
        <f t="shared" si="2"/>
        <v>6</v>
      </c>
      <c r="AH8" s="27">
        <f t="shared" si="2"/>
        <v>6</v>
      </c>
      <c r="AI8" s="27">
        <f t="shared" si="2"/>
        <v>5</v>
      </c>
      <c r="AJ8" s="27">
        <f t="shared" si="2"/>
        <v>2</v>
      </c>
      <c r="AK8" s="27">
        <f t="shared" si="2"/>
        <v>6</v>
      </c>
      <c r="AL8" s="27">
        <f t="shared" si="2"/>
        <v>6</v>
      </c>
      <c r="AM8" s="27">
        <f t="shared" si="2"/>
        <v>6</v>
      </c>
      <c r="AN8" s="27">
        <f t="shared" si="2"/>
        <v>6</v>
      </c>
      <c r="AO8" s="27">
        <f t="shared" si="2"/>
        <v>6</v>
      </c>
      <c r="AP8" s="27">
        <f t="shared" si="2"/>
        <v>5</v>
      </c>
      <c r="AQ8" s="27">
        <f t="shared" si="2"/>
        <v>2</v>
      </c>
      <c r="AR8" s="27">
        <f t="shared" si="2"/>
        <v>6</v>
      </c>
      <c r="AS8" s="27">
        <f t="shared" si="2"/>
        <v>6</v>
      </c>
      <c r="AT8" s="27">
        <f t="shared" si="2"/>
        <v>6</v>
      </c>
      <c r="AU8" s="27">
        <f t="shared" si="2"/>
        <v>6</v>
      </c>
      <c r="AV8" s="27">
        <f t="shared" si="2"/>
        <v>5</v>
      </c>
      <c r="AW8" s="27">
        <f t="shared" si="2"/>
        <v>5</v>
      </c>
      <c r="AX8" s="27">
        <f t="shared" si="2"/>
        <v>2</v>
      </c>
      <c r="AY8" s="27">
        <f t="shared" si="2"/>
        <v>6</v>
      </c>
      <c r="AZ8" s="27">
        <f t="shared" si="2"/>
        <v>6</v>
      </c>
      <c r="BA8" s="27">
        <f t="shared" si="2"/>
        <v>6</v>
      </c>
      <c r="BB8" s="27">
        <f t="shared" si="2"/>
        <v>7</v>
      </c>
      <c r="BC8" s="27">
        <f t="shared" si="2"/>
        <v>5</v>
      </c>
      <c r="BD8" s="27">
        <f t="shared" si="2"/>
        <v>5</v>
      </c>
      <c r="BE8" s="27">
        <f t="shared" si="2"/>
        <v>1</v>
      </c>
      <c r="BF8" s="27">
        <f t="shared" si="2"/>
        <v>6</v>
      </c>
      <c r="BG8" s="27">
        <f t="shared" si="2"/>
        <v>6</v>
      </c>
      <c r="BH8" s="27">
        <f t="shared" si="2"/>
        <v>6</v>
      </c>
      <c r="BI8" s="27">
        <f t="shared" si="2"/>
        <v>6</v>
      </c>
      <c r="BJ8" s="27">
        <f t="shared" si="2"/>
        <v>6</v>
      </c>
      <c r="BK8" s="27">
        <f t="shared" si="2"/>
        <v>5</v>
      </c>
      <c r="BL8" s="27">
        <f t="shared" si="2"/>
        <v>0</v>
      </c>
      <c r="BM8" s="27">
        <f t="shared" si="2"/>
        <v>6</v>
      </c>
      <c r="BN8" s="27">
        <f t="shared" si="2"/>
        <v>6</v>
      </c>
      <c r="BO8" s="27">
        <f t="shared" si="2"/>
        <v>6</v>
      </c>
      <c r="BP8" s="27">
        <f t="shared" si="2"/>
        <v>6</v>
      </c>
      <c r="BQ8" s="27">
        <f t="shared" si="2"/>
        <v>6</v>
      </c>
      <c r="BR8" s="27">
        <f t="shared" si="2"/>
        <v>5</v>
      </c>
      <c r="BS8" s="27">
        <f t="shared" si="2"/>
        <v>0</v>
      </c>
      <c r="BT8" s="27">
        <f t="shared" si="2"/>
        <v>6</v>
      </c>
      <c r="BU8" s="27">
        <f t="shared" si="2"/>
        <v>6</v>
      </c>
      <c r="BV8" s="27">
        <f t="shared" si="2"/>
        <v>5</v>
      </c>
      <c r="BW8" s="27">
        <f t="shared" si="2"/>
        <v>6</v>
      </c>
      <c r="BX8" s="27">
        <f t="shared" si="2"/>
        <v>6</v>
      </c>
      <c r="BY8" s="27">
        <f t="shared" si="2"/>
        <v>5</v>
      </c>
      <c r="BZ8" s="27">
        <f t="shared" si="2"/>
        <v>1</v>
      </c>
      <c r="CA8" s="27">
        <f t="shared" si="2"/>
        <v>6</v>
      </c>
      <c r="CB8" s="27">
        <f t="shared" si="2"/>
        <v>6</v>
      </c>
      <c r="CC8" s="27">
        <f t="shared" si="2"/>
        <v>5</v>
      </c>
      <c r="CD8" s="27">
        <f t="shared" si="2"/>
        <v>6</v>
      </c>
      <c r="CE8" s="27">
        <f t="shared" si="2"/>
        <v>6</v>
      </c>
      <c r="CF8" s="27">
        <f t="shared" si="2"/>
        <v>4</v>
      </c>
      <c r="CG8" s="27">
        <f t="shared" si="2"/>
        <v>1</v>
      </c>
      <c r="CH8" s="27">
        <f t="shared" si="2"/>
        <v>6</v>
      </c>
      <c r="CI8" s="27">
        <f t="shared" si="2"/>
        <v>7</v>
      </c>
      <c r="CJ8" s="27">
        <f t="shared" si="2"/>
        <v>6</v>
      </c>
      <c r="CK8" s="27">
        <f t="shared" si="2"/>
        <v>6</v>
      </c>
      <c r="CL8" s="27">
        <f t="shared" si="2"/>
        <v>6</v>
      </c>
      <c r="CM8" s="27">
        <f t="shared" si="2"/>
        <v>3</v>
      </c>
      <c r="CN8" s="27">
        <f t="shared" si="2"/>
        <v>1</v>
      </c>
      <c r="CO8" s="27">
        <f t="shared" si="2"/>
        <v>6</v>
      </c>
      <c r="CP8" s="27">
        <f t="shared" si="2"/>
        <v>6</v>
      </c>
      <c r="CQ8" s="27">
        <f t="shared" si="2"/>
        <v>6</v>
      </c>
      <c r="CR8" s="27">
        <f t="shared" si="2"/>
        <v>6</v>
      </c>
      <c r="CS8" s="27">
        <f t="shared" si="2"/>
        <v>6</v>
      </c>
      <c r="CT8" s="27">
        <f t="shared" si="2"/>
        <v>4</v>
      </c>
      <c r="CU8" s="27">
        <f t="shared" si="2"/>
        <v>1</v>
      </c>
      <c r="CV8" s="27">
        <f t="shared" si="2"/>
        <v>5</v>
      </c>
      <c r="CW8" s="27">
        <f t="shared" si="2"/>
        <v>5</v>
      </c>
      <c r="CX8" s="27">
        <f t="shared" si="2"/>
        <v>6</v>
      </c>
      <c r="CY8" s="27">
        <f t="shared" si="2"/>
        <v>5</v>
      </c>
      <c r="CZ8" s="27">
        <f t="shared" si="2"/>
        <v>7</v>
      </c>
      <c r="DA8" s="27">
        <f t="shared" si="2"/>
        <v>4</v>
      </c>
      <c r="DB8" s="27">
        <f t="shared" si="2"/>
        <v>1</v>
      </c>
      <c r="DC8" s="27">
        <f t="shared" si="2"/>
        <v>7</v>
      </c>
      <c r="DD8" s="27">
        <f t="shared" si="2"/>
        <v>6</v>
      </c>
      <c r="DE8" s="27">
        <f t="shared" si="2"/>
        <v>6</v>
      </c>
      <c r="DF8" s="27">
        <f t="shared" si="2"/>
        <v>5</v>
      </c>
      <c r="DG8" s="27">
        <f t="shared" si="2"/>
        <v>6</v>
      </c>
      <c r="DH8" s="27">
        <f t="shared" si="2"/>
        <v>4</v>
      </c>
      <c r="DI8" s="27">
        <f t="shared" si="2"/>
        <v>1</v>
      </c>
      <c r="DJ8" s="27">
        <f t="shared" si="2"/>
        <v>6</v>
      </c>
      <c r="DK8" s="27">
        <f t="shared" si="2"/>
        <v>7</v>
      </c>
      <c r="DL8" s="27">
        <f t="shared" si="2"/>
        <v>6</v>
      </c>
      <c r="DM8" s="27">
        <f t="shared" si="2"/>
        <v>7</v>
      </c>
      <c r="DN8" s="27">
        <f t="shared" si="2"/>
        <v>6</v>
      </c>
      <c r="DO8" s="27">
        <f t="shared" si="2"/>
        <v>3</v>
      </c>
      <c r="DP8" s="27">
        <f t="shared" si="2"/>
        <v>0</v>
      </c>
      <c r="DQ8" s="27">
        <f t="shared" si="2"/>
        <v>7</v>
      </c>
      <c r="DR8" s="27">
        <f t="shared" si="2"/>
        <v>6</v>
      </c>
      <c r="DS8" s="27">
        <f t="shared" si="2"/>
        <v>6</v>
      </c>
      <c r="DT8" s="27">
        <f t="shared" si="2"/>
        <v>6</v>
      </c>
      <c r="DU8" s="27">
        <f t="shared" si="2"/>
        <v>6</v>
      </c>
      <c r="DV8" s="27">
        <f t="shared" si="2"/>
        <v>3</v>
      </c>
      <c r="DW8" s="27">
        <f t="shared" si="2"/>
        <v>1</v>
      </c>
      <c r="DX8" s="27">
        <f t="shared" si="2"/>
        <v>6</v>
      </c>
      <c r="DY8" s="27">
        <f t="shared" si="2"/>
        <v>6</v>
      </c>
      <c r="DZ8" s="27">
        <f t="shared" si="2"/>
        <v>6</v>
      </c>
      <c r="EA8" s="27">
        <f t="shared" si="2"/>
        <v>6</v>
      </c>
      <c r="EB8" s="27">
        <f t="shared" si="2"/>
        <v>6</v>
      </c>
      <c r="EC8" s="27">
        <f t="shared" si="2"/>
        <v>4</v>
      </c>
      <c r="ED8" s="27">
        <f t="shared" si="2"/>
        <v>1</v>
      </c>
      <c r="EE8" s="27">
        <f t="shared" si="2"/>
        <v>6</v>
      </c>
      <c r="EF8" s="27">
        <f t="shared" si="2"/>
        <v>7</v>
      </c>
      <c r="EG8" s="27">
        <f t="shared" si="2"/>
        <v>6</v>
      </c>
      <c r="EH8" s="27">
        <f t="shared" si="2"/>
        <v>3</v>
      </c>
      <c r="EI8" s="27">
        <f t="shared" si="2"/>
        <v>6</v>
      </c>
      <c r="EJ8" s="27">
        <f t="shared" si="2"/>
        <v>5</v>
      </c>
      <c r="EK8" s="27">
        <f t="shared" si="2"/>
        <v>2</v>
      </c>
      <c r="EL8" s="27">
        <f t="shared" si="2"/>
        <v>7</v>
      </c>
      <c r="EM8" s="27">
        <f t="shared" si="2"/>
        <v>7</v>
      </c>
      <c r="EN8" s="27">
        <f t="shared" si="2"/>
        <v>6</v>
      </c>
      <c r="EO8" s="27">
        <f t="shared" si="2"/>
        <v>0</v>
      </c>
      <c r="EP8" s="27">
        <f t="shared" si="2"/>
        <v>6</v>
      </c>
      <c r="EQ8" s="27">
        <f t="shared" si="2"/>
        <v>7</v>
      </c>
      <c r="ER8" s="27">
        <f t="shared" si="2"/>
        <v>2</v>
      </c>
      <c r="ES8" s="27">
        <f t="shared" si="2"/>
        <v>6</v>
      </c>
      <c r="ET8" s="27">
        <f t="shared" si="2"/>
        <v>6</v>
      </c>
      <c r="EU8" s="27">
        <f t="shared" si="2"/>
        <v>7</v>
      </c>
      <c r="EV8" s="27">
        <f t="shared" si="2"/>
        <v>6</v>
      </c>
      <c r="EW8" s="27">
        <f t="shared" si="2"/>
        <v>5</v>
      </c>
      <c r="EX8" s="27">
        <f t="shared" si="2"/>
        <v>4</v>
      </c>
      <c r="EY8" s="27">
        <f t="shared" si="2"/>
        <v>1</v>
      </c>
      <c r="EZ8" s="27">
        <f t="shared" si="2"/>
        <v>6</v>
      </c>
      <c r="FA8" s="27">
        <f t="shared" si="2"/>
        <v>6</v>
      </c>
      <c r="FB8" s="27">
        <f t="shared" si="2"/>
        <v>7</v>
      </c>
      <c r="FC8" s="27">
        <f t="shared" si="2"/>
        <v>7</v>
      </c>
      <c r="FD8" s="27">
        <f t="shared" si="2"/>
        <v>6</v>
      </c>
      <c r="FE8" s="27">
        <f t="shared" si="2"/>
        <v>3</v>
      </c>
      <c r="FF8" s="27">
        <f t="shared" si="2"/>
        <v>0</v>
      </c>
      <c r="FG8" s="27">
        <f t="shared" si="2"/>
        <v>6</v>
      </c>
      <c r="FH8" s="27">
        <f t="shared" si="2"/>
        <v>7</v>
      </c>
      <c r="FI8" s="27">
        <f t="shared" si="2"/>
        <v>6</v>
      </c>
      <c r="FJ8" s="27">
        <f t="shared" si="2"/>
        <v>6</v>
      </c>
      <c r="FK8" s="27">
        <f t="shared" si="2"/>
        <v>6</v>
      </c>
      <c r="FL8" s="27">
        <f t="shared" si="2"/>
        <v>3</v>
      </c>
      <c r="FM8" s="27">
        <f t="shared" si="2"/>
        <v>1</v>
      </c>
      <c r="FN8" s="27">
        <f t="shared" si="2"/>
        <v>6</v>
      </c>
      <c r="FO8" s="27">
        <f t="shared" si="2"/>
        <v>6</v>
      </c>
      <c r="FP8" s="27">
        <f t="shared" si="2"/>
        <v>6</v>
      </c>
      <c r="FQ8" s="27">
        <f t="shared" si="2"/>
        <v>6</v>
      </c>
      <c r="FR8" s="27">
        <f t="shared" si="2"/>
        <v>6</v>
      </c>
      <c r="FS8" s="27">
        <f t="shared" si="2"/>
        <v>4</v>
      </c>
      <c r="FT8" s="27">
        <f t="shared" si="2"/>
        <v>1</v>
      </c>
      <c r="FU8" s="27">
        <f t="shared" si="2"/>
        <v>6</v>
      </c>
      <c r="FV8" s="27">
        <f t="shared" si="2"/>
        <v>6</v>
      </c>
      <c r="FW8" s="27">
        <f t="shared" si="2"/>
        <v>6</v>
      </c>
      <c r="FX8" s="27">
        <f t="shared" si="2"/>
        <v>6</v>
      </c>
      <c r="FY8" s="27">
        <f t="shared" si="2"/>
        <v>5</v>
      </c>
      <c r="FZ8" s="27">
        <f t="shared" si="2"/>
        <v>4</v>
      </c>
      <c r="GA8" s="27">
        <f t="shared" si="2"/>
        <v>2</v>
      </c>
      <c r="GB8" s="27">
        <f t="shared" si="2"/>
        <v>6</v>
      </c>
      <c r="GC8" s="27">
        <f t="shared" si="2"/>
        <v>6</v>
      </c>
      <c r="GD8" s="27">
        <f t="shared" si="2"/>
        <v>6</v>
      </c>
      <c r="GE8" s="27">
        <f t="shared" si="2"/>
        <v>7</v>
      </c>
      <c r="GF8" s="27">
        <f t="shared" si="2"/>
        <v>6</v>
      </c>
      <c r="GG8" s="27">
        <f t="shared" si="2"/>
        <v>3</v>
      </c>
      <c r="GH8" s="27">
        <f t="shared" si="2"/>
        <v>1</v>
      </c>
      <c r="GI8" s="27">
        <f t="shared" si="2"/>
        <v>6</v>
      </c>
      <c r="GJ8" s="27">
        <f t="shared" si="2"/>
        <v>6</v>
      </c>
      <c r="GK8" s="27">
        <f t="shared" si="2"/>
        <v>6</v>
      </c>
      <c r="GL8" s="27">
        <f t="shared" si="2"/>
        <v>5</v>
      </c>
      <c r="GM8" s="27">
        <f t="shared" si="2"/>
        <v>6</v>
      </c>
      <c r="GN8" s="27">
        <f t="shared" si="2"/>
        <v>4</v>
      </c>
      <c r="GO8" s="27">
        <f t="shared" si="2"/>
        <v>2</v>
      </c>
      <c r="GP8" s="27">
        <f t="shared" si="2"/>
        <v>6</v>
      </c>
      <c r="GQ8" s="27">
        <f t="shared" si="2"/>
        <v>6</v>
      </c>
      <c r="GR8" s="27">
        <f t="shared" si="2"/>
        <v>6</v>
      </c>
      <c r="GS8" s="27">
        <f t="shared" si="2"/>
        <v>5</v>
      </c>
      <c r="GT8" s="27">
        <f t="shared" si="2"/>
        <v>5</v>
      </c>
      <c r="GU8" s="27">
        <f t="shared" si="2"/>
        <v>5</v>
      </c>
      <c r="GV8" s="27">
        <f t="shared" si="2"/>
        <v>2</v>
      </c>
      <c r="GW8" s="27">
        <f t="shared" si="2"/>
        <v>7</v>
      </c>
      <c r="GX8" s="27">
        <f t="shared" si="2"/>
        <v>6</v>
      </c>
      <c r="GY8" s="27">
        <f t="shared" si="2"/>
        <v>6</v>
      </c>
      <c r="GZ8" s="27">
        <f t="shared" si="2"/>
        <v>5</v>
      </c>
      <c r="HA8" s="27">
        <f t="shared" si="2"/>
        <v>5</v>
      </c>
      <c r="HB8" s="27">
        <f t="shared" si="2"/>
        <v>4</v>
      </c>
      <c r="HC8" s="27">
        <f t="shared" si="2"/>
        <v>2</v>
      </c>
      <c r="HD8" s="27">
        <f t="shared" si="2"/>
        <v>6</v>
      </c>
      <c r="HE8" s="27">
        <f t="shared" si="2"/>
        <v>6</v>
      </c>
      <c r="HF8" s="27">
        <f t="shared" si="2"/>
        <v>6</v>
      </c>
      <c r="HG8" s="27">
        <f t="shared" si="2"/>
        <v>5</v>
      </c>
      <c r="HH8" s="27">
        <f t="shared" si="2"/>
        <v>5</v>
      </c>
      <c r="HI8" s="27">
        <f t="shared" si="2"/>
        <v>5</v>
      </c>
      <c r="HJ8" s="27">
        <f t="shared" si="2"/>
        <v>2</v>
      </c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  <c r="IO8" s="27"/>
      <c r="IP8" s="27"/>
      <c r="IQ8" s="27"/>
      <c r="IR8" s="27"/>
      <c r="IS8" s="25">
        <v>46137</v>
      </c>
      <c r="IT8" s="27"/>
      <c r="IU8" s="27"/>
      <c r="IV8" s="27"/>
      <c r="IW8" s="27"/>
      <c r="IX8" s="27"/>
      <c r="IY8" s="27"/>
      <c r="IZ8" s="27"/>
      <c r="JA8" s="27"/>
      <c r="JB8" s="27"/>
      <c r="JC8" s="27"/>
      <c r="JD8" s="27"/>
      <c r="JE8" s="27"/>
      <c r="JF8" s="27"/>
      <c r="JG8" s="27"/>
      <c r="JH8" s="27"/>
      <c r="JI8" s="27"/>
      <c r="JJ8" s="27"/>
      <c r="JK8" s="27"/>
      <c r="JL8" s="27"/>
      <c r="JM8" s="27"/>
      <c r="JN8" s="27"/>
      <c r="JO8" s="27"/>
      <c r="JP8" s="27"/>
      <c r="JQ8" s="27"/>
      <c r="JR8" s="27"/>
      <c r="JS8" s="27"/>
      <c r="JT8" s="27"/>
      <c r="JU8" s="27"/>
    </row>
    <row r="9" spans="1:358" ht="13.5" thickBot="1">
      <c r="A9" s="472" t="s">
        <v>97</v>
      </c>
      <c r="B9" s="472" t="s">
        <v>98</v>
      </c>
      <c r="C9" s="472" t="s">
        <v>99</v>
      </c>
      <c r="D9" s="472" t="s">
        <v>100</v>
      </c>
      <c r="E9" s="472" t="s">
        <v>494</v>
      </c>
      <c r="F9" s="472" t="s">
        <v>495</v>
      </c>
      <c r="G9" s="472" t="s">
        <v>496</v>
      </c>
      <c r="H9" s="472" t="s">
        <v>497</v>
      </c>
      <c r="I9" s="472" t="s">
        <v>498</v>
      </c>
      <c r="J9" s="472" t="s">
        <v>499</v>
      </c>
      <c r="K9" s="472" t="s">
        <v>500</v>
      </c>
      <c r="L9" s="472" t="s">
        <v>506</v>
      </c>
      <c r="M9" s="472" t="s">
        <v>512</v>
      </c>
      <c r="N9" s="472" t="s">
        <v>505</v>
      </c>
      <c r="O9" s="472" t="s">
        <v>495</v>
      </c>
      <c r="P9" s="472" t="s">
        <v>496</v>
      </c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  <c r="AN9" s="198"/>
      <c r="AO9" s="198"/>
      <c r="AP9" s="198"/>
      <c r="AQ9" s="198"/>
      <c r="AR9" s="198"/>
      <c r="AS9" s="198"/>
      <c r="AT9" s="198"/>
      <c r="AU9" s="198"/>
      <c r="AV9" s="198"/>
      <c r="AW9" s="198"/>
      <c r="AX9" s="198"/>
      <c r="AY9" s="198"/>
      <c r="AZ9" s="198"/>
      <c r="BA9" s="198"/>
      <c r="BB9" s="198"/>
      <c r="BC9" s="198"/>
      <c r="BD9" s="198"/>
      <c r="BE9" s="198"/>
      <c r="BF9" s="198"/>
      <c r="BG9" s="198"/>
      <c r="BH9" s="198"/>
      <c r="BI9" s="198"/>
      <c r="BJ9" s="198"/>
      <c r="BK9" s="198"/>
      <c r="BL9" s="198"/>
      <c r="BM9" s="198"/>
      <c r="BN9" s="198"/>
      <c r="BO9" s="198"/>
      <c r="BP9" s="198"/>
      <c r="BQ9" s="198"/>
      <c r="BR9" s="198"/>
      <c r="BS9" s="198"/>
      <c r="BT9" s="198"/>
      <c r="BU9" s="198"/>
      <c r="BV9" s="198"/>
      <c r="BW9" s="198"/>
      <c r="BX9" s="198"/>
      <c r="BY9" s="198"/>
      <c r="BZ9" s="198"/>
      <c r="CA9" s="198"/>
      <c r="CB9" s="198"/>
      <c r="CC9" s="198"/>
      <c r="CD9" s="198"/>
      <c r="CE9" s="198"/>
      <c r="CF9" s="198"/>
      <c r="CG9" s="198"/>
      <c r="CH9" s="198"/>
      <c r="CI9" s="198"/>
      <c r="CJ9" s="198"/>
      <c r="CK9" s="198"/>
      <c r="CL9" s="198"/>
      <c r="CM9" s="198"/>
      <c r="CN9" s="198"/>
      <c r="CO9" s="198"/>
      <c r="CP9" s="198"/>
      <c r="CQ9" s="198"/>
      <c r="CR9" s="198"/>
      <c r="CS9" s="198"/>
      <c r="CT9" s="198"/>
      <c r="CU9" s="198"/>
      <c r="CV9" s="198"/>
      <c r="CW9" s="198"/>
      <c r="CX9" s="198"/>
      <c r="CY9" s="198"/>
      <c r="CZ9" s="198"/>
      <c r="DA9" s="198"/>
      <c r="DB9" s="198"/>
      <c r="DC9" s="198"/>
      <c r="DD9" s="198"/>
      <c r="DE9" s="198"/>
      <c r="DF9" s="198"/>
      <c r="DG9" s="198"/>
      <c r="DH9" s="198"/>
      <c r="DI9" s="198"/>
      <c r="DJ9" s="198"/>
      <c r="DK9" s="198"/>
      <c r="DL9" s="198"/>
      <c r="DM9" s="198"/>
      <c r="DN9" s="198"/>
      <c r="DO9" s="198"/>
      <c r="DP9" s="198"/>
      <c r="DQ9" s="198"/>
      <c r="DR9" s="198"/>
      <c r="DS9" s="198"/>
      <c r="DT9" s="198"/>
      <c r="DU9" s="198"/>
      <c r="DV9" s="198"/>
      <c r="DW9" s="198"/>
      <c r="DX9" s="198"/>
      <c r="DY9" s="198"/>
      <c r="DZ9" s="198"/>
      <c r="EA9" s="198"/>
      <c r="EB9" s="198"/>
      <c r="EC9" s="198"/>
      <c r="ED9" s="198"/>
      <c r="EE9" s="198"/>
      <c r="EF9" s="198"/>
      <c r="EG9" s="198"/>
      <c r="EH9" s="198"/>
      <c r="EI9" s="198"/>
      <c r="EJ9" s="198"/>
      <c r="EK9" s="198"/>
      <c r="EL9" s="198"/>
      <c r="EM9" s="198"/>
      <c r="EN9" s="198"/>
      <c r="EO9" s="198"/>
      <c r="EP9" s="198"/>
      <c r="EQ9" s="198"/>
      <c r="ER9" s="198"/>
      <c r="ES9" s="198"/>
      <c r="ET9" s="198"/>
      <c r="EU9" s="198"/>
      <c r="EV9" s="198"/>
      <c r="EW9" s="198"/>
      <c r="EX9" s="198"/>
      <c r="EY9" s="198"/>
      <c r="EZ9" s="198"/>
      <c r="FA9" s="198"/>
      <c r="FB9" s="198"/>
      <c r="FC9" s="198"/>
      <c r="FD9" s="198"/>
      <c r="FE9" s="198"/>
      <c r="FF9" s="198"/>
      <c r="FG9" s="198"/>
      <c r="FH9" s="198"/>
      <c r="FI9" s="198"/>
      <c r="FJ9" s="198"/>
      <c r="FK9" s="198"/>
      <c r="FL9" s="198"/>
      <c r="FM9" s="198"/>
      <c r="FN9" s="198"/>
      <c r="FO9" s="198"/>
      <c r="FP9" s="198"/>
      <c r="FQ9" s="198"/>
      <c r="FR9" s="198"/>
      <c r="FS9" s="198"/>
      <c r="FT9" s="198"/>
      <c r="FU9" s="198"/>
      <c r="FV9" s="198"/>
      <c r="FW9" s="198"/>
      <c r="FX9" s="198"/>
      <c r="FY9" s="198"/>
      <c r="FZ9" s="198"/>
      <c r="GA9" s="198"/>
      <c r="GB9" s="198"/>
      <c r="GC9" s="198"/>
      <c r="GD9" s="198"/>
      <c r="GE9" s="198"/>
      <c r="GF9" s="198"/>
      <c r="GG9" s="198"/>
      <c r="GH9" s="198"/>
      <c r="GI9" s="198"/>
      <c r="GJ9" s="198"/>
      <c r="GK9" s="198"/>
      <c r="GL9" s="198"/>
      <c r="GM9" s="198"/>
      <c r="GN9" s="198"/>
      <c r="GO9" s="198"/>
      <c r="GP9" s="198"/>
      <c r="GQ9" s="198"/>
      <c r="GR9" s="198"/>
      <c r="GS9" s="198"/>
      <c r="GT9" s="198"/>
      <c r="GU9" s="198"/>
      <c r="GV9" s="198"/>
      <c r="GW9" s="198"/>
      <c r="GX9" s="198"/>
      <c r="GY9" s="198"/>
      <c r="GZ9" s="198"/>
      <c r="HA9" s="198"/>
      <c r="HB9" s="198"/>
      <c r="HC9" s="198"/>
      <c r="HD9" s="198"/>
      <c r="HE9" s="198"/>
      <c r="HF9" s="198"/>
      <c r="HG9" s="198"/>
      <c r="HH9" s="198"/>
      <c r="HI9" s="198"/>
      <c r="HJ9" s="198"/>
      <c r="HK9" s="198"/>
      <c r="HL9" s="198"/>
      <c r="HM9" s="198"/>
      <c r="HN9" s="198"/>
      <c r="HO9" s="198"/>
      <c r="HP9" s="198"/>
      <c r="HQ9" s="198"/>
      <c r="HR9" s="198"/>
      <c r="HS9" s="198"/>
      <c r="HT9" s="198"/>
      <c r="HU9" s="198"/>
      <c r="HV9" s="198"/>
      <c r="HW9" s="198"/>
      <c r="HX9" s="198"/>
      <c r="HY9" s="198"/>
      <c r="HZ9" s="198"/>
      <c r="IA9" s="198"/>
      <c r="IB9" s="198"/>
      <c r="IC9" s="198"/>
      <c r="ID9" s="198"/>
      <c r="IE9" s="198"/>
      <c r="IF9" s="198"/>
      <c r="IG9" s="198"/>
      <c r="IH9" s="198"/>
      <c r="II9" s="198"/>
      <c r="IJ9" s="198"/>
      <c r="IK9" s="198"/>
      <c r="IL9" s="198"/>
      <c r="IM9" s="198"/>
      <c r="IN9" s="198"/>
      <c r="IO9" s="198"/>
      <c r="IP9" s="198"/>
      <c r="IQ9" s="198"/>
      <c r="IR9" s="198"/>
      <c r="IS9" s="198"/>
      <c r="IT9" s="198"/>
      <c r="IU9" s="198"/>
      <c r="IV9" s="198"/>
      <c r="IW9" s="198"/>
      <c r="IX9" s="198"/>
      <c r="IY9" s="198"/>
      <c r="IZ9" s="198"/>
      <c r="JA9" s="198"/>
      <c r="JB9" s="198"/>
      <c r="JC9" s="198"/>
      <c r="JD9" s="198"/>
      <c r="JE9" s="198"/>
      <c r="JF9" s="198"/>
      <c r="JG9" s="198"/>
      <c r="JH9" s="198"/>
      <c r="JI9" s="198"/>
      <c r="JJ9" s="198"/>
      <c r="JK9" s="198"/>
      <c r="JL9" s="198"/>
      <c r="JM9" s="198"/>
      <c r="JN9" s="198"/>
      <c r="JO9" s="198"/>
      <c r="JP9" s="198"/>
      <c r="JQ9" s="198"/>
      <c r="JR9" s="198"/>
      <c r="JS9" s="198"/>
      <c r="JT9" s="198"/>
      <c r="JU9" s="198"/>
    </row>
    <row r="10" spans="1:358" ht="13.5" thickBot="1">
      <c r="A10" s="473"/>
      <c r="B10" s="473"/>
      <c r="C10" s="507"/>
      <c r="D10" s="514"/>
      <c r="E10" s="508"/>
      <c r="F10" s="508"/>
      <c r="G10" s="473"/>
      <c r="H10" s="473"/>
      <c r="I10" s="473"/>
      <c r="J10" s="473"/>
      <c r="K10" s="472"/>
      <c r="L10" s="514"/>
      <c r="M10" s="472"/>
      <c r="N10" s="472">
        <v>4</v>
      </c>
      <c r="O10" s="470" t="s">
        <v>267</v>
      </c>
      <c r="P10" s="199" t="s">
        <v>9</v>
      </c>
      <c r="Q10" s="199" t="s">
        <v>9</v>
      </c>
      <c r="R10" s="126" t="s">
        <v>2</v>
      </c>
      <c r="S10" s="126" t="s">
        <v>2</v>
      </c>
      <c r="T10" s="199" t="s">
        <v>9</v>
      </c>
      <c r="U10" s="199" t="s">
        <v>9</v>
      </c>
      <c r="V10" s="150" t="s">
        <v>183</v>
      </c>
      <c r="W10" s="148" t="s">
        <v>11</v>
      </c>
      <c r="X10" s="126" t="s">
        <v>2</v>
      </c>
      <c r="Y10" s="149" t="s">
        <v>15</v>
      </c>
      <c r="Z10" s="148" t="s">
        <v>11</v>
      </c>
      <c r="AA10" s="143" t="s">
        <v>5</v>
      </c>
      <c r="AB10" s="127" t="s">
        <v>13</v>
      </c>
      <c r="AC10" s="126" t="s">
        <v>2</v>
      </c>
      <c r="AD10" s="200" t="s">
        <v>2</v>
      </c>
      <c r="AE10" s="201" t="s">
        <v>6</v>
      </c>
      <c r="AF10" s="201" t="s">
        <v>6</v>
      </c>
      <c r="AG10" s="201" t="s">
        <v>6</v>
      </c>
      <c r="AH10" s="201" t="s">
        <v>6</v>
      </c>
      <c r="AI10" s="200" t="s">
        <v>2</v>
      </c>
      <c r="AJ10" s="144" t="s">
        <v>3</v>
      </c>
      <c r="AK10" s="202" t="s">
        <v>11</v>
      </c>
      <c r="AL10" s="202" t="s">
        <v>11</v>
      </c>
      <c r="AM10" s="202" t="s">
        <v>11</v>
      </c>
      <c r="AN10" s="150" t="s">
        <v>16</v>
      </c>
      <c r="AO10" s="203" t="s">
        <v>19</v>
      </c>
      <c r="AP10" s="200" t="s">
        <v>2</v>
      </c>
      <c r="AQ10" s="200" t="s">
        <v>2</v>
      </c>
      <c r="AR10" s="204" t="s">
        <v>6</v>
      </c>
      <c r="AS10" s="200" t="s">
        <v>2</v>
      </c>
      <c r="AT10" s="200" t="s">
        <v>2</v>
      </c>
      <c r="AU10" s="204" t="s">
        <v>6</v>
      </c>
      <c r="AV10" s="204" t="s">
        <v>6</v>
      </c>
      <c r="AW10" s="204" t="s">
        <v>6</v>
      </c>
      <c r="AX10" s="146" t="s">
        <v>4</v>
      </c>
      <c r="AY10" s="204" t="s">
        <v>6</v>
      </c>
      <c r="AZ10" s="200" t="s">
        <v>2</v>
      </c>
      <c r="BA10" s="200" t="s">
        <v>2</v>
      </c>
      <c r="BB10" s="155" t="s">
        <v>10</v>
      </c>
      <c r="BC10" s="155" t="s">
        <v>10</v>
      </c>
      <c r="BD10" s="150" t="s">
        <v>103</v>
      </c>
      <c r="BE10" s="146" t="s">
        <v>3</v>
      </c>
      <c r="BF10" s="136" t="s">
        <v>2</v>
      </c>
      <c r="BG10" s="153" t="s">
        <v>105</v>
      </c>
      <c r="BH10" s="153" t="s">
        <v>105</v>
      </c>
      <c r="BI10" s="153" t="s">
        <v>105</v>
      </c>
      <c r="BJ10" s="153" t="s">
        <v>105</v>
      </c>
      <c r="BK10" s="150" t="s">
        <v>15</v>
      </c>
      <c r="BL10" s="136" t="s">
        <v>2</v>
      </c>
      <c r="BM10" s="155" t="s">
        <v>104</v>
      </c>
      <c r="BN10" s="155" t="s">
        <v>104</v>
      </c>
      <c r="BO10" s="155" t="s">
        <v>104</v>
      </c>
      <c r="BP10" s="155" t="s">
        <v>104</v>
      </c>
      <c r="BQ10" s="155" t="s">
        <v>104</v>
      </c>
      <c r="BR10" s="136" t="s">
        <v>2</v>
      </c>
      <c r="BS10" s="136" t="s">
        <v>2</v>
      </c>
      <c r="BT10" s="150" t="s">
        <v>15</v>
      </c>
      <c r="BU10" s="136" t="s">
        <v>2</v>
      </c>
      <c r="BV10" s="205" t="s">
        <v>107</v>
      </c>
      <c r="BW10" s="205" t="s">
        <v>107</v>
      </c>
      <c r="BX10" s="205" t="s">
        <v>107</v>
      </c>
      <c r="BY10" s="205" t="s">
        <v>107</v>
      </c>
      <c r="BZ10" s="136" t="s">
        <v>2</v>
      </c>
      <c r="CA10" s="155" t="s">
        <v>10</v>
      </c>
      <c r="CB10" s="155" t="s">
        <v>10</v>
      </c>
      <c r="CC10" s="155" t="s">
        <v>10</v>
      </c>
      <c r="CD10" s="155" t="s">
        <v>10</v>
      </c>
      <c r="CE10" s="136" t="s">
        <v>2</v>
      </c>
      <c r="CF10" s="136" t="s">
        <v>2</v>
      </c>
      <c r="CG10" s="146" t="s">
        <v>117</v>
      </c>
      <c r="CH10" s="150" t="s">
        <v>109</v>
      </c>
      <c r="CI10" s="150" t="s">
        <v>109</v>
      </c>
      <c r="CJ10" s="150" t="s">
        <v>109</v>
      </c>
      <c r="CK10" s="150" t="s">
        <v>109</v>
      </c>
      <c r="CL10" s="150" t="s">
        <v>109</v>
      </c>
      <c r="CM10" s="136" t="s">
        <v>2</v>
      </c>
      <c r="CN10" s="136" t="s">
        <v>2</v>
      </c>
      <c r="CO10" s="153" t="s">
        <v>183</v>
      </c>
      <c r="CP10" s="136" t="s">
        <v>2</v>
      </c>
      <c r="CQ10" s="153" t="s">
        <v>183</v>
      </c>
      <c r="CR10" s="155" t="s">
        <v>10</v>
      </c>
      <c r="CS10" s="155" t="s">
        <v>10</v>
      </c>
      <c r="CT10" s="155" t="s">
        <v>10</v>
      </c>
      <c r="CU10" s="136" t="s">
        <v>2</v>
      </c>
      <c r="CV10" s="153" t="s">
        <v>183</v>
      </c>
      <c r="CW10" s="153" t="s">
        <v>183</v>
      </c>
      <c r="CX10" s="153" t="s">
        <v>183</v>
      </c>
      <c r="CY10" s="153" t="s">
        <v>183</v>
      </c>
      <c r="CZ10" s="153" t="s">
        <v>183</v>
      </c>
      <c r="DA10" s="136" t="s">
        <v>2</v>
      </c>
      <c r="DB10" s="136" t="s">
        <v>2</v>
      </c>
      <c r="DC10" s="153" t="s">
        <v>7</v>
      </c>
      <c r="DD10" s="153" t="s">
        <v>7</v>
      </c>
      <c r="DE10" s="153" t="s">
        <v>7</v>
      </c>
      <c r="DF10" s="136" t="s">
        <v>2</v>
      </c>
      <c r="DG10" s="136" t="s">
        <v>2</v>
      </c>
      <c r="DH10" s="150" t="s">
        <v>118</v>
      </c>
      <c r="DI10" s="146" t="s">
        <v>117</v>
      </c>
      <c r="DJ10" s="155" t="s">
        <v>11</v>
      </c>
      <c r="DK10" s="200" t="s">
        <v>2</v>
      </c>
      <c r="DL10" s="155" t="s">
        <v>11</v>
      </c>
      <c r="DM10" s="155" t="s">
        <v>11</v>
      </c>
      <c r="DN10" s="155" t="s">
        <v>11</v>
      </c>
      <c r="DO10" s="155" t="s">
        <v>11</v>
      </c>
      <c r="DP10" s="200" t="s">
        <v>2</v>
      </c>
      <c r="DQ10" s="206" t="s">
        <v>7</v>
      </c>
      <c r="DR10" s="206" t="s">
        <v>7</v>
      </c>
      <c r="DS10" s="206" t="s">
        <v>7</v>
      </c>
      <c r="DT10" s="200" t="s">
        <v>2</v>
      </c>
      <c r="DU10" s="200" t="s">
        <v>2</v>
      </c>
      <c r="DV10" s="150" t="s">
        <v>118</v>
      </c>
      <c r="DW10" s="146" t="s">
        <v>117</v>
      </c>
      <c r="DX10" s="162" t="s">
        <v>268</v>
      </c>
      <c r="DY10" s="162" t="s">
        <v>268</v>
      </c>
      <c r="DZ10" s="162" t="s">
        <v>268</v>
      </c>
      <c r="EA10" s="200" t="s">
        <v>2</v>
      </c>
      <c r="EB10" s="207" t="s">
        <v>113</v>
      </c>
      <c r="EC10" s="207" t="s">
        <v>113</v>
      </c>
      <c r="ED10" s="200" t="s">
        <v>2</v>
      </c>
      <c r="EE10" s="135" t="s">
        <v>114</v>
      </c>
      <c r="EF10" s="135" t="s">
        <v>114</v>
      </c>
      <c r="EG10" s="135" t="s">
        <v>114</v>
      </c>
      <c r="EH10" s="136" t="s">
        <v>2</v>
      </c>
      <c r="EI10" s="135" t="s">
        <v>114</v>
      </c>
      <c r="EJ10" s="135" t="s">
        <v>114</v>
      </c>
      <c r="EK10" s="136" t="s">
        <v>2</v>
      </c>
      <c r="EL10" s="155" t="s">
        <v>11</v>
      </c>
      <c r="EM10" s="155" t="s">
        <v>11</v>
      </c>
      <c r="EN10" s="155" t="s">
        <v>11</v>
      </c>
      <c r="EO10" s="136" t="s">
        <v>2</v>
      </c>
      <c r="EP10" s="155" t="s">
        <v>11</v>
      </c>
      <c r="EQ10" s="155" t="s">
        <v>11</v>
      </c>
      <c r="ER10" s="136" t="s">
        <v>2</v>
      </c>
      <c r="ES10" s="153" t="s">
        <v>7</v>
      </c>
      <c r="ET10" s="153" t="s">
        <v>7</v>
      </c>
      <c r="EU10" s="153" t="s">
        <v>7</v>
      </c>
      <c r="EV10" s="153" t="s">
        <v>7</v>
      </c>
      <c r="EW10" s="153" t="s">
        <v>7</v>
      </c>
      <c r="EX10" s="136" t="s">
        <v>2</v>
      </c>
      <c r="EY10" s="136" t="s">
        <v>2</v>
      </c>
      <c r="EZ10" s="136" t="s">
        <v>2</v>
      </c>
      <c r="FA10" s="155" t="s">
        <v>11</v>
      </c>
      <c r="FB10" s="155" t="s">
        <v>11</v>
      </c>
      <c r="FC10" s="155" t="s">
        <v>11</v>
      </c>
      <c r="FD10" s="155" t="s">
        <v>11</v>
      </c>
      <c r="FE10" s="136" t="s">
        <v>2</v>
      </c>
      <c r="FF10" s="135" t="s">
        <v>116</v>
      </c>
      <c r="FG10" s="136" t="s">
        <v>2</v>
      </c>
      <c r="FH10" s="135" t="s">
        <v>114</v>
      </c>
      <c r="FI10" s="135" t="s">
        <v>114</v>
      </c>
      <c r="FJ10" s="135" t="s">
        <v>138</v>
      </c>
      <c r="FK10" s="135" t="s">
        <v>114</v>
      </c>
      <c r="FL10" s="135" t="s">
        <v>114</v>
      </c>
      <c r="FM10" s="136" t="s">
        <v>2</v>
      </c>
      <c r="FN10" s="155" t="s">
        <v>11</v>
      </c>
      <c r="FO10" s="136" t="s">
        <v>2</v>
      </c>
      <c r="FP10" s="153" t="s">
        <v>7</v>
      </c>
      <c r="FQ10" s="153" t="s">
        <v>7</v>
      </c>
      <c r="FR10" s="153" t="s">
        <v>7</v>
      </c>
      <c r="FS10" s="136" t="s">
        <v>2</v>
      </c>
      <c r="FT10" s="146" t="s">
        <v>117</v>
      </c>
      <c r="FU10" s="207" t="s">
        <v>113</v>
      </c>
      <c r="FV10" s="135" t="s">
        <v>114</v>
      </c>
      <c r="FW10" s="135" t="s">
        <v>114</v>
      </c>
      <c r="FX10" s="136" t="s">
        <v>2</v>
      </c>
      <c r="FY10" s="153" t="s">
        <v>7</v>
      </c>
      <c r="FZ10" s="153" t="s">
        <v>7</v>
      </c>
      <c r="GA10" s="136" t="s">
        <v>2</v>
      </c>
      <c r="GB10" s="153" t="s">
        <v>7</v>
      </c>
      <c r="GC10" s="153" t="s">
        <v>7</v>
      </c>
      <c r="GD10" s="153" t="s">
        <v>140</v>
      </c>
      <c r="GE10" s="153" t="s">
        <v>140</v>
      </c>
      <c r="GF10" s="153" t="s">
        <v>140</v>
      </c>
      <c r="GG10" s="136" t="s">
        <v>2</v>
      </c>
      <c r="GH10" s="136" t="s">
        <v>2</v>
      </c>
      <c r="GI10" s="128" t="s">
        <v>128</v>
      </c>
      <c r="GJ10" s="128" t="s">
        <v>128</v>
      </c>
      <c r="GK10" s="162" t="s">
        <v>269</v>
      </c>
      <c r="GL10" s="129" t="s">
        <v>2</v>
      </c>
      <c r="GM10" s="129" t="s">
        <v>2</v>
      </c>
      <c r="GN10" s="141" t="s">
        <v>120</v>
      </c>
      <c r="GO10" s="88" t="s">
        <v>142</v>
      </c>
      <c r="GP10" s="129" t="s">
        <v>2</v>
      </c>
      <c r="GQ10" s="128" t="s">
        <v>123</v>
      </c>
      <c r="GR10" s="131" t="s">
        <v>63</v>
      </c>
      <c r="GS10" s="208" t="s">
        <v>270</v>
      </c>
      <c r="GT10" s="131" t="s">
        <v>63</v>
      </c>
      <c r="GU10" s="141" t="s">
        <v>120</v>
      </c>
      <c r="GV10" s="129" t="s">
        <v>2</v>
      </c>
      <c r="GW10" s="128" t="s">
        <v>123</v>
      </c>
      <c r="GX10" s="209" t="s">
        <v>122</v>
      </c>
      <c r="GY10" s="98" t="s">
        <v>124</v>
      </c>
      <c r="GZ10" s="128" t="s">
        <v>123</v>
      </c>
      <c r="HA10" s="128" t="s">
        <v>123</v>
      </c>
      <c r="HB10" s="129" t="s">
        <v>2</v>
      </c>
      <c r="HC10" s="129" t="s">
        <v>2</v>
      </c>
      <c r="HD10" s="131" t="s">
        <v>63</v>
      </c>
      <c r="HE10" s="131" t="s">
        <v>63</v>
      </c>
      <c r="HF10" s="98" t="s">
        <v>124</v>
      </c>
      <c r="HG10" s="209" t="s">
        <v>122</v>
      </c>
      <c r="HH10" s="129" t="s">
        <v>2</v>
      </c>
      <c r="HI10" s="129" t="s">
        <v>2</v>
      </c>
      <c r="HJ10" s="62" t="s">
        <v>3</v>
      </c>
      <c r="HK10" s="54" t="s">
        <v>123</v>
      </c>
      <c r="HL10" s="56" t="s">
        <v>2</v>
      </c>
      <c r="HM10" s="80" t="s">
        <v>120</v>
      </c>
      <c r="HN10" s="81" t="s">
        <v>122</v>
      </c>
      <c r="HO10" s="81" t="s">
        <v>194</v>
      </c>
      <c r="HP10" s="56" t="s">
        <v>2</v>
      </c>
      <c r="HQ10" s="90" t="s">
        <v>271</v>
      </c>
      <c r="HR10" s="81" t="s">
        <v>146</v>
      </c>
      <c r="HS10" s="81" t="s">
        <v>146</v>
      </c>
      <c r="HT10" s="81" t="s">
        <v>146</v>
      </c>
      <c r="HU10" s="56" t="s">
        <v>2</v>
      </c>
      <c r="HV10" s="82" t="s">
        <v>146</v>
      </c>
      <c r="HW10" s="56" t="s">
        <v>2</v>
      </c>
      <c r="HX10" s="62" t="s">
        <v>149</v>
      </c>
      <c r="HY10" s="55" t="s">
        <v>159</v>
      </c>
      <c r="HZ10" s="82" t="s">
        <v>45</v>
      </c>
      <c r="IA10" s="56" t="s">
        <v>2</v>
      </c>
      <c r="IB10" s="82" t="s">
        <v>45</v>
      </c>
      <c r="IC10" s="82" t="s">
        <v>45</v>
      </c>
      <c r="ID10" s="56" t="s">
        <v>2</v>
      </c>
      <c r="IE10" s="80" t="s">
        <v>272</v>
      </c>
      <c r="IF10" s="62" t="s">
        <v>149</v>
      </c>
      <c r="IG10" s="56" t="s">
        <v>2</v>
      </c>
      <c r="IH10" s="56" t="s">
        <v>2</v>
      </c>
      <c r="II10" s="54" t="s">
        <v>128</v>
      </c>
      <c r="IJ10" s="54" t="s">
        <v>128</v>
      </c>
      <c r="IK10" s="54" t="s">
        <v>128</v>
      </c>
      <c r="IL10" s="54" t="s">
        <v>128</v>
      </c>
      <c r="IM10" s="56" t="s">
        <v>2</v>
      </c>
      <c r="IN10" s="90" t="s">
        <v>273</v>
      </c>
      <c r="IO10" s="90" t="s">
        <v>274</v>
      </c>
      <c r="IP10" s="90" t="s">
        <v>274</v>
      </c>
      <c r="IQ10" s="90" t="s">
        <v>274</v>
      </c>
      <c r="IR10" s="90" t="s">
        <v>274</v>
      </c>
      <c r="IS10" s="56" t="s">
        <v>2</v>
      </c>
      <c r="IT10" s="58" t="s">
        <v>67</v>
      </c>
      <c r="IU10" s="58" t="s">
        <v>67</v>
      </c>
      <c r="IV10" s="81" t="s">
        <v>146</v>
      </c>
      <c r="IW10" s="56" t="s">
        <v>2</v>
      </c>
      <c r="IX10" s="56" t="s">
        <v>2</v>
      </c>
      <c r="IY10" s="81" t="s">
        <v>146</v>
      </c>
      <c r="IZ10" s="62" t="s">
        <v>149</v>
      </c>
      <c r="JA10" s="56" t="s">
        <v>2</v>
      </c>
      <c r="JB10" s="54" t="s">
        <v>128</v>
      </c>
      <c r="JC10" s="54" t="s">
        <v>128</v>
      </c>
      <c r="JD10" s="54" t="s">
        <v>128</v>
      </c>
      <c r="JE10" s="56" t="s">
        <v>130</v>
      </c>
      <c r="JF10" s="54" t="s">
        <v>128</v>
      </c>
      <c r="JG10" s="56" t="s">
        <v>2</v>
      </c>
      <c r="JH10" s="56" t="s">
        <v>2</v>
      </c>
      <c r="JI10" s="81" t="s">
        <v>129</v>
      </c>
      <c r="JJ10" s="81" t="s">
        <v>129</v>
      </c>
      <c r="JK10" s="58" t="s">
        <v>67</v>
      </c>
      <c r="JL10" s="58" t="s">
        <v>67</v>
      </c>
      <c r="JM10" s="58" t="s">
        <v>67</v>
      </c>
      <c r="JN10" s="56" t="s">
        <v>2</v>
      </c>
      <c r="JO10" s="80" t="s">
        <v>119</v>
      </c>
      <c r="JP10" s="80" t="s">
        <v>119</v>
      </c>
      <c r="JQ10" s="80" t="s">
        <v>119</v>
      </c>
      <c r="JR10" s="80" t="s">
        <v>119</v>
      </c>
      <c r="JS10" s="80" t="s">
        <v>119</v>
      </c>
      <c r="JT10" s="56" t="s">
        <v>2</v>
      </c>
      <c r="JU10" s="56" t="s">
        <v>2</v>
      </c>
      <c r="JV10" s="54" t="s">
        <v>128</v>
      </c>
      <c r="JW10" s="54" t="s">
        <v>128</v>
      </c>
      <c r="JX10" s="54" t="s">
        <v>128</v>
      </c>
      <c r="JY10" s="54" t="s">
        <v>128</v>
      </c>
      <c r="JZ10" s="54" t="s">
        <v>128</v>
      </c>
      <c r="KA10" s="56" t="s">
        <v>2</v>
      </c>
      <c r="KB10" s="56" t="s">
        <v>2</v>
      </c>
      <c r="KC10" s="82" t="s">
        <v>45</v>
      </c>
      <c r="KD10" s="82" t="s">
        <v>45</v>
      </c>
      <c r="KE10" s="82" t="s">
        <v>45</v>
      </c>
      <c r="KF10" s="82" t="s">
        <v>45</v>
      </c>
      <c r="KG10" s="82" t="s">
        <v>45</v>
      </c>
      <c r="KH10" s="56" t="s">
        <v>2</v>
      </c>
      <c r="KI10" s="56" t="s">
        <v>2</v>
      </c>
      <c r="KJ10" s="81" t="s">
        <v>146</v>
      </c>
      <c r="KK10" s="81" t="s">
        <v>146</v>
      </c>
      <c r="KL10" s="81" t="s">
        <v>146</v>
      </c>
      <c r="KM10" s="56" t="s">
        <v>2</v>
      </c>
      <c r="KN10" s="56" t="s">
        <v>2</v>
      </c>
      <c r="KO10" s="81" t="s">
        <v>146</v>
      </c>
      <c r="KP10" s="62" t="s">
        <v>149</v>
      </c>
      <c r="KQ10" s="81" t="s">
        <v>146</v>
      </c>
      <c r="KR10" s="81" t="s">
        <v>146</v>
      </c>
      <c r="KS10" s="81" t="s">
        <v>146</v>
      </c>
      <c r="KT10" s="56" t="s">
        <v>2</v>
      </c>
      <c r="KU10" s="56" t="s">
        <v>2</v>
      </c>
      <c r="KV10" s="80" t="s">
        <v>119</v>
      </c>
      <c r="KW10" s="62" t="s">
        <v>149</v>
      </c>
      <c r="KX10" s="102" t="s">
        <v>27</v>
      </c>
      <c r="KY10" s="102" t="s">
        <v>27</v>
      </c>
      <c r="KZ10" s="102" t="s">
        <v>27</v>
      </c>
      <c r="LA10" s="102" t="s">
        <v>27</v>
      </c>
      <c r="LB10" s="102" t="s">
        <v>27</v>
      </c>
      <c r="LC10" s="129" t="s">
        <v>2</v>
      </c>
      <c r="LD10" s="129" t="s">
        <v>2</v>
      </c>
      <c r="LE10" s="56" t="s">
        <v>2</v>
      </c>
      <c r="LF10" s="54" t="s">
        <v>128</v>
      </c>
      <c r="LG10" s="54" t="s">
        <v>128</v>
      </c>
      <c r="LH10" s="56" t="s">
        <v>2</v>
      </c>
      <c r="LI10" s="54" t="s">
        <v>128</v>
      </c>
      <c r="LJ10" s="54" t="s">
        <v>128</v>
      </c>
      <c r="LK10" s="80" t="s">
        <v>164</v>
      </c>
      <c r="LL10" s="56" t="s">
        <v>2</v>
      </c>
      <c r="LM10" s="55" t="s">
        <v>126</v>
      </c>
      <c r="LN10" s="55" t="s">
        <v>126</v>
      </c>
      <c r="LO10" s="55" t="s">
        <v>126</v>
      </c>
      <c r="LP10" s="55" t="s">
        <v>126</v>
      </c>
      <c r="LQ10" s="55" t="s">
        <v>126</v>
      </c>
      <c r="LR10" s="56" t="s">
        <v>2</v>
      </c>
      <c r="LS10" s="80" t="s">
        <v>119</v>
      </c>
      <c r="LT10" s="80" t="s">
        <v>119</v>
      </c>
      <c r="LU10" s="80" t="s">
        <v>119</v>
      </c>
      <c r="LV10" s="80" t="s">
        <v>119</v>
      </c>
      <c r="LW10" s="80" t="s">
        <v>119</v>
      </c>
      <c r="LX10" s="56" t="s">
        <v>2</v>
      </c>
      <c r="LY10" s="56" t="s">
        <v>2</v>
      </c>
    </row>
    <row r="11" spans="1:358" ht="13.5" thickBot="1">
      <c r="A11" s="473"/>
      <c r="B11" s="495"/>
      <c r="C11" s="514"/>
      <c r="D11" s="509"/>
      <c r="E11" s="473"/>
      <c r="F11" s="473"/>
      <c r="G11" s="473"/>
      <c r="H11" s="508"/>
      <c r="I11" s="473"/>
      <c r="J11" s="473"/>
      <c r="K11" s="472"/>
      <c r="L11" s="472"/>
      <c r="M11" s="472"/>
      <c r="N11" s="472">
        <v>2</v>
      </c>
      <c r="O11" s="471" t="s">
        <v>275</v>
      </c>
      <c r="P11" s="143" t="s">
        <v>5</v>
      </c>
      <c r="Q11" s="126" t="s">
        <v>2</v>
      </c>
      <c r="R11" s="126" t="s">
        <v>2</v>
      </c>
      <c r="S11" s="149" t="s">
        <v>16</v>
      </c>
      <c r="T11" s="148" t="s">
        <v>11</v>
      </c>
      <c r="U11" s="143" t="s">
        <v>6</v>
      </c>
      <c r="V11" s="143" t="s">
        <v>18</v>
      </c>
      <c r="W11" s="126" t="s">
        <v>2</v>
      </c>
      <c r="X11" s="126" t="s">
        <v>2</v>
      </c>
      <c r="Y11" s="159" t="s">
        <v>8</v>
      </c>
      <c r="Z11" s="159" t="s">
        <v>8</v>
      </c>
      <c r="AA11" s="148" t="s">
        <v>11</v>
      </c>
      <c r="AB11" s="148" t="s">
        <v>11</v>
      </c>
      <c r="AC11" s="148" t="s">
        <v>11</v>
      </c>
      <c r="AD11" s="201" t="s">
        <v>5</v>
      </c>
      <c r="AE11" s="200" t="s">
        <v>2</v>
      </c>
      <c r="AF11" s="206" t="s">
        <v>8</v>
      </c>
      <c r="AG11" s="206" t="s">
        <v>8</v>
      </c>
      <c r="AH11" s="206" t="s">
        <v>8</v>
      </c>
      <c r="AI11" s="200" t="s">
        <v>2</v>
      </c>
      <c r="AJ11" s="201" t="s">
        <v>6</v>
      </c>
      <c r="AK11" s="200" t="s">
        <v>2</v>
      </c>
      <c r="AL11" s="201" t="s">
        <v>6</v>
      </c>
      <c r="AM11" s="201" t="s">
        <v>6</v>
      </c>
      <c r="AN11" s="201" t="s">
        <v>6</v>
      </c>
      <c r="AO11" s="201" t="s">
        <v>6</v>
      </c>
      <c r="AP11" s="200" t="s">
        <v>2</v>
      </c>
      <c r="AQ11" s="144" t="s">
        <v>3</v>
      </c>
      <c r="AR11" s="155" t="s">
        <v>11</v>
      </c>
      <c r="AS11" s="155" t="s">
        <v>11</v>
      </c>
      <c r="AT11" s="155" t="s">
        <v>11</v>
      </c>
      <c r="AU11" s="150" t="s">
        <v>15</v>
      </c>
      <c r="AV11" s="150" t="s">
        <v>15</v>
      </c>
      <c r="AW11" s="200" t="s">
        <v>2</v>
      </c>
      <c r="AX11" s="200" t="s">
        <v>2</v>
      </c>
      <c r="AY11" s="200" t="s">
        <v>2</v>
      </c>
      <c r="AZ11" s="210" t="s">
        <v>132</v>
      </c>
      <c r="BA11" s="210" t="s">
        <v>132</v>
      </c>
      <c r="BB11" s="210" t="s">
        <v>132</v>
      </c>
      <c r="BC11" s="210" t="s">
        <v>132</v>
      </c>
      <c r="BD11" s="155" t="s">
        <v>10</v>
      </c>
      <c r="BE11" s="200" t="s">
        <v>2</v>
      </c>
      <c r="BF11" s="155" t="s">
        <v>10</v>
      </c>
      <c r="BG11" s="155" t="s">
        <v>10</v>
      </c>
      <c r="BH11" s="155" t="s">
        <v>10</v>
      </c>
      <c r="BI11" s="155" t="s">
        <v>10</v>
      </c>
      <c r="BJ11" s="155" t="s">
        <v>10</v>
      </c>
      <c r="BK11" s="136" t="s">
        <v>2</v>
      </c>
      <c r="BL11" s="136" t="s">
        <v>2</v>
      </c>
      <c r="BM11" s="210" t="s">
        <v>132</v>
      </c>
      <c r="BN11" s="210" t="s">
        <v>132</v>
      </c>
      <c r="BO11" s="136" t="s">
        <v>2</v>
      </c>
      <c r="BP11" s="210" t="s">
        <v>132</v>
      </c>
      <c r="BQ11" s="210" t="s">
        <v>132</v>
      </c>
      <c r="BR11" s="155" t="s">
        <v>104</v>
      </c>
      <c r="BS11" s="136" t="s">
        <v>2</v>
      </c>
      <c r="BT11" s="153" t="s">
        <v>105</v>
      </c>
      <c r="BU11" s="153" t="s">
        <v>105</v>
      </c>
      <c r="BV11" s="153" t="s">
        <v>105</v>
      </c>
      <c r="BW11" s="153" t="s">
        <v>105</v>
      </c>
      <c r="BX11" s="153" t="s">
        <v>105</v>
      </c>
      <c r="BY11" s="136" t="s">
        <v>2</v>
      </c>
      <c r="BZ11" s="136" t="s">
        <v>2</v>
      </c>
      <c r="CA11" s="153" t="s">
        <v>183</v>
      </c>
      <c r="CB11" s="136" t="s">
        <v>2</v>
      </c>
      <c r="CC11" s="155" t="s">
        <v>10</v>
      </c>
      <c r="CD11" s="155" t="s">
        <v>10</v>
      </c>
      <c r="CE11" s="155" t="s">
        <v>10</v>
      </c>
      <c r="CF11" s="155" t="s">
        <v>10</v>
      </c>
      <c r="CG11" s="136" t="s">
        <v>2</v>
      </c>
      <c r="CH11" s="153" t="s">
        <v>183</v>
      </c>
      <c r="CI11" s="153" t="s">
        <v>183</v>
      </c>
      <c r="CJ11" s="153" t="s">
        <v>183</v>
      </c>
      <c r="CK11" s="153" t="s">
        <v>183</v>
      </c>
      <c r="CL11" s="153" t="s">
        <v>183</v>
      </c>
      <c r="CM11" s="136" t="s">
        <v>2</v>
      </c>
      <c r="CN11" s="136" t="s">
        <v>2</v>
      </c>
      <c r="CO11" s="155" t="s">
        <v>10</v>
      </c>
      <c r="CP11" s="155" t="s">
        <v>10</v>
      </c>
      <c r="CQ11" s="155" t="s">
        <v>10</v>
      </c>
      <c r="CR11" s="155" t="s">
        <v>10</v>
      </c>
      <c r="CS11" s="155" t="s">
        <v>10</v>
      </c>
      <c r="CT11" s="136" t="s">
        <v>2</v>
      </c>
      <c r="CU11" s="136" t="s">
        <v>2</v>
      </c>
      <c r="CV11" s="135" t="s">
        <v>108</v>
      </c>
      <c r="CW11" s="135" t="s">
        <v>108</v>
      </c>
      <c r="CX11" s="135" t="s">
        <v>108</v>
      </c>
      <c r="CY11" s="136" t="s">
        <v>2</v>
      </c>
      <c r="CZ11" s="136" t="s">
        <v>2</v>
      </c>
      <c r="DA11" s="153" t="s">
        <v>183</v>
      </c>
      <c r="DB11" s="153" t="s">
        <v>107</v>
      </c>
      <c r="DC11" s="153" t="s">
        <v>7</v>
      </c>
      <c r="DD11" s="153" t="s">
        <v>7</v>
      </c>
      <c r="DE11" s="136" t="s">
        <v>2</v>
      </c>
      <c r="DF11" s="153" t="s">
        <v>7</v>
      </c>
      <c r="DG11" s="153" t="s">
        <v>7</v>
      </c>
      <c r="DH11" s="153" t="s">
        <v>7</v>
      </c>
      <c r="DI11" s="136" t="s">
        <v>2</v>
      </c>
      <c r="DJ11" s="200" t="s">
        <v>2</v>
      </c>
      <c r="DK11" s="155" t="s">
        <v>11</v>
      </c>
      <c r="DL11" s="155" t="s">
        <v>11</v>
      </c>
      <c r="DM11" s="155" t="s">
        <v>11</v>
      </c>
      <c r="DN11" s="155" t="s">
        <v>11</v>
      </c>
      <c r="DO11" s="155" t="s">
        <v>11</v>
      </c>
      <c r="DP11" s="200" t="s">
        <v>2</v>
      </c>
      <c r="DQ11" s="206" t="s">
        <v>7</v>
      </c>
      <c r="DR11" s="200" t="s">
        <v>2</v>
      </c>
      <c r="DS11" s="206" t="s">
        <v>7</v>
      </c>
      <c r="DT11" s="206" t="s">
        <v>7</v>
      </c>
      <c r="DU11" s="206" t="s">
        <v>7</v>
      </c>
      <c r="DV11" s="155" t="s">
        <v>11</v>
      </c>
      <c r="DW11" s="200" t="s">
        <v>2</v>
      </c>
      <c r="DX11" s="150" t="s">
        <v>118</v>
      </c>
      <c r="DY11" s="150" t="s">
        <v>118</v>
      </c>
      <c r="DZ11" s="150" t="s">
        <v>118</v>
      </c>
      <c r="EA11" s="200" t="s">
        <v>2</v>
      </c>
      <c r="EB11" s="200" t="s">
        <v>2</v>
      </c>
      <c r="EC11" s="150" t="s">
        <v>118</v>
      </c>
      <c r="ED11" s="146" t="s">
        <v>117</v>
      </c>
      <c r="EE11" s="210" t="s">
        <v>12</v>
      </c>
      <c r="EF11" s="210" t="s">
        <v>12</v>
      </c>
      <c r="EG11" s="210" t="s">
        <v>12</v>
      </c>
      <c r="EH11" s="136" t="s">
        <v>2</v>
      </c>
      <c r="EI11" s="136" t="s">
        <v>2</v>
      </c>
      <c r="EJ11" s="153" t="s">
        <v>7</v>
      </c>
      <c r="EK11" s="135" t="s">
        <v>116</v>
      </c>
      <c r="EL11" s="155" t="s">
        <v>11</v>
      </c>
      <c r="EM11" s="155" t="s">
        <v>11</v>
      </c>
      <c r="EN11" s="155" t="s">
        <v>11</v>
      </c>
      <c r="EO11" s="146" t="s">
        <v>180</v>
      </c>
      <c r="EP11" s="153" t="s">
        <v>7</v>
      </c>
      <c r="EQ11" s="136" t="s">
        <v>2</v>
      </c>
      <c r="ER11" s="136" t="s">
        <v>2</v>
      </c>
      <c r="ES11" s="153" t="s">
        <v>7</v>
      </c>
      <c r="ET11" s="153" t="s">
        <v>7</v>
      </c>
      <c r="EU11" s="155" t="s">
        <v>11</v>
      </c>
      <c r="EV11" s="155" t="s">
        <v>11</v>
      </c>
      <c r="EW11" s="136" t="s">
        <v>2</v>
      </c>
      <c r="EX11" s="136" t="s">
        <v>2</v>
      </c>
      <c r="EY11" s="146" t="s">
        <v>117</v>
      </c>
      <c r="EZ11" s="135" t="s">
        <v>114</v>
      </c>
      <c r="FA11" s="135" t="s">
        <v>114</v>
      </c>
      <c r="FB11" s="135" t="s">
        <v>114</v>
      </c>
      <c r="FC11" s="135" t="s">
        <v>114</v>
      </c>
      <c r="FD11" s="135" t="s">
        <v>114</v>
      </c>
      <c r="FE11" s="136" t="s">
        <v>2</v>
      </c>
      <c r="FF11" s="136" t="s">
        <v>2</v>
      </c>
      <c r="FG11" s="211" t="s">
        <v>27</v>
      </c>
      <c r="FH11" s="211" t="s">
        <v>27</v>
      </c>
      <c r="FI11" s="211" t="s">
        <v>27</v>
      </c>
      <c r="FJ11" s="211" t="s">
        <v>27</v>
      </c>
      <c r="FK11" s="211" t="s">
        <v>27</v>
      </c>
      <c r="FL11" s="136" t="s">
        <v>2</v>
      </c>
      <c r="FM11" s="136" t="s">
        <v>2</v>
      </c>
      <c r="FN11" s="155" t="s">
        <v>11</v>
      </c>
      <c r="FO11" s="155" t="s">
        <v>11</v>
      </c>
      <c r="FP11" s="155" t="s">
        <v>11</v>
      </c>
      <c r="FQ11" s="155" t="s">
        <v>11</v>
      </c>
      <c r="FR11" s="155" t="s">
        <v>11</v>
      </c>
      <c r="FS11" s="136" t="s">
        <v>2</v>
      </c>
      <c r="FT11" s="136" t="s">
        <v>2</v>
      </c>
      <c r="FU11" s="150" t="s">
        <v>118</v>
      </c>
      <c r="FV11" s="136" t="s">
        <v>2</v>
      </c>
      <c r="FW11" s="136" t="s">
        <v>2</v>
      </c>
      <c r="FX11" s="150" t="s">
        <v>118</v>
      </c>
      <c r="FY11" s="150" t="s">
        <v>118</v>
      </c>
      <c r="FZ11" s="150" t="s">
        <v>118</v>
      </c>
      <c r="GA11" s="146" t="s">
        <v>117</v>
      </c>
      <c r="GB11" s="136" t="s">
        <v>2</v>
      </c>
      <c r="GC11" s="210" t="s">
        <v>12</v>
      </c>
      <c r="GD11" s="210" t="s">
        <v>12</v>
      </c>
      <c r="GE11" s="210" t="s">
        <v>12</v>
      </c>
      <c r="GF11" s="210" t="s">
        <v>12</v>
      </c>
      <c r="GG11" s="210" t="s">
        <v>12</v>
      </c>
      <c r="GH11" s="136" t="s">
        <v>2</v>
      </c>
      <c r="GI11" s="141" t="s">
        <v>119</v>
      </c>
      <c r="GJ11" s="141" t="s">
        <v>119</v>
      </c>
      <c r="GK11" s="141" t="s">
        <v>119</v>
      </c>
      <c r="GL11" s="141" t="s">
        <v>120</v>
      </c>
      <c r="GM11" s="209" t="s">
        <v>122</v>
      </c>
      <c r="GN11" s="129" t="s">
        <v>2</v>
      </c>
      <c r="GO11" s="129" t="s">
        <v>2</v>
      </c>
      <c r="GP11" s="141" t="s">
        <v>120</v>
      </c>
      <c r="GQ11" s="212" t="s">
        <v>61</v>
      </c>
      <c r="GR11" s="128" t="s">
        <v>123</v>
      </c>
      <c r="GS11" s="129" t="s">
        <v>2</v>
      </c>
      <c r="GT11" s="129" t="s">
        <v>2</v>
      </c>
      <c r="GU11" s="128" t="s">
        <v>123</v>
      </c>
      <c r="GV11" s="128" t="s">
        <v>276</v>
      </c>
      <c r="GW11" s="208" t="s">
        <v>270</v>
      </c>
      <c r="GX11" s="129" t="s">
        <v>2</v>
      </c>
      <c r="GY11" s="128" t="s">
        <v>123</v>
      </c>
      <c r="GZ11" s="209" t="s">
        <v>122</v>
      </c>
      <c r="HA11" s="131" t="s">
        <v>63</v>
      </c>
      <c r="HB11" s="212" t="s">
        <v>61</v>
      </c>
      <c r="HC11" s="129" t="s">
        <v>2</v>
      </c>
      <c r="HD11" s="212" t="s">
        <v>61</v>
      </c>
      <c r="HE11" s="128" t="s">
        <v>123</v>
      </c>
      <c r="HF11" s="128" t="s">
        <v>123</v>
      </c>
      <c r="HG11" s="128" t="s">
        <v>123</v>
      </c>
      <c r="HH11" s="98" t="s">
        <v>124</v>
      </c>
      <c r="HI11" s="129" t="s">
        <v>2</v>
      </c>
      <c r="HJ11" s="129" t="s">
        <v>2</v>
      </c>
      <c r="HK11" s="58" t="s">
        <v>277</v>
      </c>
      <c r="HL11" s="58" t="s">
        <v>277</v>
      </c>
      <c r="HM11" s="55" t="s">
        <v>124</v>
      </c>
      <c r="HN11" s="80" t="s">
        <v>120</v>
      </c>
      <c r="HO11" s="56" t="s">
        <v>2</v>
      </c>
      <c r="HP11" s="56" t="s">
        <v>2</v>
      </c>
      <c r="HQ11" s="62" t="s">
        <v>145</v>
      </c>
      <c r="HR11" s="58" t="s">
        <v>45</v>
      </c>
      <c r="HS11" s="56" t="s">
        <v>2</v>
      </c>
      <c r="HT11" s="55" t="s">
        <v>162</v>
      </c>
      <c r="HU11" s="58" t="s">
        <v>45</v>
      </c>
      <c r="HV11" s="58" t="s">
        <v>45</v>
      </c>
      <c r="HW11" s="56" t="s">
        <v>2</v>
      </c>
      <c r="HX11" s="80" t="s">
        <v>164</v>
      </c>
      <c r="HY11" s="80" t="s">
        <v>119</v>
      </c>
      <c r="HZ11" s="80" t="s">
        <v>119</v>
      </c>
      <c r="IA11" s="80" t="s">
        <v>119</v>
      </c>
      <c r="IB11" s="80" t="s">
        <v>119</v>
      </c>
      <c r="IC11" s="80" t="s">
        <v>119</v>
      </c>
      <c r="ID11" s="56" t="s">
        <v>2</v>
      </c>
      <c r="IE11" s="56" t="s">
        <v>2</v>
      </c>
      <c r="IF11" s="54" t="s">
        <v>128</v>
      </c>
      <c r="IG11" s="54" t="s">
        <v>128</v>
      </c>
      <c r="IH11" s="54" t="s">
        <v>128</v>
      </c>
      <c r="II11" s="56" t="s">
        <v>2</v>
      </c>
      <c r="IJ11" s="56" t="s">
        <v>2</v>
      </c>
      <c r="IK11" s="82" t="s">
        <v>45</v>
      </c>
      <c r="IL11" s="62" t="s">
        <v>149</v>
      </c>
      <c r="IM11" s="81" t="s">
        <v>146</v>
      </c>
      <c r="IN11" s="81" t="s">
        <v>146</v>
      </c>
      <c r="IO11" s="81" t="s">
        <v>146</v>
      </c>
      <c r="IP11" s="56" t="s">
        <v>2</v>
      </c>
      <c r="IQ11" s="58" t="s">
        <v>67</v>
      </c>
      <c r="IR11" s="56" t="s">
        <v>2</v>
      </c>
      <c r="IS11" s="62" t="s">
        <v>149</v>
      </c>
      <c r="IT11" s="58" t="s">
        <v>67</v>
      </c>
      <c r="IU11" s="90" t="s">
        <v>274</v>
      </c>
      <c r="IV11" s="58" t="s">
        <v>67</v>
      </c>
      <c r="IW11" s="58" t="s">
        <v>67</v>
      </c>
      <c r="IX11" s="56" t="s">
        <v>2</v>
      </c>
      <c r="IY11" s="56" t="s">
        <v>2</v>
      </c>
      <c r="IZ11" s="54" t="s">
        <v>128</v>
      </c>
      <c r="JA11" s="58" t="s">
        <v>67</v>
      </c>
      <c r="JB11" s="58" t="s">
        <v>67</v>
      </c>
      <c r="JC11" s="90" t="s">
        <v>278</v>
      </c>
      <c r="JD11" s="56" t="s">
        <v>2</v>
      </c>
      <c r="JE11" s="56" t="s">
        <v>130</v>
      </c>
      <c r="JF11" s="80" t="s">
        <v>119</v>
      </c>
      <c r="JG11" s="56" t="s">
        <v>2</v>
      </c>
      <c r="JH11" s="80" t="s">
        <v>119</v>
      </c>
      <c r="JI11" s="80" t="s">
        <v>119</v>
      </c>
      <c r="JJ11" s="80" t="s">
        <v>119</v>
      </c>
      <c r="JK11" s="80" t="s">
        <v>119</v>
      </c>
      <c r="JL11" s="80" t="s">
        <v>119</v>
      </c>
      <c r="JM11" s="56" t="s">
        <v>2</v>
      </c>
      <c r="JN11" s="56" t="s">
        <v>2</v>
      </c>
      <c r="JO11" s="54" t="s">
        <v>128</v>
      </c>
      <c r="JP11" s="82" t="s">
        <v>45</v>
      </c>
      <c r="JQ11" s="82" t="s">
        <v>45</v>
      </c>
      <c r="JR11" s="56" t="s">
        <v>2</v>
      </c>
      <c r="JS11" s="56" t="s">
        <v>2</v>
      </c>
      <c r="JT11" s="82" t="s">
        <v>45</v>
      </c>
      <c r="JU11" s="62" t="s">
        <v>149</v>
      </c>
      <c r="JV11" s="81" t="s">
        <v>146</v>
      </c>
      <c r="JW11" s="81" t="s">
        <v>146</v>
      </c>
      <c r="JX11" s="81" t="s">
        <v>146</v>
      </c>
      <c r="JY11" s="56" t="s">
        <v>2</v>
      </c>
      <c r="JZ11" s="56" t="s">
        <v>2</v>
      </c>
      <c r="KA11" s="81" t="s">
        <v>146</v>
      </c>
      <c r="KB11" s="62" t="s">
        <v>149</v>
      </c>
      <c r="KC11" s="80" t="s">
        <v>119</v>
      </c>
      <c r="KD11" s="56" t="s">
        <v>2</v>
      </c>
      <c r="KE11" s="56" t="s">
        <v>2</v>
      </c>
      <c r="KF11" s="82" t="s">
        <v>45</v>
      </c>
      <c r="KG11" s="82" t="s">
        <v>45</v>
      </c>
      <c r="KH11" s="82" t="s">
        <v>45</v>
      </c>
      <c r="KI11" s="62" t="s">
        <v>149</v>
      </c>
      <c r="KJ11" s="56" t="s">
        <v>2</v>
      </c>
      <c r="KK11" s="82" t="s">
        <v>45</v>
      </c>
      <c r="KL11" s="82" t="s">
        <v>45</v>
      </c>
      <c r="KM11" s="82" t="s">
        <v>45</v>
      </c>
      <c r="KN11" s="82" t="s">
        <v>45</v>
      </c>
      <c r="KO11" s="82" t="s">
        <v>45</v>
      </c>
      <c r="KP11" s="56" t="s">
        <v>2</v>
      </c>
      <c r="KQ11" s="81" t="s">
        <v>129</v>
      </c>
      <c r="KR11" s="81" t="s">
        <v>129</v>
      </c>
      <c r="KS11" s="81" t="s">
        <v>129</v>
      </c>
      <c r="KT11" s="81" t="s">
        <v>129</v>
      </c>
      <c r="KU11" s="81" t="s">
        <v>129</v>
      </c>
      <c r="KV11" s="56" t="s">
        <v>2</v>
      </c>
      <c r="KW11" s="56" t="s">
        <v>2</v>
      </c>
      <c r="KX11" s="54" t="s">
        <v>128</v>
      </c>
      <c r="KY11" s="56" t="s">
        <v>2</v>
      </c>
      <c r="KZ11" s="56" t="s">
        <v>2</v>
      </c>
      <c r="LA11" s="54" t="s">
        <v>128</v>
      </c>
      <c r="LB11" s="81" t="s">
        <v>146</v>
      </c>
      <c r="LC11" s="81" t="s">
        <v>146</v>
      </c>
      <c r="LD11" s="80" t="s">
        <v>164</v>
      </c>
      <c r="LE11" s="82" t="s">
        <v>45</v>
      </c>
      <c r="LF11" s="56" t="s">
        <v>2</v>
      </c>
      <c r="LG11" s="56" t="s">
        <v>2</v>
      </c>
      <c r="LH11" s="81" t="s">
        <v>146</v>
      </c>
      <c r="LI11" s="81" t="s">
        <v>146</v>
      </c>
      <c r="LJ11" s="81" t="s">
        <v>129</v>
      </c>
      <c r="LK11" s="62" t="s">
        <v>149</v>
      </c>
      <c r="LL11" s="58" t="s">
        <v>67</v>
      </c>
      <c r="LM11" s="56" t="s">
        <v>2</v>
      </c>
      <c r="LN11" s="56" t="s">
        <v>2</v>
      </c>
      <c r="LO11" s="54" t="s">
        <v>128</v>
      </c>
      <c r="LP11" s="81" t="s">
        <v>146</v>
      </c>
      <c r="LQ11" s="81" t="s">
        <v>146</v>
      </c>
      <c r="LR11" s="62" t="s">
        <v>149</v>
      </c>
      <c r="LS11" s="56" t="s">
        <v>2</v>
      </c>
      <c r="LT11" s="54" t="s">
        <v>128</v>
      </c>
      <c r="LU11" s="54" t="s">
        <v>128</v>
      </c>
      <c r="LV11" s="54" t="s">
        <v>128</v>
      </c>
      <c r="LW11" s="54" t="s">
        <v>128</v>
      </c>
      <c r="LX11" s="54" t="s">
        <v>128</v>
      </c>
      <c r="LY11" s="56" t="s">
        <v>2</v>
      </c>
    </row>
    <row r="12" spans="1:358" ht="13.5" thickBot="1">
      <c r="A12" s="474"/>
      <c r="B12" s="473"/>
      <c r="C12" s="510"/>
      <c r="D12" s="473"/>
      <c r="E12" s="473"/>
      <c r="F12" s="508"/>
      <c r="G12" s="508"/>
      <c r="H12" s="473"/>
      <c r="I12" s="473"/>
      <c r="J12" s="473"/>
      <c r="K12" s="472"/>
      <c r="L12" s="472"/>
      <c r="M12" s="472"/>
      <c r="N12" s="472">
        <v>2</v>
      </c>
      <c r="O12" s="470" t="s">
        <v>279</v>
      </c>
      <c r="P12" s="148" t="s">
        <v>11</v>
      </c>
      <c r="Q12" s="148" t="s">
        <v>11</v>
      </c>
      <c r="R12" s="148" t="s">
        <v>11</v>
      </c>
      <c r="S12" s="148" t="s">
        <v>11</v>
      </c>
      <c r="T12" s="143" t="s">
        <v>5</v>
      </c>
      <c r="U12" s="126" t="s">
        <v>2</v>
      </c>
      <c r="V12" s="126" t="s">
        <v>2</v>
      </c>
      <c r="W12" s="159" t="s">
        <v>8</v>
      </c>
      <c r="X12" s="159" t="s">
        <v>8</v>
      </c>
      <c r="Y12" s="159" t="s">
        <v>8</v>
      </c>
      <c r="Z12" s="159" t="s">
        <v>8</v>
      </c>
      <c r="AA12" s="159" t="s">
        <v>8</v>
      </c>
      <c r="AB12" s="126" t="s">
        <v>2</v>
      </c>
      <c r="AC12" s="126" t="s">
        <v>2</v>
      </c>
      <c r="AD12" s="206" t="s">
        <v>8</v>
      </c>
      <c r="AE12" s="206" t="s">
        <v>8</v>
      </c>
      <c r="AF12" s="200" t="s">
        <v>2</v>
      </c>
      <c r="AG12" s="200" t="s">
        <v>2</v>
      </c>
      <c r="AH12" s="150" t="s">
        <v>16</v>
      </c>
      <c r="AI12" s="150" t="s">
        <v>15</v>
      </c>
      <c r="AJ12" s="144" t="s">
        <v>3</v>
      </c>
      <c r="AK12" s="201" t="s">
        <v>5</v>
      </c>
      <c r="AL12" s="200" t="s">
        <v>2</v>
      </c>
      <c r="AM12" s="206" t="s">
        <v>8</v>
      </c>
      <c r="AN12" s="206" t="s">
        <v>8</v>
      </c>
      <c r="AO12" s="206" t="s">
        <v>8</v>
      </c>
      <c r="AP12" s="200" t="s">
        <v>2</v>
      </c>
      <c r="AQ12" s="201" t="s">
        <v>6</v>
      </c>
      <c r="AR12" s="200" t="s">
        <v>2</v>
      </c>
      <c r="AS12" s="204" t="s">
        <v>6</v>
      </c>
      <c r="AT12" s="204" t="s">
        <v>6</v>
      </c>
      <c r="AU12" s="213" t="s">
        <v>18</v>
      </c>
      <c r="AV12" s="213" t="s">
        <v>18</v>
      </c>
      <c r="AW12" s="155" t="s">
        <v>10</v>
      </c>
      <c r="AX12" s="200" t="s">
        <v>2</v>
      </c>
      <c r="AY12" s="206" t="s">
        <v>105</v>
      </c>
      <c r="AZ12" s="155" t="s">
        <v>10</v>
      </c>
      <c r="BA12" s="155" t="s">
        <v>10</v>
      </c>
      <c r="BB12" s="155" t="s">
        <v>10</v>
      </c>
      <c r="BC12" s="155" t="s">
        <v>10</v>
      </c>
      <c r="BD12" s="200" t="s">
        <v>2</v>
      </c>
      <c r="BE12" s="200" t="s">
        <v>2</v>
      </c>
      <c r="BF12" s="155" t="s">
        <v>104</v>
      </c>
      <c r="BG12" s="155" t="s">
        <v>104</v>
      </c>
      <c r="BH12" s="136" t="s">
        <v>2</v>
      </c>
      <c r="BI12" s="155" t="s">
        <v>104</v>
      </c>
      <c r="BJ12" s="155" t="s">
        <v>104</v>
      </c>
      <c r="BK12" s="155" t="s">
        <v>104</v>
      </c>
      <c r="BL12" s="136" t="s">
        <v>2</v>
      </c>
      <c r="BM12" s="135" t="s">
        <v>6</v>
      </c>
      <c r="BN12" s="135" t="s">
        <v>6</v>
      </c>
      <c r="BO12" s="135" t="s">
        <v>6</v>
      </c>
      <c r="BP12" s="135" t="s">
        <v>6</v>
      </c>
      <c r="BQ12" s="135" t="s">
        <v>6</v>
      </c>
      <c r="BR12" s="136" t="s">
        <v>2</v>
      </c>
      <c r="BS12" s="136" t="s">
        <v>2</v>
      </c>
      <c r="BT12" s="155" t="s">
        <v>104</v>
      </c>
      <c r="BU12" s="155" t="s">
        <v>104</v>
      </c>
      <c r="BV12" s="155" t="s">
        <v>104</v>
      </c>
      <c r="BW12" s="155" t="s">
        <v>104</v>
      </c>
      <c r="BX12" s="136" t="s">
        <v>2</v>
      </c>
      <c r="BY12" s="136" t="s">
        <v>2</v>
      </c>
      <c r="BZ12" s="153" t="s">
        <v>107</v>
      </c>
      <c r="CA12" s="153" t="s">
        <v>183</v>
      </c>
      <c r="CB12" s="153" t="s">
        <v>183</v>
      </c>
      <c r="CC12" s="153" t="s">
        <v>183</v>
      </c>
      <c r="CD12" s="153" t="s">
        <v>183</v>
      </c>
      <c r="CE12" s="153" t="s">
        <v>183</v>
      </c>
      <c r="CF12" s="136" t="s">
        <v>2</v>
      </c>
      <c r="CG12" s="136" t="s">
        <v>2</v>
      </c>
      <c r="CH12" s="210" t="s">
        <v>132</v>
      </c>
      <c r="CI12" s="210" t="s">
        <v>132</v>
      </c>
      <c r="CJ12" s="136" t="s">
        <v>2</v>
      </c>
      <c r="CK12" s="136" t="s">
        <v>2</v>
      </c>
      <c r="CL12" s="153" t="s">
        <v>183</v>
      </c>
      <c r="CM12" s="153" t="s">
        <v>183</v>
      </c>
      <c r="CN12" s="153" t="s">
        <v>107</v>
      </c>
      <c r="CO12" s="155" t="s">
        <v>10</v>
      </c>
      <c r="CP12" s="155" t="s">
        <v>10</v>
      </c>
      <c r="CQ12" s="155" t="s">
        <v>10</v>
      </c>
      <c r="CR12" s="136" t="s">
        <v>2</v>
      </c>
      <c r="CS12" s="136" t="s">
        <v>2</v>
      </c>
      <c r="CT12" s="135" t="s">
        <v>108</v>
      </c>
      <c r="CU12" s="135" t="s">
        <v>112</v>
      </c>
      <c r="CV12" s="210" t="s">
        <v>132</v>
      </c>
      <c r="CW12" s="214" t="s">
        <v>110</v>
      </c>
      <c r="CX12" s="200" t="s">
        <v>2</v>
      </c>
      <c r="CY12" s="200" t="s">
        <v>2</v>
      </c>
      <c r="CZ12" s="206" t="s">
        <v>183</v>
      </c>
      <c r="DA12" s="206" t="s">
        <v>183</v>
      </c>
      <c r="DB12" s="204" t="s">
        <v>112</v>
      </c>
      <c r="DC12" s="155" t="s">
        <v>11</v>
      </c>
      <c r="DD12" s="136" t="s">
        <v>2</v>
      </c>
      <c r="DE12" s="136" t="s">
        <v>2</v>
      </c>
      <c r="DF12" s="207" t="s">
        <v>113</v>
      </c>
      <c r="DG12" s="207" t="s">
        <v>113</v>
      </c>
      <c r="DH12" s="207" t="s">
        <v>113</v>
      </c>
      <c r="DI12" s="146" t="s">
        <v>117</v>
      </c>
      <c r="DJ12" s="200" t="s">
        <v>2</v>
      </c>
      <c r="DK12" s="207" t="s">
        <v>113</v>
      </c>
      <c r="DL12" s="207" t="s">
        <v>113</v>
      </c>
      <c r="DM12" s="207" t="s">
        <v>113</v>
      </c>
      <c r="DN12" s="207" t="s">
        <v>113</v>
      </c>
      <c r="DO12" s="207" t="s">
        <v>113</v>
      </c>
      <c r="DP12" s="200" t="s">
        <v>2</v>
      </c>
      <c r="DQ12" s="200" t="s">
        <v>2</v>
      </c>
      <c r="DR12" s="206" t="s">
        <v>140</v>
      </c>
      <c r="DS12" s="155" t="s">
        <v>11</v>
      </c>
      <c r="DT12" s="155" t="s">
        <v>11</v>
      </c>
      <c r="DU12" s="155" t="s">
        <v>11</v>
      </c>
      <c r="DV12" s="155" t="s">
        <v>11</v>
      </c>
      <c r="DW12" s="200" t="s">
        <v>2</v>
      </c>
      <c r="DX12" s="206" t="s">
        <v>140</v>
      </c>
      <c r="DY12" s="206" t="s">
        <v>140</v>
      </c>
      <c r="DZ12" s="206" t="s">
        <v>140</v>
      </c>
      <c r="EA12" s="206" t="s">
        <v>140</v>
      </c>
      <c r="EB12" s="206" t="s">
        <v>140</v>
      </c>
      <c r="EC12" s="200" t="s">
        <v>2</v>
      </c>
      <c r="ED12" s="200" t="s">
        <v>2</v>
      </c>
      <c r="EE12" s="155" t="s">
        <v>11</v>
      </c>
      <c r="EF12" s="155" t="s">
        <v>11</v>
      </c>
      <c r="EG12" s="155" t="s">
        <v>11</v>
      </c>
      <c r="EH12" s="136" t="s">
        <v>2</v>
      </c>
      <c r="EI12" s="136" t="s">
        <v>2</v>
      </c>
      <c r="EJ12" s="150" t="s">
        <v>139</v>
      </c>
      <c r="EK12" s="146" t="s">
        <v>117</v>
      </c>
      <c r="EL12" s="210" t="s">
        <v>12</v>
      </c>
      <c r="EM12" s="210" t="s">
        <v>12</v>
      </c>
      <c r="EN12" s="210" t="s">
        <v>12</v>
      </c>
      <c r="EO12" s="136" t="s">
        <v>2</v>
      </c>
      <c r="EP12" s="210" t="s">
        <v>12</v>
      </c>
      <c r="EQ12" s="136" t="s">
        <v>2</v>
      </c>
      <c r="ER12" s="135" t="s">
        <v>280</v>
      </c>
      <c r="ES12" s="135" t="s">
        <v>138</v>
      </c>
      <c r="ET12" s="136" t="s">
        <v>2</v>
      </c>
      <c r="EU12" s="153" t="s">
        <v>140</v>
      </c>
      <c r="EV12" s="153" t="s">
        <v>140</v>
      </c>
      <c r="EW12" s="153" t="s">
        <v>140</v>
      </c>
      <c r="EX12" s="135" t="s">
        <v>138</v>
      </c>
      <c r="EY12" s="136" t="s">
        <v>2</v>
      </c>
      <c r="EZ12" s="136" t="s">
        <v>2</v>
      </c>
      <c r="FA12" s="136" t="s">
        <v>2</v>
      </c>
      <c r="FB12" s="155" t="s">
        <v>11</v>
      </c>
      <c r="FC12" s="155" t="s">
        <v>11</v>
      </c>
      <c r="FD12" s="155" t="s">
        <v>11</v>
      </c>
      <c r="FE12" s="155" t="s">
        <v>11</v>
      </c>
      <c r="FF12" s="146" t="s">
        <v>117</v>
      </c>
      <c r="FG12" s="135" t="s">
        <v>114</v>
      </c>
      <c r="FH12" s="136" t="s">
        <v>2</v>
      </c>
      <c r="FI12" s="153" t="s">
        <v>7</v>
      </c>
      <c r="FJ12" s="153" t="s">
        <v>7</v>
      </c>
      <c r="FK12" s="210" t="s">
        <v>12</v>
      </c>
      <c r="FL12" s="210" t="s">
        <v>12</v>
      </c>
      <c r="FM12" s="136" t="s">
        <v>2</v>
      </c>
      <c r="FN12" s="150" t="s">
        <v>139</v>
      </c>
      <c r="FO12" s="150" t="s">
        <v>139</v>
      </c>
      <c r="FP12" s="155" t="s">
        <v>11</v>
      </c>
      <c r="FQ12" s="155" t="s">
        <v>11</v>
      </c>
      <c r="FR12" s="155" t="s">
        <v>11</v>
      </c>
      <c r="FS12" s="136" t="s">
        <v>2</v>
      </c>
      <c r="FT12" s="136" t="s">
        <v>2</v>
      </c>
      <c r="FU12" s="153" t="s">
        <v>140</v>
      </c>
      <c r="FV12" s="153" t="s">
        <v>140</v>
      </c>
      <c r="FW12" s="153" t="s">
        <v>140</v>
      </c>
      <c r="FX12" s="153" t="s">
        <v>140</v>
      </c>
      <c r="FY12" s="136" t="s">
        <v>2</v>
      </c>
      <c r="FZ12" s="136" t="s">
        <v>2</v>
      </c>
      <c r="GA12" s="153" t="s">
        <v>157</v>
      </c>
      <c r="GB12" s="155" t="s">
        <v>11</v>
      </c>
      <c r="GC12" s="155" t="s">
        <v>11</v>
      </c>
      <c r="GD12" s="155" t="s">
        <v>11</v>
      </c>
      <c r="GE12" s="155" t="s">
        <v>11</v>
      </c>
      <c r="GF12" s="136" t="s">
        <v>2</v>
      </c>
      <c r="GG12" s="136" t="s">
        <v>2</v>
      </c>
      <c r="GH12" s="146" t="s">
        <v>3</v>
      </c>
      <c r="GI12" s="131" t="s">
        <v>67</v>
      </c>
      <c r="GJ12" s="129" t="s">
        <v>2</v>
      </c>
      <c r="GK12" s="98" t="s">
        <v>159</v>
      </c>
      <c r="GL12" s="98" t="s">
        <v>124</v>
      </c>
      <c r="GM12" s="128" t="s">
        <v>169</v>
      </c>
      <c r="GN12" s="129" t="s">
        <v>2</v>
      </c>
      <c r="GO12" s="141" t="s">
        <v>184</v>
      </c>
      <c r="GP12" s="209" t="s">
        <v>122</v>
      </c>
      <c r="GQ12" s="141" t="s">
        <v>120</v>
      </c>
      <c r="GR12" s="131" t="s">
        <v>143</v>
      </c>
      <c r="GS12" s="131" t="s">
        <v>143</v>
      </c>
      <c r="GT12" s="141" t="s">
        <v>120</v>
      </c>
      <c r="GU12" s="129" t="s">
        <v>2</v>
      </c>
      <c r="GV12" s="129" t="s">
        <v>2</v>
      </c>
      <c r="GW12" s="131" t="s">
        <v>143</v>
      </c>
      <c r="GX12" s="131" t="s">
        <v>143</v>
      </c>
      <c r="GY12" s="209" t="s">
        <v>122</v>
      </c>
      <c r="GZ12" s="141" t="s">
        <v>120</v>
      </c>
      <c r="HA12" s="129" t="s">
        <v>2</v>
      </c>
      <c r="HB12" s="129" t="s">
        <v>2</v>
      </c>
      <c r="HC12" s="62" t="s">
        <v>144</v>
      </c>
      <c r="HD12" s="131" t="s">
        <v>143</v>
      </c>
      <c r="HE12" s="131" t="s">
        <v>143</v>
      </c>
      <c r="HF12" s="209" t="s">
        <v>122</v>
      </c>
      <c r="HG12" s="141" t="s">
        <v>120</v>
      </c>
      <c r="HH12" s="129" t="s">
        <v>2</v>
      </c>
      <c r="HI12" s="129" t="s">
        <v>2</v>
      </c>
      <c r="HJ12" s="62" t="s">
        <v>144</v>
      </c>
      <c r="HK12" s="81" t="s">
        <v>122</v>
      </c>
      <c r="HL12" s="80" t="s">
        <v>120</v>
      </c>
      <c r="HM12" s="58" t="s">
        <v>143</v>
      </c>
      <c r="HN12" s="58" t="s">
        <v>143</v>
      </c>
      <c r="HO12" s="56" t="s">
        <v>2</v>
      </c>
      <c r="HP12" s="56" t="s">
        <v>2</v>
      </c>
      <c r="HQ12" s="62" t="s">
        <v>145</v>
      </c>
      <c r="HR12" s="82" t="s">
        <v>146</v>
      </c>
      <c r="HS12" s="82" t="s">
        <v>146</v>
      </c>
      <c r="HT12" s="82" t="s">
        <v>146</v>
      </c>
      <c r="HU12" s="82" t="s">
        <v>146</v>
      </c>
      <c r="HV12" s="82" t="s">
        <v>146</v>
      </c>
      <c r="HW12" s="56" t="s">
        <v>2</v>
      </c>
      <c r="HX12" s="56" t="s">
        <v>2</v>
      </c>
      <c r="HY12" s="54" t="s">
        <v>51</v>
      </c>
      <c r="HZ12" s="54" t="s">
        <v>51</v>
      </c>
      <c r="IA12" s="54" t="s">
        <v>51</v>
      </c>
      <c r="IB12" s="56" t="s">
        <v>2</v>
      </c>
      <c r="IC12" s="56" t="s">
        <v>2</v>
      </c>
      <c r="ID12" s="82" t="s">
        <v>45</v>
      </c>
      <c r="IE12" s="62" t="s">
        <v>150</v>
      </c>
      <c r="IF12" s="58" t="s">
        <v>187</v>
      </c>
      <c r="IG12" s="58" t="s">
        <v>187</v>
      </c>
      <c r="IH12" s="56" t="s">
        <v>2</v>
      </c>
      <c r="II12" s="58" t="s">
        <v>187</v>
      </c>
      <c r="IJ12" s="56" t="s">
        <v>2</v>
      </c>
      <c r="IK12" s="55" t="s">
        <v>159</v>
      </c>
      <c r="IL12" s="62" t="s">
        <v>150</v>
      </c>
      <c r="IM12" s="58" t="s">
        <v>187</v>
      </c>
      <c r="IN12" s="56" t="s">
        <v>2</v>
      </c>
      <c r="IO12" s="58" t="s">
        <v>187</v>
      </c>
      <c r="IP12" s="58" t="s">
        <v>187</v>
      </c>
      <c r="IQ12" s="55" t="s">
        <v>159</v>
      </c>
      <c r="IR12" s="55" t="s">
        <v>159</v>
      </c>
      <c r="IS12" s="56" t="s">
        <v>2</v>
      </c>
      <c r="IT12" s="82" t="s">
        <v>45</v>
      </c>
      <c r="IU12" s="82" t="s">
        <v>45</v>
      </c>
      <c r="IV12" s="82" t="s">
        <v>45</v>
      </c>
      <c r="IW12" s="82" t="s">
        <v>45</v>
      </c>
      <c r="IX12" s="82" t="s">
        <v>45</v>
      </c>
      <c r="IY12" s="56" t="s">
        <v>2</v>
      </c>
      <c r="IZ12" s="56" t="s">
        <v>2</v>
      </c>
      <c r="JA12" s="55" t="s">
        <v>126</v>
      </c>
      <c r="JB12" s="58" t="s">
        <v>67</v>
      </c>
      <c r="JC12" s="58" t="s">
        <v>67</v>
      </c>
      <c r="JD12" s="58" t="s">
        <v>67</v>
      </c>
      <c r="JE12" s="56" t="s">
        <v>2</v>
      </c>
      <c r="JF12" s="56" t="s">
        <v>2</v>
      </c>
      <c r="JG12" s="62" t="s">
        <v>149</v>
      </c>
      <c r="JH12" s="58" t="s">
        <v>67</v>
      </c>
      <c r="JI12" s="81" t="s">
        <v>146</v>
      </c>
      <c r="JJ12" s="90" t="s">
        <v>161</v>
      </c>
      <c r="JK12" s="56" t="s">
        <v>2</v>
      </c>
      <c r="JL12" s="56" t="s">
        <v>2</v>
      </c>
      <c r="JM12" s="82" t="s">
        <v>45</v>
      </c>
      <c r="JN12" s="62" t="s">
        <v>149</v>
      </c>
      <c r="JO12" s="58" t="s">
        <v>67</v>
      </c>
      <c r="JP12" s="56" t="s">
        <v>2</v>
      </c>
      <c r="JQ12" s="58" t="s">
        <v>67</v>
      </c>
      <c r="JR12" s="56" t="s">
        <v>2</v>
      </c>
      <c r="JS12" s="82" t="s">
        <v>45</v>
      </c>
      <c r="JT12" s="58" t="s">
        <v>67</v>
      </c>
      <c r="JU12" s="62" t="s">
        <v>149</v>
      </c>
      <c r="JV12" s="56" t="s">
        <v>2</v>
      </c>
      <c r="JW12" s="82" t="s">
        <v>45</v>
      </c>
      <c r="JX12" s="82" t="s">
        <v>45</v>
      </c>
      <c r="JY12" s="82" t="s">
        <v>45</v>
      </c>
      <c r="JZ12" s="82" t="s">
        <v>45</v>
      </c>
      <c r="KA12" s="82" t="s">
        <v>45</v>
      </c>
      <c r="KB12" s="56" t="s">
        <v>2</v>
      </c>
      <c r="KC12" s="81" t="s">
        <v>129</v>
      </c>
      <c r="KD12" s="81" t="s">
        <v>129</v>
      </c>
      <c r="KE12" s="81" t="s">
        <v>129</v>
      </c>
      <c r="KF12" s="81" t="s">
        <v>129</v>
      </c>
      <c r="KG12" s="81" t="s">
        <v>129</v>
      </c>
      <c r="KH12" s="56" t="s">
        <v>2</v>
      </c>
      <c r="KI12" s="56" t="s">
        <v>2</v>
      </c>
      <c r="KJ12" s="81" t="s">
        <v>129</v>
      </c>
      <c r="KK12" s="81" t="s">
        <v>129</v>
      </c>
      <c r="KL12" s="81" t="s">
        <v>129</v>
      </c>
      <c r="KM12" s="81" t="s">
        <v>129</v>
      </c>
      <c r="KN12" s="81" t="s">
        <v>129</v>
      </c>
      <c r="KO12" s="56" t="s">
        <v>2</v>
      </c>
      <c r="KP12" s="56" t="s">
        <v>2</v>
      </c>
      <c r="KQ12" s="54" t="s">
        <v>128</v>
      </c>
      <c r="KR12" s="58" t="s">
        <v>67</v>
      </c>
      <c r="KS12" s="58" t="s">
        <v>67</v>
      </c>
      <c r="KT12" s="58" t="s">
        <v>67</v>
      </c>
      <c r="KU12" s="56" t="s">
        <v>2</v>
      </c>
      <c r="KV12" s="56" t="s">
        <v>2</v>
      </c>
      <c r="KW12" s="62" t="s">
        <v>149</v>
      </c>
      <c r="KX12" s="81" t="s">
        <v>146</v>
      </c>
      <c r="KY12" s="81" t="s">
        <v>146</v>
      </c>
      <c r="KZ12" s="81" t="s">
        <v>146</v>
      </c>
      <c r="LA12" s="56" t="s">
        <v>2</v>
      </c>
      <c r="LB12" s="56" t="s">
        <v>2</v>
      </c>
      <c r="LC12" s="80" t="s">
        <v>119</v>
      </c>
      <c r="LD12" s="62" t="s">
        <v>149</v>
      </c>
      <c r="LE12" s="58" t="s">
        <v>67</v>
      </c>
      <c r="LF12" s="54" t="s">
        <v>128</v>
      </c>
      <c r="LG12" s="54" t="s">
        <v>128</v>
      </c>
      <c r="LH12" s="56" t="s">
        <v>2</v>
      </c>
      <c r="LI12" s="56" t="s">
        <v>2</v>
      </c>
      <c r="LJ12" s="82" t="s">
        <v>45</v>
      </c>
      <c r="LK12" s="62" t="s">
        <v>149</v>
      </c>
      <c r="LL12" s="82" t="s">
        <v>45</v>
      </c>
      <c r="LM12" s="82" t="s">
        <v>45</v>
      </c>
      <c r="LN12" s="82" t="s">
        <v>45</v>
      </c>
      <c r="LO12" s="82" t="s">
        <v>45</v>
      </c>
      <c r="LP12" s="56" t="s">
        <v>2</v>
      </c>
      <c r="LQ12" s="80" t="s">
        <v>119</v>
      </c>
      <c r="LR12" s="56" t="s">
        <v>2</v>
      </c>
      <c r="LS12" s="82" t="s">
        <v>45</v>
      </c>
      <c r="LT12" s="82" t="s">
        <v>45</v>
      </c>
      <c r="LU12" s="82" t="s">
        <v>45</v>
      </c>
      <c r="LV12" s="82" t="s">
        <v>45</v>
      </c>
      <c r="LW12" s="82" t="s">
        <v>45</v>
      </c>
      <c r="LX12" s="56" t="s">
        <v>2</v>
      </c>
      <c r="LY12" s="56" t="s">
        <v>2</v>
      </c>
    </row>
    <row r="13" spans="1:358" ht="13.5" thickBot="1">
      <c r="A13" s="473"/>
      <c r="B13" s="474"/>
      <c r="C13" s="473"/>
      <c r="D13" s="473"/>
      <c r="E13" s="473"/>
      <c r="F13" s="473"/>
      <c r="G13" s="507"/>
      <c r="H13" s="514"/>
      <c r="I13" s="508"/>
      <c r="J13" s="473"/>
      <c r="K13" s="514"/>
      <c r="L13" s="472"/>
      <c r="M13" s="472"/>
      <c r="N13" s="472">
        <v>3</v>
      </c>
      <c r="O13" s="471" t="s">
        <v>281</v>
      </c>
      <c r="P13" s="149" t="s">
        <v>16</v>
      </c>
      <c r="Q13" s="159" t="s">
        <v>8</v>
      </c>
      <c r="R13" s="199" t="s">
        <v>9</v>
      </c>
      <c r="S13" s="199" t="s">
        <v>9</v>
      </c>
      <c r="T13" s="126" t="s">
        <v>2</v>
      </c>
      <c r="U13" s="149" t="s">
        <v>15</v>
      </c>
      <c r="V13" s="126" t="s">
        <v>2</v>
      </c>
      <c r="W13" s="159" t="s">
        <v>8</v>
      </c>
      <c r="X13" s="143" t="s">
        <v>5</v>
      </c>
      <c r="Y13" s="143" t="s">
        <v>5</v>
      </c>
      <c r="Z13" s="143" t="s">
        <v>5</v>
      </c>
      <c r="AA13" s="126" t="s">
        <v>2</v>
      </c>
      <c r="AB13" s="126" t="s">
        <v>2</v>
      </c>
      <c r="AC13" s="143" t="s">
        <v>282</v>
      </c>
      <c r="AD13" s="202" t="s">
        <v>11</v>
      </c>
      <c r="AE13" s="202" t="s">
        <v>11</v>
      </c>
      <c r="AF13" s="202" t="s">
        <v>11</v>
      </c>
      <c r="AG13" s="206" t="s">
        <v>8</v>
      </c>
      <c r="AH13" s="206" t="s">
        <v>8</v>
      </c>
      <c r="AI13" s="200" t="s">
        <v>2</v>
      </c>
      <c r="AJ13" s="200" t="s">
        <v>2</v>
      </c>
      <c r="AK13" s="202" t="s">
        <v>11</v>
      </c>
      <c r="AL13" s="202" t="s">
        <v>11</v>
      </c>
      <c r="AM13" s="202" t="s">
        <v>11</v>
      </c>
      <c r="AN13" s="206" t="s">
        <v>8</v>
      </c>
      <c r="AO13" s="206" t="s">
        <v>8</v>
      </c>
      <c r="AP13" s="200" t="s">
        <v>2</v>
      </c>
      <c r="AQ13" s="200" t="s">
        <v>2</v>
      </c>
      <c r="AR13" s="206" t="s">
        <v>8</v>
      </c>
      <c r="AS13" s="206" t="s">
        <v>8</v>
      </c>
      <c r="AT13" s="203" t="s">
        <v>19</v>
      </c>
      <c r="AU13" s="206" t="s">
        <v>9</v>
      </c>
      <c r="AV13" s="200" t="s">
        <v>2</v>
      </c>
      <c r="AW13" s="200" t="s">
        <v>2</v>
      </c>
      <c r="AX13" s="146" t="s">
        <v>4</v>
      </c>
      <c r="AY13" s="155" t="s">
        <v>10</v>
      </c>
      <c r="AZ13" s="155" t="s">
        <v>10</v>
      </c>
      <c r="BA13" s="155" t="s">
        <v>10</v>
      </c>
      <c r="BB13" s="155" t="s">
        <v>10</v>
      </c>
      <c r="BC13" s="155" t="s">
        <v>10</v>
      </c>
      <c r="BD13" s="200" t="s">
        <v>2</v>
      </c>
      <c r="BE13" s="200" t="s">
        <v>2</v>
      </c>
      <c r="BF13" s="150" t="s">
        <v>15</v>
      </c>
      <c r="BG13" s="136" t="s">
        <v>2</v>
      </c>
      <c r="BH13" s="205" t="s">
        <v>107</v>
      </c>
      <c r="BI13" s="205" t="s">
        <v>107</v>
      </c>
      <c r="BJ13" s="205" t="s">
        <v>107</v>
      </c>
      <c r="BK13" s="205" t="s">
        <v>107</v>
      </c>
      <c r="BL13" s="136" t="s">
        <v>2</v>
      </c>
      <c r="BM13" s="155" t="s">
        <v>104</v>
      </c>
      <c r="BN13" s="155" t="s">
        <v>104</v>
      </c>
      <c r="BO13" s="155" t="s">
        <v>104</v>
      </c>
      <c r="BP13" s="155" t="s">
        <v>104</v>
      </c>
      <c r="BQ13" s="136" t="s">
        <v>2</v>
      </c>
      <c r="BR13" s="136" t="s">
        <v>2</v>
      </c>
      <c r="BS13" s="153" t="s">
        <v>283</v>
      </c>
      <c r="BT13" s="155" t="s">
        <v>10</v>
      </c>
      <c r="BU13" s="155" t="s">
        <v>10</v>
      </c>
      <c r="BV13" s="155" t="s">
        <v>10</v>
      </c>
      <c r="BW13" s="155" t="s">
        <v>10</v>
      </c>
      <c r="BX13" s="155" t="s">
        <v>10</v>
      </c>
      <c r="BY13" s="136" t="s">
        <v>2</v>
      </c>
      <c r="BZ13" s="136" t="s">
        <v>2</v>
      </c>
      <c r="CA13" s="205" t="s">
        <v>107</v>
      </c>
      <c r="CB13" s="205" t="s">
        <v>107</v>
      </c>
      <c r="CC13" s="136" t="s">
        <v>2</v>
      </c>
      <c r="CD13" s="205" t="s">
        <v>107</v>
      </c>
      <c r="CE13" s="205" t="s">
        <v>107</v>
      </c>
      <c r="CF13" s="205" t="s">
        <v>107</v>
      </c>
      <c r="CG13" s="136" t="s">
        <v>2</v>
      </c>
      <c r="CH13" s="153" t="s">
        <v>183</v>
      </c>
      <c r="CI13" s="153" t="s">
        <v>183</v>
      </c>
      <c r="CJ13" s="153" t="s">
        <v>183</v>
      </c>
      <c r="CK13" s="153" t="s">
        <v>183</v>
      </c>
      <c r="CL13" s="153" t="s">
        <v>183</v>
      </c>
      <c r="CM13" s="136" t="s">
        <v>2</v>
      </c>
      <c r="CN13" s="136" t="s">
        <v>2</v>
      </c>
      <c r="CO13" s="155" t="s">
        <v>10</v>
      </c>
      <c r="CP13" s="155" t="s">
        <v>10</v>
      </c>
      <c r="CQ13" s="155" t="s">
        <v>10</v>
      </c>
      <c r="CR13" s="155" t="s">
        <v>10</v>
      </c>
      <c r="CS13" s="155" t="s">
        <v>10</v>
      </c>
      <c r="CT13" s="136" t="s">
        <v>2</v>
      </c>
      <c r="CU13" s="136" t="s">
        <v>2</v>
      </c>
      <c r="CV13" s="155" t="s">
        <v>10</v>
      </c>
      <c r="CW13" s="214" t="s">
        <v>110</v>
      </c>
      <c r="CX13" s="206" t="s">
        <v>183</v>
      </c>
      <c r="CY13" s="206" t="s">
        <v>183</v>
      </c>
      <c r="CZ13" s="200" t="s">
        <v>2</v>
      </c>
      <c r="DA13" s="200" t="s">
        <v>2</v>
      </c>
      <c r="DB13" s="146" t="s">
        <v>117</v>
      </c>
      <c r="DC13" s="210" t="s">
        <v>12</v>
      </c>
      <c r="DD13" s="210" t="s">
        <v>12</v>
      </c>
      <c r="DE13" s="136" t="s">
        <v>2</v>
      </c>
      <c r="DF13" s="136" t="s">
        <v>2</v>
      </c>
      <c r="DG13" s="210" t="s">
        <v>12</v>
      </c>
      <c r="DH13" s="210" t="s">
        <v>12</v>
      </c>
      <c r="DI13" s="135" t="s">
        <v>116</v>
      </c>
      <c r="DJ13" s="204" t="s">
        <v>114</v>
      </c>
      <c r="DK13" s="204" t="s">
        <v>114</v>
      </c>
      <c r="DL13" s="204" t="s">
        <v>114</v>
      </c>
      <c r="DM13" s="200" t="s">
        <v>2</v>
      </c>
      <c r="DN13" s="200" t="s">
        <v>2</v>
      </c>
      <c r="DO13" s="206" t="s">
        <v>7</v>
      </c>
      <c r="DP13" s="206" t="s">
        <v>115</v>
      </c>
      <c r="DQ13" s="206" t="s">
        <v>7</v>
      </c>
      <c r="DR13" s="206" t="s">
        <v>7</v>
      </c>
      <c r="DS13" s="200" t="s">
        <v>2</v>
      </c>
      <c r="DT13" s="206" t="s">
        <v>7</v>
      </c>
      <c r="DU13" s="206" t="s">
        <v>7</v>
      </c>
      <c r="DV13" s="206" t="s">
        <v>7</v>
      </c>
      <c r="DW13" s="200" t="s">
        <v>2</v>
      </c>
      <c r="DX13" s="200" t="s">
        <v>2</v>
      </c>
      <c r="DY13" s="155" t="s">
        <v>11</v>
      </c>
      <c r="DZ13" s="155" t="s">
        <v>11</v>
      </c>
      <c r="EA13" s="155" t="s">
        <v>11</v>
      </c>
      <c r="EB13" s="155" t="s">
        <v>11</v>
      </c>
      <c r="EC13" s="155" t="s">
        <v>11</v>
      </c>
      <c r="ED13" s="200" t="s">
        <v>2</v>
      </c>
      <c r="EE13" s="153" t="s">
        <v>7</v>
      </c>
      <c r="EF13" s="153" t="s">
        <v>7</v>
      </c>
      <c r="EG13" s="153" t="s">
        <v>7</v>
      </c>
      <c r="EH13" s="135" t="s">
        <v>116</v>
      </c>
      <c r="EI13" s="153" t="s">
        <v>7</v>
      </c>
      <c r="EJ13" s="136" t="s">
        <v>2</v>
      </c>
      <c r="EK13" s="136" t="s">
        <v>2</v>
      </c>
      <c r="EL13" s="150" t="s">
        <v>118</v>
      </c>
      <c r="EM13" s="150" t="s">
        <v>118</v>
      </c>
      <c r="EN13" s="150" t="s">
        <v>118</v>
      </c>
      <c r="EO13" s="136" t="s">
        <v>2</v>
      </c>
      <c r="EP13" s="136" t="s">
        <v>2</v>
      </c>
      <c r="EQ13" s="150" t="s">
        <v>118</v>
      </c>
      <c r="ER13" s="153" t="s">
        <v>115</v>
      </c>
      <c r="ES13" s="150" t="s">
        <v>118</v>
      </c>
      <c r="ET13" s="136" t="s">
        <v>2</v>
      </c>
      <c r="EU13" s="155" t="s">
        <v>11</v>
      </c>
      <c r="EV13" s="155" t="s">
        <v>11</v>
      </c>
      <c r="EW13" s="155" t="s">
        <v>11</v>
      </c>
      <c r="EX13" s="155" t="s">
        <v>11</v>
      </c>
      <c r="EY13" s="136" t="s">
        <v>2</v>
      </c>
      <c r="EZ13" s="155" t="s">
        <v>11</v>
      </c>
      <c r="FA13" s="155" t="s">
        <v>11</v>
      </c>
      <c r="FB13" s="155" t="s">
        <v>11</v>
      </c>
      <c r="FC13" s="155" t="s">
        <v>11</v>
      </c>
      <c r="FD13" s="155" t="s">
        <v>11</v>
      </c>
      <c r="FE13" s="136" t="s">
        <v>2</v>
      </c>
      <c r="FF13" s="136" t="s">
        <v>2</v>
      </c>
      <c r="FG13" s="153" t="s">
        <v>7</v>
      </c>
      <c r="FH13" s="153" t="s">
        <v>7</v>
      </c>
      <c r="FI13" s="136" t="s">
        <v>2</v>
      </c>
      <c r="FJ13" s="136" t="s">
        <v>2</v>
      </c>
      <c r="FK13" s="153" t="s">
        <v>7</v>
      </c>
      <c r="FL13" s="153" t="s">
        <v>7</v>
      </c>
      <c r="FM13" s="146" t="s">
        <v>117</v>
      </c>
      <c r="FN13" s="135" t="s">
        <v>114</v>
      </c>
      <c r="FO13" s="135" t="s">
        <v>114</v>
      </c>
      <c r="FP13" s="136" t="s">
        <v>2</v>
      </c>
      <c r="FQ13" s="135" t="s">
        <v>114</v>
      </c>
      <c r="FR13" s="135" t="s">
        <v>114</v>
      </c>
      <c r="FS13" s="135" t="s">
        <v>114</v>
      </c>
      <c r="FT13" s="136" t="s">
        <v>2</v>
      </c>
      <c r="FU13" s="162" t="s">
        <v>284</v>
      </c>
      <c r="FV13" s="162" t="s">
        <v>284</v>
      </c>
      <c r="FW13" s="153" t="s">
        <v>7</v>
      </c>
      <c r="FX13" s="153" t="s">
        <v>7</v>
      </c>
      <c r="FY13" s="155" t="s">
        <v>11</v>
      </c>
      <c r="FZ13" s="136" t="s">
        <v>2</v>
      </c>
      <c r="GA13" s="136" t="s">
        <v>2</v>
      </c>
      <c r="GB13" s="155" t="s">
        <v>11</v>
      </c>
      <c r="GC13" s="155" t="s">
        <v>11</v>
      </c>
      <c r="GD13" s="155" t="s">
        <v>11</v>
      </c>
      <c r="GE13" s="155" t="s">
        <v>11</v>
      </c>
      <c r="GF13" s="155" t="s">
        <v>11</v>
      </c>
      <c r="GG13" s="136" t="s">
        <v>2</v>
      </c>
      <c r="GH13" s="136" t="s">
        <v>2</v>
      </c>
      <c r="GI13" s="131" t="s">
        <v>67</v>
      </c>
      <c r="GJ13" s="131" t="s">
        <v>67</v>
      </c>
      <c r="GK13" s="131" t="s">
        <v>67</v>
      </c>
      <c r="GL13" s="209" t="s">
        <v>122</v>
      </c>
      <c r="GM13" s="129" t="s">
        <v>2</v>
      </c>
      <c r="GN13" s="129" t="s">
        <v>2</v>
      </c>
      <c r="GO13" s="128" t="s">
        <v>123</v>
      </c>
      <c r="GP13" s="212" t="s">
        <v>61</v>
      </c>
      <c r="GQ13" s="129" t="s">
        <v>2</v>
      </c>
      <c r="GR13" s="128" t="s">
        <v>123</v>
      </c>
      <c r="GS13" s="209" t="s">
        <v>122</v>
      </c>
      <c r="GT13" s="131" t="s">
        <v>63</v>
      </c>
      <c r="GU13" s="131" t="s">
        <v>63</v>
      </c>
      <c r="GV13" s="129" t="s">
        <v>2</v>
      </c>
      <c r="GW13" s="128" t="s">
        <v>123</v>
      </c>
      <c r="GX13" s="212" t="s">
        <v>61</v>
      </c>
      <c r="GY13" s="212" t="s">
        <v>61</v>
      </c>
      <c r="GZ13" s="131" t="s">
        <v>63</v>
      </c>
      <c r="HA13" s="131" t="s">
        <v>63</v>
      </c>
      <c r="HB13" s="129" t="s">
        <v>2</v>
      </c>
      <c r="HC13" s="129" t="s">
        <v>2</v>
      </c>
      <c r="HD13" s="129" t="s">
        <v>2</v>
      </c>
      <c r="HE13" s="209" t="s">
        <v>122</v>
      </c>
      <c r="HF13" s="131" t="s">
        <v>63</v>
      </c>
      <c r="HG13" s="98" t="s">
        <v>124</v>
      </c>
      <c r="HH13" s="128" t="s">
        <v>123</v>
      </c>
      <c r="HI13" s="212" t="s">
        <v>61</v>
      </c>
      <c r="HJ13" s="129" t="s">
        <v>2</v>
      </c>
      <c r="HK13" s="54" t="s">
        <v>123</v>
      </c>
      <c r="HL13" s="117" t="s">
        <v>285</v>
      </c>
      <c r="HM13" s="56" t="s">
        <v>2</v>
      </c>
      <c r="HN13" s="56" t="s">
        <v>2</v>
      </c>
      <c r="HO13" s="54" t="s">
        <v>286</v>
      </c>
      <c r="HP13" s="65" t="s">
        <v>286</v>
      </c>
      <c r="HQ13" s="54" t="s">
        <v>287</v>
      </c>
      <c r="HR13" s="58" t="s">
        <v>59</v>
      </c>
      <c r="HS13" s="58" t="s">
        <v>59</v>
      </c>
      <c r="HT13" s="56" t="s">
        <v>2</v>
      </c>
      <c r="HU13" s="58" t="s">
        <v>59</v>
      </c>
      <c r="HV13" s="56" t="s">
        <v>2</v>
      </c>
      <c r="HW13" s="55" t="s">
        <v>288</v>
      </c>
      <c r="HX13" s="62" t="s">
        <v>150</v>
      </c>
      <c r="HY13" s="56" t="s">
        <v>2</v>
      </c>
      <c r="HZ13" s="58" t="s">
        <v>187</v>
      </c>
      <c r="IA13" s="58" t="s">
        <v>187</v>
      </c>
      <c r="IB13" s="58" t="s">
        <v>187</v>
      </c>
      <c r="IC13" s="58" t="s">
        <v>187</v>
      </c>
      <c r="ID13" s="58" t="s">
        <v>187</v>
      </c>
      <c r="IE13" s="56" t="s">
        <v>2</v>
      </c>
      <c r="IF13" s="55" t="s">
        <v>159</v>
      </c>
      <c r="IG13" s="55" t="s">
        <v>159</v>
      </c>
      <c r="IH13" s="55" t="s">
        <v>159</v>
      </c>
      <c r="II13" s="55" t="s">
        <v>159</v>
      </c>
      <c r="IJ13" s="55" t="s">
        <v>159</v>
      </c>
      <c r="IK13" s="56" t="s">
        <v>2</v>
      </c>
      <c r="IL13" s="56" t="s">
        <v>2</v>
      </c>
      <c r="IM13" s="55" t="s">
        <v>126</v>
      </c>
      <c r="IN13" s="55" t="s">
        <v>126</v>
      </c>
      <c r="IO13" s="56" t="s">
        <v>2</v>
      </c>
      <c r="IP13" s="56" t="s">
        <v>2</v>
      </c>
      <c r="IQ13" s="81" t="s">
        <v>129</v>
      </c>
      <c r="IR13" s="80" t="s">
        <v>119</v>
      </c>
      <c r="IS13" s="62" t="s">
        <v>149</v>
      </c>
      <c r="IT13" s="80" t="s">
        <v>119</v>
      </c>
      <c r="IU13" s="80" t="s">
        <v>119</v>
      </c>
      <c r="IV13" s="56" t="s">
        <v>2</v>
      </c>
      <c r="IW13" s="80" t="s">
        <v>119</v>
      </c>
      <c r="IX13" s="80" t="s">
        <v>119</v>
      </c>
      <c r="IY13" s="80" t="s">
        <v>119</v>
      </c>
      <c r="IZ13" s="56" t="s">
        <v>2</v>
      </c>
      <c r="JA13" s="54" t="s">
        <v>128</v>
      </c>
      <c r="JB13" s="54" t="s">
        <v>128</v>
      </c>
      <c r="JC13" s="54" t="s">
        <v>128</v>
      </c>
      <c r="JD13" s="54" t="s">
        <v>128</v>
      </c>
      <c r="JE13" s="56" t="s">
        <v>130</v>
      </c>
      <c r="JF13" s="56" t="s">
        <v>2</v>
      </c>
      <c r="JG13" s="56" t="s">
        <v>2</v>
      </c>
      <c r="JH13" s="58" t="s">
        <v>67</v>
      </c>
      <c r="JI13" s="58" t="s">
        <v>67</v>
      </c>
      <c r="JJ13" s="54" t="s">
        <v>128</v>
      </c>
      <c r="JK13" s="56" t="s">
        <v>2</v>
      </c>
      <c r="JL13" s="56" t="s">
        <v>2</v>
      </c>
      <c r="JM13" s="81" t="s">
        <v>146</v>
      </c>
      <c r="JN13" s="54" t="s">
        <v>128</v>
      </c>
      <c r="JO13" s="81" t="s">
        <v>129</v>
      </c>
      <c r="JP13" s="56" t="s">
        <v>2</v>
      </c>
      <c r="JQ13" s="56" t="s">
        <v>2</v>
      </c>
      <c r="JR13" s="81" t="s">
        <v>129</v>
      </c>
      <c r="JS13" s="81" t="s">
        <v>129</v>
      </c>
      <c r="JT13" s="81" t="s">
        <v>129</v>
      </c>
      <c r="JU13" s="80" t="s">
        <v>164</v>
      </c>
      <c r="JV13" s="56" t="s">
        <v>2</v>
      </c>
      <c r="JW13" s="55" t="s">
        <v>126</v>
      </c>
      <c r="JX13" s="55" t="s">
        <v>126</v>
      </c>
      <c r="JY13" s="55" t="s">
        <v>126</v>
      </c>
      <c r="JZ13" s="55" t="s">
        <v>126</v>
      </c>
      <c r="KA13" s="55" t="s">
        <v>126</v>
      </c>
      <c r="KB13" s="56" t="s">
        <v>2</v>
      </c>
      <c r="KC13" s="58" t="s">
        <v>67</v>
      </c>
      <c r="KD13" s="58" t="s">
        <v>67</v>
      </c>
      <c r="KE13" s="56" t="s">
        <v>2</v>
      </c>
      <c r="KF13" s="56" t="s">
        <v>2</v>
      </c>
      <c r="KG13" s="58" t="s">
        <v>67</v>
      </c>
      <c r="KH13" s="58" t="s">
        <v>67</v>
      </c>
      <c r="KI13" s="131" t="s">
        <v>54</v>
      </c>
      <c r="KJ13" s="56" t="s">
        <v>2</v>
      </c>
      <c r="KK13" s="55" t="s">
        <v>126</v>
      </c>
      <c r="KL13" s="55" t="s">
        <v>126</v>
      </c>
      <c r="KM13" s="55" t="s">
        <v>126</v>
      </c>
      <c r="KN13" s="55" t="s">
        <v>126</v>
      </c>
      <c r="KO13" s="55" t="s">
        <v>126</v>
      </c>
      <c r="KP13" s="56" t="s">
        <v>2</v>
      </c>
      <c r="KQ13" s="80" t="s">
        <v>119</v>
      </c>
      <c r="KR13" s="80" t="s">
        <v>119</v>
      </c>
      <c r="KS13" s="80" t="s">
        <v>119</v>
      </c>
      <c r="KT13" s="80" t="s">
        <v>119</v>
      </c>
      <c r="KU13" s="80" t="s">
        <v>119</v>
      </c>
      <c r="KV13" s="56" t="s">
        <v>2</v>
      </c>
      <c r="KW13" s="56" t="s">
        <v>2</v>
      </c>
      <c r="KX13" s="54" t="s">
        <v>128</v>
      </c>
      <c r="KY13" s="82" t="s">
        <v>45</v>
      </c>
      <c r="KZ13" s="82" t="s">
        <v>45</v>
      </c>
      <c r="LA13" s="82" t="s">
        <v>45</v>
      </c>
      <c r="LB13" s="82" t="s">
        <v>45</v>
      </c>
      <c r="LC13" s="56" t="s">
        <v>2</v>
      </c>
      <c r="LD13" s="56" t="s">
        <v>2</v>
      </c>
      <c r="LE13" s="56" t="s">
        <v>2</v>
      </c>
      <c r="LF13" s="55" t="s">
        <v>126</v>
      </c>
      <c r="LG13" s="55" t="s">
        <v>126</v>
      </c>
      <c r="LH13" s="55" t="s">
        <v>126</v>
      </c>
      <c r="LI13" s="55" t="s">
        <v>126</v>
      </c>
      <c r="LJ13" s="55" t="s">
        <v>126</v>
      </c>
      <c r="LK13" s="56" t="s">
        <v>2</v>
      </c>
      <c r="LL13" s="80" t="s">
        <v>119</v>
      </c>
      <c r="LM13" s="80" t="s">
        <v>119</v>
      </c>
      <c r="LN13" s="80" t="s">
        <v>119</v>
      </c>
      <c r="LO13" s="80" t="s">
        <v>119</v>
      </c>
      <c r="LP13" s="80" t="s">
        <v>119</v>
      </c>
      <c r="LQ13" s="56" t="s">
        <v>2</v>
      </c>
      <c r="LR13" s="56" t="s">
        <v>2</v>
      </c>
      <c r="LS13" s="54" t="s">
        <v>128</v>
      </c>
      <c r="LT13" s="58" t="s">
        <v>67</v>
      </c>
      <c r="LU13" s="58" t="s">
        <v>67</v>
      </c>
      <c r="LV13" s="58" t="s">
        <v>67</v>
      </c>
      <c r="LW13" s="56" t="s">
        <v>2</v>
      </c>
      <c r="LX13" s="56" t="s">
        <v>2</v>
      </c>
      <c r="LY13" s="62" t="s">
        <v>149</v>
      </c>
    </row>
    <row r="14" spans="1:358" ht="13.5" thickBot="1">
      <c r="A14" s="473"/>
      <c r="B14" s="473"/>
      <c r="C14" s="473"/>
      <c r="D14" s="473"/>
      <c r="E14" s="473"/>
      <c r="F14" s="495"/>
      <c r="G14" s="514"/>
      <c r="H14" s="509"/>
      <c r="I14" s="473"/>
      <c r="J14" s="508"/>
      <c r="K14" s="472"/>
      <c r="L14" s="472"/>
      <c r="M14" s="472"/>
      <c r="N14" s="472">
        <v>2</v>
      </c>
      <c r="O14" s="470" t="s">
        <v>289</v>
      </c>
      <c r="P14" s="149" t="s">
        <v>15</v>
      </c>
      <c r="Q14" s="149" t="s">
        <v>15</v>
      </c>
      <c r="R14" s="203" t="s">
        <v>19</v>
      </c>
      <c r="S14" s="149" t="s">
        <v>15</v>
      </c>
      <c r="T14" s="149" t="s">
        <v>15</v>
      </c>
      <c r="U14" s="126" t="s">
        <v>2</v>
      </c>
      <c r="V14" s="144" t="s">
        <v>4</v>
      </c>
      <c r="W14" s="143" t="s">
        <v>5</v>
      </c>
      <c r="X14" s="203" t="s">
        <v>19</v>
      </c>
      <c r="Y14" s="127" t="s">
        <v>12</v>
      </c>
      <c r="Z14" s="127" t="s">
        <v>12</v>
      </c>
      <c r="AA14" s="126" t="s">
        <v>2</v>
      </c>
      <c r="AB14" s="143" t="s">
        <v>5</v>
      </c>
      <c r="AC14" s="126" t="s">
        <v>2</v>
      </c>
      <c r="AD14" s="202" t="s">
        <v>11</v>
      </c>
      <c r="AE14" s="202" t="s">
        <v>11</v>
      </c>
      <c r="AF14" s="202" t="s">
        <v>11</v>
      </c>
      <c r="AG14" s="202" t="s">
        <v>11</v>
      </c>
      <c r="AH14" s="200" t="s">
        <v>2</v>
      </c>
      <c r="AI14" s="150" t="s">
        <v>16</v>
      </c>
      <c r="AJ14" s="200" t="s">
        <v>2</v>
      </c>
      <c r="AK14" s="206" t="s">
        <v>8</v>
      </c>
      <c r="AL14" s="206" t="s">
        <v>8</v>
      </c>
      <c r="AM14" s="200" t="s">
        <v>2</v>
      </c>
      <c r="AN14" s="200" t="s">
        <v>2</v>
      </c>
      <c r="AO14" s="150" t="s">
        <v>15</v>
      </c>
      <c r="AP14" s="150" t="s">
        <v>15</v>
      </c>
      <c r="AQ14" s="144" t="s">
        <v>3</v>
      </c>
      <c r="AR14" s="204" t="s">
        <v>5</v>
      </c>
      <c r="AS14" s="200" t="s">
        <v>2</v>
      </c>
      <c r="AT14" s="206" t="s">
        <v>9</v>
      </c>
      <c r="AU14" s="206" t="s">
        <v>9</v>
      </c>
      <c r="AV14" s="206" t="s">
        <v>9</v>
      </c>
      <c r="AW14" s="200" t="s">
        <v>2</v>
      </c>
      <c r="AX14" s="204" t="s">
        <v>18</v>
      </c>
      <c r="AY14" s="200" t="s">
        <v>2</v>
      </c>
      <c r="AZ14" s="210" t="s">
        <v>132</v>
      </c>
      <c r="BA14" s="210" t="s">
        <v>132</v>
      </c>
      <c r="BB14" s="204" t="s">
        <v>6</v>
      </c>
      <c r="BC14" s="200" t="s">
        <v>2</v>
      </c>
      <c r="BD14" s="210" t="s">
        <v>132</v>
      </c>
      <c r="BE14" s="206" t="s">
        <v>283</v>
      </c>
      <c r="BF14" s="153" t="s">
        <v>105</v>
      </c>
      <c r="BG14" s="153" t="s">
        <v>105</v>
      </c>
      <c r="BH14" s="153" t="s">
        <v>105</v>
      </c>
      <c r="BI14" s="153" t="s">
        <v>105</v>
      </c>
      <c r="BJ14" s="153" t="s">
        <v>105</v>
      </c>
      <c r="BK14" s="136" t="s">
        <v>2</v>
      </c>
      <c r="BL14" s="136" t="s">
        <v>2</v>
      </c>
      <c r="BM14" s="135" t="s">
        <v>6</v>
      </c>
      <c r="BN14" s="135" t="s">
        <v>6</v>
      </c>
      <c r="BO14" s="135" t="s">
        <v>6</v>
      </c>
      <c r="BP14" s="136" t="s">
        <v>2</v>
      </c>
      <c r="BQ14" s="136" t="s">
        <v>2</v>
      </c>
      <c r="BR14" s="135" t="s">
        <v>6</v>
      </c>
      <c r="BS14" s="135" t="s">
        <v>18</v>
      </c>
      <c r="BT14" s="136" t="s">
        <v>2</v>
      </c>
      <c r="BU14" s="136" t="s">
        <v>2</v>
      </c>
      <c r="BV14" s="210" t="s">
        <v>132</v>
      </c>
      <c r="BW14" s="210" t="s">
        <v>132</v>
      </c>
      <c r="BX14" s="210" t="s">
        <v>132</v>
      </c>
      <c r="BY14" s="210" t="s">
        <v>132</v>
      </c>
      <c r="BZ14" s="215" t="s">
        <v>19</v>
      </c>
      <c r="CA14" s="136" t="s">
        <v>2</v>
      </c>
      <c r="CB14" s="155" t="s">
        <v>10</v>
      </c>
      <c r="CC14" s="136" t="s">
        <v>2</v>
      </c>
      <c r="CD14" s="155" t="s">
        <v>10</v>
      </c>
      <c r="CE14" s="155" t="s">
        <v>10</v>
      </c>
      <c r="CF14" s="135" t="s">
        <v>108</v>
      </c>
      <c r="CG14" s="135" t="s">
        <v>112</v>
      </c>
      <c r="CH14" s="153" t="s">
        <v>183</v>
      </c>
      <c r="CI14" s="136" t="s">
        <v>2</v>
      </c>
      <c r="CJ14" s="136" t="s">
        <v>2</v>
      </c>
      <c r="CK14" s="155" t="s">
        <v>10</v>
      </c>
      <c r="CL14" s="215" t="s">
        <v>19</v>
      </c>
      <c r="CM14" s="155" t="s">
        <v>10</v>
      </c>
      <c r="CN14" s="135" t="s">
        <v>112</v>
      </c>
      <c r="CO14" s="207" t="s">
        <v>290</v>
      </c>
      <c r="CP14" s="136" t="s">
        <v>2</v>
      </c>
      <c r="CQ14" s="136" t="s">
        <v>2</v>
      </c>
      <c r="CR14" s="207" t="s">
        <v>290</v>
      </c>
      <c r="CS14" s="207" t="s">
        <v>290</v>
      </c>
      <c r="CT14" s="207" t="s">
        <v>290</v>
      </c>
      <c r="CU14" s="146" t="s">
        <v>117</v>
      </c>
      <c r="CV14" s="136" t="s">
        <v>2</v>
      </c>
      <c r="CW14" s="214" t="s">
        <v>110</v>
      </c>
      <c r="CX14" s="136" t="s">
        <v>2</v>
      </c>
      <c r="CY14" s="135" t="s">
        <v>108</v>
      </c>
      <c r="CZ14" s="135" t="s">
        <v>108</v>
      </c>
      <c r="DA14" s="135" t="s">
        <v>108</v>
      </c>
      <c r="DB14" s="146" t="s">
        <v>117</v>
      </c>
      <c r="DC14" s="155" t="s">
        <v>11</v>
      </c>
      <c r="DD14" s="136" t="s">
        <v>2</v>
      </c>
      <c r="DE14" s="153" t="s">
        <v>140</v>
      </c>
      <c r="DF14" s="153" t="s">
        <v>140</v>
      </c>
      <c r="DG14" s="153" t="s">
        <v>140</v>
      </c>
      <c r="DH14" s="136" t="s">
        <v>2</v>
      </c>
      <c r="DI14" s="146" t="s">
        <v>117</v>
      </c>
      <c r="DJ14" s="162" t="s">
        <v>179</v>
      </c>
      <c r="DK14" s="210" t="s">
        <v>12</v>
      </c>
      <c r="DL14" s="200" t="s">
        <v>2</v>
      </c>
      <c r="DM14" s="200" t="s">
        <v>2</v>
      </c>
      <c r="DN14" s="206" t="s">
        <v>7</v>
      </c>
      <c r="DO14" s="206" t="s">
        <v>7</v>
      </c>
      <c r="DP14" s="135" t="s">
        <v>116</v>
      </c>
      <c r="DQ14" s="135" t="s">
        <v>114</v>
      </c>
      <c r="DR14" s="135" t="s">
        <v>114</v>
      </c>
      <c r="DS14" s="200" t="s">
        <v>2</v>
      </c>
      <c r="DT14" s="155" t="s">
        <v>11</v>
      </c>
      <c r="DU14" s="200" t="s">
        <v>2</v>
      </c>
      <c r="DV14" s="206" t="s">
        <v>7</v>
      </c>
      <c r="DW14" s="206" t="s">
        <v>115</v>
      </c>
      <c r="DX14" s="206" t="s">
        <v>7</v>
      </c>
      <c r="DY14" s="206" t="s">
        <v>7</v>
      </c>
      <c r="DZ14" s="200" t="s">
        <v>2</v>
      </c>
      <c r="EA14" s="150" t="s">
        <v>139</v>
      </c>
      <c r="EB14" s="150" t="s">
        <v>118</v>
      </c>
      <c r="EC14" s="206" t="s">
        <v>7</v>
      </c>
      <c r="ED14" s="200" t="s">
        <v>2</v>
      </c>
      <c r="EE14" s="162" t="s">
        <v>268</v>
      </c>
      <c r="EF14" s="162" t="s">
        <v>155</v>
      </c>
      <c r="EG14" s="162" t="s">
        <v>155</v>
      </c>
      <c r="EH14" s="162" t="s">
        <v>291</v>
      </c>
      <c r="EI14" s="155" t="s">
        <v>11</v>
      </c>
      <c r="EJ14" s="136" t="s">
        <v>2</v>
      </c>
      <c r="EK14" s="136" t="s">
        <v>2</v>
      </c>
      <c r="EL14" s="153" t="s">
        <v>7</v>
      </c>
      <c r="EM14" s="153" t="s">
        <v>7</v>
      </c>
      <c r="EN14" s="153" t="s">
        <v>7</v>
      </c>
      <c r="EO14" s="136" t="s">
        <v>2</v>
      </c>
      <c r="EP14" s="162" t="s">
        <v>284</v>
      </c>
      <c r="EQ14" s="153" t="s">
        <v>7</v>
      </c>
      <c r="ER14" s="136" t="s">
        <v>2</v>
      </c>
      <c r="ES14" s="136" t="s">
        <v>2</v>
      </c>
      <c r="ET14" s="135" t="s">
        <v>114</v>
      </c>
      <c r="EU14" s="135" t="s">
        <v>114</v>
      </c>
      <c r="EV14" s="135" t="s">
        <v>114</v>
      </c>
      <c r="EW14" s="135" t="s">
        <v>114</v>
      </c>
      <c r="EX14" s="136" t="s">
        <v>2</v>
      </c>
      <c r="EY14" s="135" t="s">
        <v>116</v>
      </c>
      <c r="EZ14" s="210" t="s">
        <v>12</v>
      </c>
      <c r="FA14" s="210" t="s">
        <v>12</v>
      </c>
      <c r="FB14" s="162" t="s">
        <v>179</v>
      </c>
      <c r="FC14" s="162" t="s">
        <v>179</v>
      </c>
      <c r="FD14" s="136" t="s">
        <v>2</v>
      </c>
      <c r="FE14" s="136" t="s">
        <v>2</v>
      </c>
      <c r="FF14" s="146" t="s">
        <v>117</v>
      </c>
      <c r="FG14" s="162" t="s">
        <v>268</v>
      </c>
      <c r="FH14" s="207" t="s">
        <v>292</v>
      </c>
      <c r="FI14" s="207" t="s">
        <v>292</v>
      </c>
      <c r="FJ14" s="136" t="s">
        <v>2</v>
      </c>
      <c r="FK14" s="153" t="s">
        <v>140</v>
      </c>
      <c r="FL14" s="150" t="s">
        <v>139</v>
      </c>
      <c r="FM14" s="153" t="s">
        <v>157</v>
      </c>
      <c r="FN14" s="153" t="s">
        <v>140</v>
      </c>
      <c r="FO14" s="153" t="s">
        <v>140</v>
      </c>
      <c r="FP14" s="136" t="s">
        <v>2</v>
      </c>
      <c r="FQ14" s="153" t="s">
        <v>7</v>
      </c>
      <c r="FR14" s="162" t="s">
        <v>284</v>
      </c>
      <c r="FS14" s="153" t="s">
        <v>7</v>
      </c>
      <c r="FT14" s="216" t="s">
        <v>117</v>
      </c>
      <c r="FU14" s="155" t="s">
        <v>11</v>
      </c>
      <c r="FV14" s="155" t="s">
        <v>11</v>
      </c>
      <c r="FW14" s="155" t="s">
        <v>11</v>
      </c>
      <c r="FX14" s="162" t="s">
        <v>155</v>
      </c>
      <c r="FY14" s="155" t="s">
        <v>11</v>
      </c>
      <c r="FZ14" s="136" t="s">
        <v>2</v>
      </c>
      <c r="GA14" s="136" t="s">
        <v>2</v>
      </c>
      <c r="GB14" s="153" t="s">
        <v>7</v>
      </c>
      <c r="GC14" s="153" t="s">
        <v>7</v>
      </c>
      <c r="GD14" s="162" t="s">
        <v>284</v>
      </c>
      <c r="GE14" s="136" t="s">
        <v>2</v>
      </c>
      <c r="GF14" s="136" t="s">
        <v>2</v>
      </c>
      <c r="GG14" s="153" t="s">
        <v>7</v>
      </c>
      <c r="GH14" s="153" t="s">
        <v>7</v>
      </c>
      <c r="GI14" s="129" t="s">
        <v>2</v>
      </c>
      <c r="GJ14" s="162" t="s">
        <v>155</v>
      </c>
      <c r="GK14" s="212" t="s">
        <v>45</v>
      </c>
      <c r="GL14" s="212" t="s">
        <v>61</v>
      </c>
      <c r="GM14" s="131" t="s">
        <v>63</v>
      </c>
      <c r="GN14" s="128" t="s">
        <v>123</v>
      </c>
      <c r="GO14" s="129" t="s">
        <v>2</v>
      </c>
      <c r="GP14" s="128" t="s">
        <v>123</v>
      </c>
      <c r="GQ14" s="128" t="s">
        <v>123</v>
      </c>
      <c r="GR14" s="128" t="s">
        <v>123</v>
      </c>
      <c r="GS14" s="208" t="s">
        <v>293</v>
      </c>
      <c r="GT14" s="212" t="s">
        <v>61</v>
      </c>
      <c r="GU14" s="129" t="s">
        <v>2</v>
      </c>
      <c r="GV14" s="129" t="s">
        <v>2</v>
      </c>
      <c r="GW14" s="154" t="s">
        <v>294</v>
      </c>
      <c r="GX14" s="154" t="s">
        <v>294</v>
      </c>
      <c r="GY14" s="129" t="s">
        <v>2</v>
      </c>
      <c r="GZ14" s="129" t="s">
        <v>2</v>
      </c>
      <c r="HA14" s="128" t="s">
        <v>123</v>
      </c>
      <c r="HB14" s="154" t="s">
        <v>293</v>
      </c>
      <c r="HC14" s="62" t="s">
        <v>144</v>
      </c>
      <c r="HD14" s="129" t="s">
        <v>2</v>
      </c>
      <c r="HE14" s="128" t="s">
        <v>123</v>
      </c>
      <c r="HF14" s="131" t="s">
        <v>63</v>
      </c>
      <c r="HG14" s="212" t="s">
        <v>61</v>
      </c>
      <c r="HH14" s="131" t="s">
        <v>63</v>
      </c>
      <c r="HI14" s="141" t="s">
        <v>120</v>
      </c>
      <c r="HJ14" s="129" t="s">
        <v>2</v>
      </c>
      <c r="HK14" s="82" t="s">
        <v>61</v>
      </c>
      <c r="HL14" s="82" t="s">
        <v>61</v>
      </c>
      <c r="HM14" s="54" t="s">
        <v>123</v>
      </c>
      <c r="HN14" s="54" t="s">
        <v>123</v>
      </c>
      <c r="HO14" s="82" t="s">
        <v>45</v>
      </c>
      <c r="HP14" s="56" t="s">
        <v>2</v>
      </c>
      <c r="HQ14" s="56" t="s">
        <v>2</v>
      </c>
      <c r="HR14" s="81" t="s">
        <v>129</v>
      </c>
      <c r="HS14" s="81" t="s">
        <v>129</v>
      </c>
      <c r="HT14" s="81" t="s">
        <v>129</v>
      </c>
      <c r="HU14" s="81" t="s">
        <v>129</v>
      </c>
      <c r="HV14" s="56" t="s">
        <v>2</v>
      </c>
      <c r="HW14" s="56" t="s">
        <v>2</v>
      </c>
      <c r="HX14" s="62" t="s">
        <v>149</v>
      </c>
      <c r="HY14" s="81" t="s">
        <v>129</v>
      </c>
      <c r="HZ14" s="81" t="s">
        <v>129</v>
      </c>
      <c r="IA14" s="81" t="s">
        <v>129</v>
      </c>
      <c r="IB14" s="81" t="s">
        <v>129</v>
      </c>
      <c r="IC14" s="56" t="s">
        <v>2</v>
      </c>
      <c r="ID14" s="56" t="s">
        <v>2</v>
      </c>
      <c r="IE14" s="62" t="s">
        <v>149</v>
      </c>
      <c r="IF14" s="102" t="s">
        <v>27</v>
      </c>
      <c r="IG14" s="102" t="s">
        <v>27</v>
      </c>
      <c r="IH14" s="102" t="s">
        <v>27</v>
      </c>
      <c r="II14" s="102" t="s">
        <v>27</v>
      </c>
      <c r="IJ14" s="102" t="s">
        <v>27</v>
      </c>
      <c r="IK14" s="56" t="s">
        <v>2</v>
      </c>
      <c r="IL14" s="56" t="s">
        <v>2</v>
      </c>
      <c r="IM14" s="54" t="s">
        <v>128</v>
      </c>
      <c r="IN14" s="56" t="s">
        <v>2</v>
      </c>
      <c r="IO14" s="56" t="s">
        <v>2</v>
      </c>
      <c r="IP14" s="54" t="s">
        <v>128</v>
      </c>
      <c r="IQ14" s="54" t="s">
        <v>128</v>
      </c>
      <c r="IR14" s="54" t="s">
        <v>128</v>
      </c>
      <c r="IS14" s="54" t="s">
        <v>128</v>
      </c>
      <c r="IT14" s="56" t="s">
        <v>2</v>
      </c>
      <c r="IU14" s="54" t="s">
        <v>128</v>
      </c>
      <c r="IV14" s="54" t="s">
        <v>128</v>
      </c>
      <c r="IW14" s="54" t="s">
        <v>128</v>
      </c>
      <c r="IX14" s="54" t="s">
        <v>128</v>
      </c>
      <c r="IY14" s="55" t="s">
        <v>126</v>
      </c>
      <c r="IZ14" s="56" t="s">
        <v>2</v>
      </c>
      <c r="JA14" s="81" t="s">
        <v>146</v>
      </c>
      <c r="JB14" s="90" t="s">
        <v>295</v>
      </c>
      <c r="JC14" s="80" t="s">
        <v>119</v>
      </c>
      <c r="JD14" s="56" t="s">
        <v>2</v>
      </c>
      <c r="JE14" s="56" t="s">
        <v>2</v>
      </c>
      <c r="JF14" s="82" t="s">
        <v>45</v>
      </c>
      <c r="JG14" s="62" t="s">
        <v>149</v>
      </c>
      <c r="JH14" s="55" t="s">
        <v>159</v>
      </c>
      <c r="JI14" s="55" t="s">
        <v>126</v>
      </c>
      <c r="JJ14" s="56" t="s">
        <v>2</v>
      </c>
      <c r="JK14" s="55" t="s">
        <v>126</v>
      </c>
      <c r="JL14" s="56" t="s">
        <v>2</v>
      </c>
      <c r="JM14" s="80" t="s">
        <v>119</v>
      </c>
      <c r="JN14" s="62" t="s">
        <v>149</v>
      </c>
      <c r="JO14" s="58" t="s">
        <v>67</v>
      </c>
      <c r="JP14" s="81" t="s">
        <v>146</v>
      </c>
      <c r="JQ14" s="56" t="s">
        <v>2</v>
      </c>
      <c r="JR14" s="56" t="s">
        <v>2</v>
      </c>
      <c r="JS14" s="81" t="s">
        <v>146</v>
      </c>
      <c r="JT14" s="81" t="s">
        <v>146</v>
      </c>
      <c r="JU14" s="62" t="s">
        <v>149</v>
      </c>
      <c r="JV14" s="82" t="s">
        <v>45</v>
      </c>
      <c r="JW14" s="56" t="s">
        <v>2</v>
      </c>
      <c r="JX14" s="56" t="s">
        <v>2</v>
      </c>
      <c r="JY14" s="81" t="s">
        <v>146</v>
      </c>
      <c r="JZ14" s="81" t="s">
        <v>146</v>
      </c>
      <c r="KA14" s="81" t="s">
        <v>129</v>
      </c>
      <c r="KB14" s="62" t="s">
        <v>149</v>
      </c>
      <c r="KC14" s="56" t="s">
        <v>2</v>
      </c>
      <c r="KD14" s="55" t="s">
        <v>126</v>
      </c>
      <c r="KE14" s="55" t="s">
        <v>126</v>
      </c>
      <c r="KF14" s="55" t="s">
        <v>126</v>
      </c>
      <c r="KG14" s="55" t="s">
        <v>126</v>
      </c>
      <c r="KH14" s="55" t="s">
        <v>126</v>
      </c>
      <c r="KI14" s="56" t="s">
        <v>2</v>
      </c>
      <c r="KJ14" s="80" t="s">
        <v>119</v>
      </c>
      <c r="KK14" s="80" t="s">
        <v>119</v>
      </c>
      <c r="KL14" s="80" t="s">
        <v>119</v>
      </c>
      <c r="KM14" s="80" t="s">
        <v>119</v>
      </c>
      <c r="KN14" s="80" t="s">
        <v>119</v>
      </c>
      <c r="KO14" s="56" t="s">
        <v>2</v>
      </c>
      <c r="KP14" s="56" t="s">
        <v>2</v>
      </c>
      <c r="KQ14" s="55" t="s">
        <v>126</v>
      </c>
      <c r="KR14" s="58" t="s">
        <v>67</v>
      </c>
      <c r="KS14" s="56" t="s">
        <v>2</v>
      </c>
      <c r="KT14" s="56" t="s">
        <v>2</v>
      </c>
      <c r="KU14" s="58" t="s">
        <v>67</v>
      </c>
      <c r="KV14" s="58" t="s">
        <v>67</v>
      </c>
      <c r="KW14" s="131" t="s">
        <v>54</v>
      </c>
      <c r="KX14" s="56" t="s">
        <v>2</v>
      </c>
      <c r="KY14" s="54" t="s">
        <v>128</v>
      </c>
      <c r="KZ14" s="54" t="s">
        <v>128</v>
      </c>
      <c r="LA14" s="54" t="s">
        <v>128</v>
      </c>
      <c r="LB14" s="54" t="s">
        <v>128</v>
      </c>
      <c r="LC14" s="54" t="s">
        <v>128</v>
      </c>
      <c r="LD14" s="56" t="s">
        <v>2</v>
      </c>
      <c r="LE14" s="54" t="s">
        <v>128</v>
      </c>
      <c r="LF14" s="81" t="s">
        <v>129</v>
      </c>
      <c r="LG14" s="81" t="s">
        <v>129</v>
      </c>
      <c r="LH14" s="81" t="s">
        <v>129</v>
      </c>
      <c r="LI14" s="81" t="s">
        <v>129</v>
      </c>
      <c r="LJ14" s="56" t="s">
        <v>2</v>
      </c>
      <c r="LK14" s="56" t="s">
        <v>2</v>
      </c>
      <c r="LL14" s="81" t="s">
        <v>146</v>
      </c>
      <c r="LM14" s="81" t="s">
        <v>146</v>
      </c>
      <c r="LN14" s="81" t="s">
        <v>146</v>
      </c>
      <c r="LO14" s="82" t="s">
        <v>45</v>
      </c>
      <c r="LP14" s="56" t="s">
        <v>2</v>
      </c>
      <c r="LQ14" s="56" t="s">
        <v>2</v>
      </c>
      <c r="LR14" s="62" t="s">
        <v>149</v>
      </c>
      <c r="LS14" s="131" t="s">
        <v>67</v>
      </c>
      <c r="LT14" s="54" t="s">
        <v>128</v>
      </c>
      <c r="LU14" s="54" t="s">
        <v>128</v>
      </c>
      <c r="LV14" s="56" t="s">
        <v>2</v>
      </c>
      <c r="LW14" s="56" t="s">
        <v>2</v>
      </c>
      <c r="LX14" s="82" t="s">
        <v>45</v>
      </c>
      <c r="LY14" s="80" t="s">
        <v>164</v>
      </c>
    </row>
    <row r="15" spans="1:358" ht="13.5" thickBot="1">
      <c r="A15" s="473"/>
      <c r="B15" s="474"/>
      <c r="C15" s="473"/>
      <c r="D15" s="473"/>
      <c r="E15" s="514"/>
      <c r="F15" s="473"/>
      <c r="G15" s="510"/>
      <c r="H15" s="473"/>
      <c r="I15" s="473"/>
      <c r="J15" s="473"/>
      <c r="K15" s="472"/>
      <c r="L15" s="508"/>
      <c r="M15" s="472"/>
      <c r="N15" s="472">
        <v>2</v>
      </c>
      <c r="O15" s="471" t="s">
        <v>296</v>
      </c>
      <c r="P15" s="148" t="s">
        <v>11</v>
      </c>
      <c r="Q15" s="126" t="s">
        <v>2</v>
      </c>
      <c r="R15" s="148" t="s">
        <v>11</v>
      </c>
      <c r="S15" s="148" t="s">
        <v>11</v>
      </c>
      <c r="T15" s="148" t="s">
        <v>10</v>
      </c>
      <c r="U15" s="126" t="s">
        <v>2</v>
      </c>
      <c r="V15" s="144" t="s">
        <v>4</v>
      </c>
      <c r="W15" s="126" t="s">
        <v>2</v>
      </c>
      <c r="X15" s="159" t="s">
        <v>8</v>
      </c>
      <c r="Y15" s="159" t="s">
        <v>8</v>
      </c>
      <c r="Z15" s="159" t="s">
        <v>8</v>
      </c>
      <c r="AA15" s="159" t="s">
        <v>8</v>
      </c>
      <c r="AB15" s="126" t="s">
        <v>2</v>
      </c>
      <c r="AC15" s="150" t="s">
        <v>183</v>
      </c>
      <c r="AD15" s="150" t="s">
        <v>15</v>
      </c>
      <c r="AE15" s="150" t="s">
        <v>15</v>
      </c>
      <c r="AF15" s="150" t="s">
        <v>15</v>
      </c>
      <c r="AG15" s="200" t="s">
        <v>2</v>
      </c>
      <c r="AH15" s="200" t="s">
        <v>2</v>
      </c>
      <c r="AI15" s="206" t="s">
        <v>8</v>
      </c>
      <c r="AJ15" s="206" t="s">
        <v>106</v>
      </c>
      <c r="AK15" s="202" t="s">
        <v>11</v>
      </c>
      <c r="AL15" s="202" t="s">
        <v>11</v>
      </c>
      <c r="AM15" s="202" t="s">
        <v>11</v>
      </c>
      <c r="AN15" s="202" t="s">
        <v>11</v>
      </c>
      <c r="AO15" s="200" t="s">
        <v>2</v>
      </c>
      <c r="AP15" s="201" t="s">
        <v>6</v>
      </c>
      <c r="AQ15" s="200" t="s">
        <v>2</v>
      </c>
      <c r="AR15" s="206" t="s">
        <v>9</v>
      </c>
      <c r="AS15" s="206" t="s">
        <v>9</v>
      </c>
      <c r="AT15" s="200" t="s">
        <v>2</v>
      </c>
      <c r="AU15" s="200" t="s">
        <v>2</v>
      </c>
      <c r="AV15" s="206" t="s">
        <v>9</v>
      </c>
      <c r="AW15" s="150" t="s">
        <v>15</v>
      </c>
      <c r="AX15" s="146" t="s">
        <v>4</v>
      </c>
      <c r="AY15" s="155" t="s">
        <v>104</v>
      </c>
      <c r="AZ15" s="206" t="s">
        <v>105</v>
      </c>
      <c r="BA15" s="206" t="s">
        <v>105</v>
      </c>
      <c r="BB15" s="200" t="s">
        <v>2</v>
      </c>
      <c r="BC15" s="200" t="s">
        <v>2</v>
      </c>
      <c r="BD15" s="204" t="s">
        <v>6</v>
      </c>
      <c r="BE15" s="204" t="s">
        <v>18</v>
      </c>
      <c r="BF15" s="204" t="s">
        <v>6</v>
      </c>
      <c r="BG15" s="204" t="s">
        <v>6</v>
      </c>
      <c r="BH15" s="204" t="s">
        <v>6</v>
      </c>
      <c r="BI15" s="136" t="s">
        <v>2</v>
      </c>
      <c r="BJ15" s="136" t="s">
        <v>2</v>
      </c>
      <c r="BK15" s="204" t="s">
        <v>6</v>
      </c>
      <c r="BL15" s="204" t="s">
        <v>18</v>
      </c>
      <c r="BM15" s="155" t="s">
        <v>104</v>
      </c>
      <c r="BN15" s="155" t="s">
        <v>104</v>
      </c>
      <c r="BO15" s="136" t="s">
        <v>2</v>
      </c>
      <c r="BP15" s="155" t="s">
        <v>104</v>
      </c>
      <c r="BQ15" s="155" t="s">
        <v>104</v>
      </c>
      <c r="BR15" s="155" t="s">
        <v>104</v>
      </c>
      <c r="BS15" s="136" t="s">
        <v>2</v>
      </c>
      <c r="BT15" s="135" t="s">
        <v>6</v>
      </c>
      <c r="BU15" s="135" t="s">
        <v>6</v>
      </c>
      <c r="BV15" s="135" t="s">
        <v>6</v>
      </c>
      <c r="BW15" s="136" t="s">
        <v>2</v>
      </c>
      <c r="BX15" s="136" t="s">
        <v>2</v>
      </c>
      <c r="BY15" s="135" t="s">
        <v>6</v>
      </c>
      <c r="BZ15" s="135" t="s">
        <v>112</v>
      </c>
      <c r="CA15" s="150" t="s">
        <v>109</v>
      </c>
      <c r="CB15" s="150" t="s">
        <v>109</v>
      </c>
      <c r="CC15" s="150" t="s">
        <v>109</v>
      </c>
      <c r="CD15" s="136" t="s">
        <v>2</v>
      </c>
      <c r="CE15" s="136" t="s">
        <v>2</v>
      </c>
      <c r="CF15" s="150" t="s">
        <v>109</v>
      </c>
      <c r="CG15" s="153" t="s">
        <v>107</v>
      </c>
      <c r="CH15" s="155" t="s">
        <v>10</v>
      </c>
      <c r="CI15" s="155" t="s">
        <v>10</v>
      </c>
      <c r="CJ15" s="155" t="s">
        <v>10</v>
      </c>
      <c r="CK15" s="136" t="s">
        <v>2</v>
      </c>
      <c r="CL15" s="136" t="s">
        <v>2</v>
      </c>
      <c r="CM15" s="150" t="s">
        <v>109</v>
      </c>
      <c r="CN15" s="146" t="s">
        <v>117</v>
      </c>
      <c r="CO15" s="136" t="s">
        <v>2</v>
      </c>
      <c r="CP15" s="153" t="s">
        <v>183</v>
      </c>
      <c r="CQ15" s="153" t="s">
        <v>183</v>
      </c>
      <c r="CR15" s="153" t="s">
        <v>183</v>
      </c>
      <c r="CS15" s="153" t="s">
        <v>183</v>
      </c>
      <c r="CT15" s="153" t="s">
        <v>183</v>
      </c>
      <c r="CU15" s="136" t="s">
        <v>2</v>
      </c>
      <c r="CV15" s="153" t="s">
        <v>183</v>
      </c>
      <c r="CW15" s="153" t="s">
        <v>183</v>
      </c>
      <c r="CX15" s="155" t="s">
        <v>10</v>
      </c>
      <c r="CY15" s="150" t="s">
        <v>109</v>
      </c>
      <c r="CZ15" s="150" t="s">
        <v>109</v>
      </c>
      <c r="DA15" s="136" t="s">
        <v>2</v>
      </c>
      <c r="DB15" s="136" t="s">
        <v>2</v>
      </c>
      <c r="DC15" s="207" t="s">
        <v>113</v>
      </c>
      <c r="DD15" s="207" t="s">
        <v>113</v>
      </c>
      <c r="DE15" s="207" t="s">
        <v>113</v>
      </c>
      <c r="DF15" s="136" t="s">
        <v>2</v>
      </c>
      <c r="DG15" s="136" t="s">
        <v>2</v>
      </c>
      <c r="DH15" s="153" t="s">
        <v>7</v>
      </c>
      <c r="DI15" s="153" t="s">
        <v>115</v>
      </c>
      <c r="DJ15" s="155" t="s">
        <v>11</v>
      </c>
      <c r="DK15" s="155" t="s">
        <v>11</v>
      </c>
      <c r="DL15" s="155" t="s">
        <v>11</v>
      </c>
      <c r="DM15" s="155" t="s">
        <v>11</v>
      </c>
      <c r="DN15" s="200" t="s">
        <v>2</v>
      </c>
      <c r="DO15" s="200" t="s">
        <v>2</v>
      </c>
      <c r="DP15" s="146" t="s">
        <v>117</v>
      </c>
      <c r="DQ15" s="207" t="s">
        <v>113</v>
      </c>
      <c r="DR15" s="210" t="s">
        <v>12</v>
      </c>
      <c r="DS15" s="210" t="s">
        <v>12</v>
      </c>
      <c r="DT15" s="200" t="s">
        <v>2</v>
      </c>
      <c r="DU15" s="200" t="s">
        <v>2</v>
      </c>
      <c r="DV15" s="206" t="s">
        <v>7</v>
      </c>
      <c r="DW15" s="206" t="s">
        <v>115</v>
      </c>
      <c r="DX15" s="200" t="s">
        <v>2</v>
      </c>
      <c r="DY15" s="135" t="s">
        <v>114</v>
      </c>
      <c r="DZ15" s="135" t="s">
        <v>114</v>
      </c>
      <c r="EA15" s="135" t="s">
        <v>114</v>
      </c>
      <c r="EB15" s="200" t="s">
        <v>2</v>
      </c>
      <c r="EC15" s="206" t="s">
        <v>7</v>
      </c>
      <c r="ED15" s="206" t="s">
        <v>115</v>
      </c>
      <c r="EE15" s="150" t="s">
        <v>118</v>
      </c>
      <c r="EF15" s="150" t="s">
        <v>118</v>
      </c>
      <c r="EG15" s="136" t="s">
        <v>2</v>
      </c>
      <c r="EH15" s="136" t="s">
        <v>2</v>
      </c>
      <c r="EI15" s="162" t="s">
        <v>297</v>
      </c>
      <c r="EJ15" s="162" t="s">
        <v>297</v>
      </c>
      <c r="EK15" s="153" t="s">
        <v>157</v>
      </c>
      <c r="EL15" s="153" t="s">
        <v>140</v>
      </c>
      <c r="EM15" s="153" t="s">
        <v>140</v>
      </c>
      <c r="EN15" s="153" t="s">
        <v>140</v>
      </c>
      <c r="EO15" s="136" t="s">
        <v>2</v>
      </c>
      <c r="EP15" s="153" t="s">
        <v>7</v>
      </c>
      <c r="EQ15" s="153" t="s">
        <v>7</v>
      </c>
      <c r="ER15" s="136" t="s">
        <v>2</v>
      </c>
      <c r="ES15" s="155" t="s">
        <v>11</v>
      </c>
      <c r="ET15" s="155" t="s">
        <v>11</v>
      </c>
      <c r="EU15" s="155" t="s">
        <v>11</v>
      </c>
      <c r="EV15" s="155" t="s">
        <v>11</v>
      </c>
      <c r="EW15" s="155" t="s">
        <v>11</v>
      </c>
      <c r="EX15" s="136" t="s">
        <v>2</v>
      </c>
      <c r="EY15" s="136" t="s">
        <v>2</v>
      </c>
      <c r="EZ15" s="153" t="s">
        <v>7</v>
      </c>
      <c r="FA15" s="153" t="s">
        <v>7</v>
      </c>
      <c r="FB15" s="136" t="s">
        <v>2</v>
      </c>
      <c r="FC15" s="136" t="s">
        <v>2</v>
      </c>
      <c r="FD15" s="210" t="s">
        <v>12</v>
      </c>
      <c r="FE15" s="210" t="s">
        <v>12</v>
      </c>
      <c r="FF15" s="146" t="s">
        <v>117</v>
      </c>
      <c r="FG15" s="136" t="s">
        <v>2</v>
      </c>
      <c r="FH15" s="136" t="s">
        <v>2</v>
      </c>
      <c r="FI15" s="153" t="s">
        <v>7</v>
      </c>
      <c r="FJ15" s="153" t="s">
        <v>7</v>
      </c>
      <c r="FK15" s="153" t="s">
        <v>7</v>
      </c>
      <c r="FL15" s="153" t="s">
        <v>7</v>
      </c>
      <c r="FM15" s="135" t="s">
        <v>116</v>
      </c>
      <c r="FN15" s="136" t="s">
        <v>2</v>
      </c>
      <c r="FO15" s="155" t="s">
        <v>11</v>
      </c>
      <c r="FP15" s="155" t="s">
        <v>11</v>
      </c>
      <c r="FQ15" s="155" t="s">
        <v>11</v>
      </c>
      <c r="FR15" s="155" t="s">
        <v>11</v>
      </c>
      <c r="FS15" s="155" t="s">
        <v>11</v>
      </c>
      <c r="FT15" s="136" t="s">
        <v>2</v>
      </c>
      <c r="FU15" s="153" t="s">
        <v>7</v>
      </c>
      <c r="FV15" s="153" t="s">
        <v>7</v>
      </c>
      <c r="FW15" s="153" t="s">
        <v>7</v>
      </c>
      <c r="FX15" s="153" t="s">
        <v>7</v>
      </c>
      <c r="FY15" s="153" t="s">
        <v>7</v>
      </c>
      <c r="FZ15" s="136" t="s">
        <v>2</v>
      </c>
      <c r="GA15" s="136" t="s">
        <v>2</v>
      </c>
      <c r="GB15" s="155" t="s">
        <v>11</v>
      </c>
      <c r="GC15" s="155" t="s">
        <v>11</v>
      </c>
      <c r="GD15" s="155" t="s">
        <v>11</v>
      </c>
      <c r="GE15" s="155" t="s">
        <v>11</v>
      </c>
      <c r="GF15" s="136" t="s">
        <v>2</v>
      </c>
      <c r="GG15" s="136" t="s">
        <v>2</v>
      </c>
      <c r="GH15" s="146" t="s">
        <v>3</v>
      </c>
      <c r="GI15" s="128" t="s">
        <v>128</v>
      </c>
      <c r="GJ15" s="128" t="s">
        <v>128</v>
      </c>
      <c r="GK15" s="128" t="s">
        <v>128</v>
      </c>
      <c r="GL15" s="128" t="s">
        <v>141</v>
      </c>
      <c r="GM15" s="98" t="s">
        <v>124</v>
      </c>
      <c r="GN15" s="129" t="s">
        <v>2</v>
      </c>
      <c r="GO15" s="129" t="s">
        <v>2</v>
      </c>
      <c r="GP15" s="98" t="s">
        <v>124</v>
      </c>
      <c r="GQ15" s="98" t="s">
        <v>124</v>
      </c>
      <c r="GR15" s="129" t="s">
        <v>2</v>
      </c>
      <c r="GS15" s="129" t="s">
        <v>2</v>
      </c>
      <c r="GT15" s="209" t="s">
        <v>122</v>
      </c>
      <c r="GU15" s="98" t="s">
        <v>124</v>
      </c>
      <c r="GV15" s="62" t="s">
        <v>144</v>
      </c>
      <c r="GW15" s="129" t="s">
        <v>2</v>
      </c>
      <c r="GX15" s="209" t="s">
        <v>122</v>
      </c>
      <c r="GY15" s="141" t="s">
        <v>120</v>
      </c>
      <c r="GZ15" s="98" t="s">
        <v>124</v>
      </c>
      <c r="HA15" s="209" t="s">
        <v>122</v>
      </c>
      <c r="HB15" s="141" t="s">
        <v>120</v>
      </c>
      <c r="HC15" s="129" t="s">
        <v>2</v>
      </c>
      <c r="HD15" s="209" t="s">
        <v>122</v>
      </c>
      <c r="HE15" s="141" t="s">
        <v>120</v>
      </c>
      <c r="HF15" s="131" t="s">
        <v>63</v>
      </c>
      <c r="HG15" s="131" t="s">
        <v>63</v>
      </c>
      <c r="HH15" s="129" t="s">
        <v>2</v>
      </c>
      <c r="HI15" s="129" t="s">
        <v>2</v>
      </c>
      <c r="HJ15" s="141" t="s">
        <v>184</v>
      </c>
      <c r="HK15" s="81" t="s">
        <v>122</v>
      </c>
      <c r="HL15" s="81" t="s">
        <v>122</v>
      </c>
      <c r="HM15" s="56" t="s">
        <v>2</v>
      </c>
      <c r="HN15" s="58" t="s">
        <v>63</v>
      </c>
      <c r="HO15" s="65" t="s">
        <v>190</v>
      </c>
      <c r="HP15" s="56" t="s">
        <v>2</v>
      </c>
      <c r="HQ15" s="62" t="s">
        <v>145</v>
      </c>
      <c r="HR15" s="58" t="s">
        <v>45</v>
      </c>
      <c r="HS15" s="56" t="s">
        <v>2</v>
      </c>
      <c r="HT15" s="56" t="s">
        <v>2</v>
      </c>
      <c r="HU15" s="55" t="s">
        <v>162</v>
      </c>
      <c r="HV15" s="55" t="s">
        <v>162</v>
      </c>
      <c r="HW15" s="55" t="s">
        <v>162</v>
      </c>
      <c r="HX15" s="54" t="s">
        <v>54</v>
      </c>
      <c r="HY15" s="54" t="s">
        <v>128</v>
      </c>
      <c r="HZ15" s="56" t="s">
        <v>2</v>
      </c>
      <c r="IA15" s="56" t="s">
        <v>2</v>
      </c>
      <c r="IB15" s="54" t="s">
        <v>128</v>
      </c>
      <c r="IC15" s="54" t="s">
        <v>128</v>
      </c>
      <c r="ID15" s="54" t="s">
        <v>128</v>
      </c>
      <c r="IE15" s="54" t="s">
        <v>128</v>
      </c>
      <c r="IF15" s="54" t="s">
        <v>128</v>
      </c>
      <c r="IG15" s="56" t="s">
        <v>2</v>
      </c>
      <c r="IH15" s="58" t="s">
        <v>67</v>
      </c>
      <c r="II15" s="58" t="s">
        <v>67</v>
      </c>
      <c r="IJ15" s="58" t="s">
        <v>67</v>
      </c>
      <c r="IK15" s="56" t="s">
        <v>2</v>
      </c>
      <c r="IL15" s="80" t="s">
        <v>164</v>
      </c>
      <c r="IM15" s="80" t="s">
        <v>119</v>
      </c>
      <c r="IN15" s="80" t="s">
        <v>119</v>
      </c>
      <c r="IO15" s="80" t="s">
        <v>119</v>
      </c>
      <c r="IP15" s="80" t="s">
        <v>119</v>
      </c>
      <c r="IQ15" s="54" t="s">
        <v>128</v>
      </c>
      <c r="IR15" s="56" t="s">
        <v>2</v>
      </c>
      <c r="IS15" s="56" t="s">
        <v>2</v>
      </c>
      <c r="IT15" s="56" t="s">
        <v>2</v>
      </c>
      <c r="IU15" s="56" t="s">
        <v>2</v>
      </c>
      <c r="IV15" s="54" t="s">
        <v>128</v>
      </c>
      <c r="IW15" s="81" t="s">
        <v>146</v>
      </c>
      <c r="IX15" s="55" t="s">
        <v>126</v>
      </c>
      <c r="IY15" s="58" t="s">
        <v>67</v>
      </c>
      <c r="IZ15" s="62" t="s">
        <v>149</v>
      </c>
      <c r="JA15" s="102" t="s">
        <v>27</v>
      </c>
      <c r="JB15" s="102" t="s">
        <v>27</v>
      </c>
      <c r="JC15" s="102" t="s">
        <v>27</v>
      </c>
      <c r="JD15" s="102" t="s">
        <v>27</v>
      </c>
      <c r="JE15" s="56" t="s">
        <v>130</v>
      </c>
      <c r="JF15" s="56" t="s">
        <v>2</v>
      </c>
      <c r="JG15" s="56" t="s">
        <v>2</v>
      </c>
      <c r="JH15" s="102" t="s">
        <v>27</v>
      </c>
      <c r="JI15" s="102" t="s">
        <v>27</v>
      </c>
      <c r="JJ15" s="55" t="s">
        <v>126</v>
      </c>
      <c r="JK15" s="56" t="s">
        <v>2</v>
      </c>
      <c r="JL15" s="56" t="s">
        <v>2</v>
      </c>
      <c r="JM15" s="55" t="s">
        <v>126</v>
      </c>
      <c r="JN15" s="62" t="s">
        <v>149</v>
      </c>
      <c r="JO15" s="56" t="s">
        <v>2</v>
      </c>
      <c r="JP15" s="58" t="s">
        <v>67</v>
      </c>
      <c r="JQ15" s="55" t="s">
        <v>126</v>
      </c>
      <c r="JR15" s="58" t="s">
        <v>54</v>
      </c>
      <c r="JS15" s="55" t="s">
        <v>126</v>
      </c>
      <c r="JT15" s="55" t="s">
        <v>126</v>
      </c>
      <c r="JU15" s="56" t="s">
        <v>2</v>
      </c>
      <c r="JV15" s="80" t="s">
        <v>119</v>
      </c>
      <c r="JW15" s="80" t="s">
        <v>119</v>
      </c>
      <c r="JX15" s="80" t="s">
        <v>119</v>
      </c>
      <c r="JY15" s="80" t="s">
        <v>119</v>
      </c>
      <c r="JZ15" s="80" t="s">
        <v>119</v>
      </c>
      <c r="KA15" s="56" t="s">
        <v>2</v>
      </c>
      <c r="KB15" s="56" t="s">
        <v>2</v>
      </c>
      <c r="KC15" s="55" t="s">
        <v>126</v>
      </c>
      <c r="KD15" s="56" t="s">
        <v>2</v>
      </c>
      <c r="KE15" s="56" t="s">
        <v>2</v>
      </c>
      <c r="KF15" s="58" t="s">
        <v>67</v>
      </c>
      <c r="KG15" s="81" t="s">
        <v>146</v>
      </c>
      <c r="KH15" s="81" t="s">
        <v>146</v>
      </c>
      <c r="KI15" s="62" t="s">
        <v>149</v>
      </c>
      <c r="KJ15" s="55" t="s">
        <v>126</v>
      </c>
      <c r="KK15" s="56" t="s">
        <v>2</v>
      </c>
      <c r="KL15" s="56" t="s">
        <v>2</v>
      </c>
      <c r="KM15" s="58" t="s">
        <v>67</v>
      </c>
      <c r="KN15" s="81" t="s">
        <v>146</v>
      </c>
      <c r="KO15" s="80" t="s">
        <v>119</v>
      </c>
      <c r="KP15" s="62" t="s">
        <v>149</v>
      </c>
      <c r="KQ15" s="82" t="s">
        <v>45</v>
      </c>
      <c r="KR15" s="56" t="s">
        <v>2</v>
      </c>
      <c r="KS15" s="56" t="s">
        <v>2</v>
      </c>
      <c r="KT15" s="81" t="s">
        <v>146</v>
      </c>
      <c r="KU15" s="81" t="s">
        <v>146</v>
      </c>
      <c r="KV15" s="81" t="s">
        <v>129</v>
      </c>
      <c r="KW15" s="62" t="s">
        <v>149</v>
      </c>
      <c r="KX15" s="56" t="s">
        <v>2</v>
      </c>
      <c r="KY15" s="55" t="s">
        <v>126</v>
      </c>
      <c r="KZ15" s="55" t="s">
        <v>126</v>
      </c>
      <c r="LA15" s="56" t="s">
        <v>2</v>
      </c>
      <c r="LB15" s="55" t="s">
        <v>126</v>
      </c>
      <c r="LC15" s="55" t="s">
        <v>126</v>
      </c>
      <c r="LD15" s="131" t="s">
        <v>54</v>
      </c>
      <c r="LE15" s="102" t="s">
        <v>27</v>
      </c>
      <c r="LF15" s="102" t="s">
        <v>27</v>
      </c>
      <c r="LG15" s="102" t="s">
        <v>27</v>
      </c>
      <c r="LH15" s="102" t="s">
        <v>27</v>
      </c>
      <c r="LI15" s="102" t="s">
        <v>27</v>
      </c>
      <c r="LJ15" s="129" t="s">
        <v>2</v>
      </c>
      <c r="LK15" s="129" t="s">
        <v>2</v>
      </c>
      <c r="LL15" s="102" t="s">
        <v>27</v>
      </c>
      <c r="LM15" s="102" t="s">
        <v>27</v>
      </c>
      <c r="LN15" s="102" t="s">
        <v>27</v>
      </c>
      <c r="LO15" s="102" t="s">
        <v>27</v>
      </c>
      <c r="LP15" s="102" t="s">
        <v>27</v>
      </c>
      <c r="LQ15" s="129" t="s">
        <v>2</v>
      </c>
      <c r="LR15" s="129" t="s">
        <v>2</v>
      </c>
      <c r="LS15" s="55" t="s">
        <v>126</v>
      </c>
      <c r="LT15" s="81" t="s">
        <v>129</v>
      </c>
      <c r="LU15" s="81" t="s">
        <v>129</v>
      </c>
      <c r="LV15" s="81" t="s">
        <v>129</v>
      </c>
      <c r="LW15" s="81" t="s">
        <v>129</v>
      </c>
      <c r="LX15" s="56" t="s">
        <v>2</v>
      </c>
      <c r="LY15" s="56" t="s">
        <v>2</v>
      </c>
    </row>
    <row r="16" spans="1:358" ht="13.5" thickBot="1">
      <c r="A16" s="473"/>
      <c r="B16" s="473"/>
      <c r="C16" s="473"/>
      <c r="D16" s="508"/>
      <c r="E16" s="508"/>
      <c r="F16" s="473"/>
      <c r="G16" s="473"/>
      <c r="H16" s="473"/>
      <c r="I16" s="473"/>
      <c r="J16" s="514"/>
      <c r="K16" s="472"/>
      <c r="L16" s="472"/>
      <c r="M16" s="472"/>
      <c r="N16" s="472">
        <v>3</v>
      </c>
      <c r="O16" s="471" t="s">
        <v>298</v>
      </c>
      <c r="P16" s="159" t="s">
        <v>8</v>
      </c>
      <c r="Q16" s="126" t="s">
        <v>2</v>
      </c>
      <c r="R16" s="159" t="s">
        <v>8</v>
      </c>
      <c r="S16" s="159" t="s">
        <v>8</v>
      </c>
      <c r="T16" s="159" t="s">
        <v>8</v>
      </c>
      <c r="U16" s="159" t="s">
        <v>8</v>
      </c>
      <c r="V16" s="126" t="s">
        <v>2</v>
      </c>
      <c r="W16" s="127" t="s">
        <v>12</v>
      </c>
      <c r="X16" s="127" t="s">
        <v>12</v>
      </c>
      <c r="Y16" s="148" t="s">
        <v>11</v>
      </c>
      <c r="Z16" s="148" t="s">
        <v>11</v>
      </c>
      <c r="AA16" s="127" t="s">
        <v>12</v>
      </c>
      <c r="AB16" s="126" t="s">
        <v>2</v>
      </c>
      <c r="AC16" s="126" t="s">
        <v>2</v>
      </c>
      <c r="AD16" s="200" t="s">
        <v>2</v>
      </c>
      <c r="AE16" s="201" t="s">
        <v>5</v>
      </c>
      <c r="AF16" s="201" t="s">
        <v>5</v>
      </c>
      <c r="AG16" s="202" t="s">
        <v>11</v>
      </c>
      <c r="AH16" s="202" t="s">
        <v>11</v>
      </c>
      <c r="AI16" s="202" t="s">
        <v>10</v>
      </c>
      <c r="AJ16" s="200" t="s">
        <v>2</v>
      </c>
      <c r="AK16" s="150" t="s">
        <v>16</v>
      </c>
      <c r="AL16" s="150" t="s">
        <v>16</v>
      </c>
      <c r="AM16" s="150" t="s">
        <v>16</v>
      </c>
      <c r="AN16" s="200" t="s">
        <v>2</v>
      </c>
      <c r="AO16" s="200" t="s">
        <v>2</v>
      </c>
      <c r="AP16" s="206" t="s">
        <v>8</v>
      </c>
      <c r="AQ16" s="206" t="s">
        <v>106</v>
      </c>
      <c r="AR16" s="155" t="s">
        <v>11</v>
      </c>
      <c r="AS16" s="155" t="s">
        <v>11</v>
      </c>
      <c r="AT16" s="155" t="s">
        <v>11</v>
      </c>
      <c r="AU16" s="200" t="s">
        <v>2</v>
      </c>
      <c r="AV16" s="200" t="s">
        <v>2</v>
      </c>
      <c r="AW16" s="206" t="s">
        <v>105</v>
      </c>
      <c r="AX16" s="206" t="s">
        <v>283</v>
      </c>
      <c r="AY16" s="200" t="s">
        <v>2</v>
      </c>
      <c r="AZ16" s="206" t="s">
        <v>105</v>
      </c>
      <c r="BA16" s="206" t="s">
        <v>105</v>
      </c>
      <c r="BB16" s="206" t="s">
        <v>105</v>
      </c>
      <c r="BC16" s="206" t="s">
        <v>105</v>
      </c>
      <c r="BD16" s="206" t="s">
        <v>105</v>
      </c>
      <c r="BE16" s="200" t="s">
        <v>2</v>
      </c>
      <c r="BF16" s="155" t="s">
        <v>104</v>
      </c>
      <c r="BG16" s="155" t="s">
        <v>104</v>
      </c>
      <c r="BH16" s="155" t="s">
        <v>104</v>
      </c>
      <c r="BI16" s="155" t="s">
        <v>104</v>
      </c>
      <c r="BJ16" s="136" t="s">
        <v>2</v>
      </c>
      <c r="BK16" s="136" t="s">
        <v>2</v>
      </c>
      <c r="BL16" s="206" t="s">
        <v>283</v>
      </c>
      <c r="BM16" s="153" t="s">
        <v>105</v>
      </c>
      <c r="BN16" s="153" t="s">
        <v>105</v>
      </c>
      <c r="BO16" s="153" t="s">
        <v>105</v>
      </c>
      <c r="BP16" s="136" t="s">
        <v>2</v>
      </c>
      <c r="BQ16" s="136" t="s">
        <v>2</v>
      </c>
      <c r="BR16" s="153" t="s">
        <v>105</v>
      </c>
      <c r="BS16" s="146" t="s">
        <v>3</v>
      </c>
      <c r="BT16" s="210" t="s">
        <v>132</v>
      </c>
      <c r="BU16" s="210" t="s">
        <v>132</v>
      </c>
      <c r="BV16" s="136" t="s">
        <v>2</v>
      </c>
      <c r="BW16" s="210" t="s">
        <v>132</v>
      </c>
      <c r="BX16" s="210" t="s">
        <v>132</v>
      </c>
      <c r="BY16" s="210" t="s">
        <v>132</v>
      </c>
      <c r="BZ16" s="136" t="s">
        <v>2</v>
      </c>
      <c r="CA16" s="153" t="s">
        <v>183</v>
      </c>
      <c r="CB16" s="153" t="s">
        <v>183</v>
      </c>
      <c r="CC16" s="153" t="s">
        <v>183</v>
      </c>
      <c r="CD16" s="153" t="s">
        <v>183</v>
      </c>
      <c r="CE16" s="153" t="s">
        <v>183</v>
      </c>
      <c r="CF16" s="136" t="s">
        <v>2</v>
      </c>
      <c r="CG16" s="136" t="s">
        <v>2</v>
      </c>
      <c r="CH16" s="155" t="s">
        <v>10</v>
      </c>
      <c r="CI16" s="155" t="s">
        <v>10</v>
      </c>
      <c r="CJ16" s="155" t="s">
        <v>10</v>
      </c>
      <c r="CK16" s="136" t="s">
        <v>2</v>
      </c>
      <c r="CL16" s="136" t="s">
        <v>2</v>
      </c>
      <c r="CM16" s="155" t="s">
        <v>10</v>
      </c>
      <c r="CN16" s="146" t="s">
        <v>117</v>
      </c>
      <c r="CO16" s="135" t="s">
        <v>108</v>
      </c>
      <c r="CP16" s="135" t="s">
        <v>108</v>
      </c>
      <c r="CQ16" s="135" t="s">
        <v>108</v>
      </c>
      <c r="CR16" s="135" t="s">
        <v>108</v>
      </c>
      <c r="CS16" s="135" t="s">
        <v>108</v>
      </c>
      <c r="CT16" s="136" t="s">
        <v>2</v>
      </c>
      <c r="CU16" s="136" t="s">
        <v>2</v>
      </c>
      <c r="CV16" s="150" t="s">
        <v>109</v>
      </c>
      <c r="CW16" s="150" t="s">
        <v>109</v>
      </c>
      <c r="CX16" s="150" t="s">
        <v>109</v>
      </c>
      <c r="CY16" s="153" t="s">
        <v>183</v>
      </c>
      <c r="CZ16" s="153" t="s">
        <v>183</v>
      </c>
      <c r="DA16" s="136" t="s">
        <v>2</v>
      </c>
      <c r="DB16" s="136" t="s">
        <v>2</v>
      </c>
      <c r="DC16" s="135" t="s">
        <v>114</v>
      </c>
      <c r="DD16" s="136" t="s">
        <v>2</v>
      </c>
      <c r="DE16" s="155" t="s">
        <v>11</v>
      </c>
      <c r="DF16" s="155" t="s">
        <v>11</v>
      </c>
      <c r="DG16" s="155" t="s">
        <v>11</v>
      </c>
      <c r="DH16" s="153" t="s">
        <v>7</v>
      </c>
      <c r="DI16" s="136" t="s">
        <v>2</v>
      </c>
      <c r="DJ16" s="206" t="s">
        <v>7</v>
      </c>
      <c r="DK16" s="206" t="s">
        <v>7</v>
      </c>
      <c r="DL16" s="206" t="s">
        <v>7</v>
      </c>
      <c r="DM16" s="206" t="s">
        <v>7</v>
      </c>
      <c r="DN16" s="155" t="s">
        <v>11</v>
      </c>
      <c r="DO16" s="200" t="s">
        <v>2</v>
      </c>
      <c r="DP16" s="200" t="s">
        <v>2</v>
      </c>
      <c r="DQ16" s="155" t="s">
        <v>11</v>
      </c>
      <c r="DR16" s="155" t="s">
        <v>11</v>
      </c>
      <c r="DS16" s="200" t="s">
        <v>2</v>
      </c>
      <c r="DT16" s="200" t="s">
        <v>2</v>
      </c>
      <c r="DU16" s="155" t="s">
        <v>11</v>
      </c>
      <c r="DV16" s="155" t="s">
        <v>11</v>
      </c>
      <c r="DW16" s="146" t="s">
        <v>117</v>
      </c>
      <c r="DX16" s="135" t="s">
        <v>114</v>
      </c>
      <c r="DY16" s="200" t="s">
        <v>2</v>
      </c>
      <c r="DZ16" s="206" t="s">
        <v>7</v>
      </c>
      <c r="EA16" s="206" t="s">
        <v>7</v>
      </c>
      <c r="EB16" s="206" t="s">
        <v>7</v>
      </c>
      <c r="EC16" s="200" t="s">
        <v>2</v>
      </c>
      <c r="ED16" s="146" t="s">
        <v>117</v>
      </c>
      <c r="EE16" s="155" t="s">
        <v>11</v>
      </c>
      <c r="EF16" s="155" t="s">
        <v>11</v>
      </c>
      <c r="EG16" s="155" t="s">
        <v>11</v>
      </c>
      <c r="EH16" s="136" t="s">
        <v>2</v>
      </c>
      <c r="EI16" s="155" t="s">
        <v>11</v>
      </c>
      <c r="EJ16" s="155" t="s">
        <v>11</v>
      </c>
      <c r="EK16" s="136" t="s">
        <v>2</v>
      </c>
      <c r="EL16" s="153" t="s">
        <v>7</v>
      </c>
      <c r="EM16" s="153" t="s">
        <v>7</v>
      </c>
      <c r="EN16" s="153" t="s">
        <v>7</v>
      </c>
      <c r="EO16" s="153" t="s">
        <v>157</v>
      </c>
      <c r="EP16" s="150" t="s">
        <v>118</v>
      </c>
      <c r="EQ16" s="136" t="s">
        <v>2</v>
      </c>
      <c r="ER16" s="136" t="s">
        <v>2</v>
      </c>
      <c r="ES16" s="155" t="s">
        <v>11</v>
      </c>
      <c r="ET16" s="155" t="s">
        <v>11</v>
      </c>
      <c r="EU16" s="136" t="s">
        <v>2</v>
      </c>
      <c r="EV16" s="136" t="s">
        <v>2</v>
      </c>
      <c r="EW16" s="153" t="s">
        <v>7</v>
      </c>
      <c r="EX16" s="153" t="s">
        <v>7</v>
      </c>
      <c r="EY16" s="153" t="s">
        <v>115</v>
      </c>
      <c r="EZ16" s="150" t="s">
        <v>118</v>
      </c>
      <c r="FA16" s="136" t="s">
        <v>2</v>
      </c>
      <c r="FB16" s="153" t="s">
        <v>7</v>
      </c>
      <c r="FC16" s="153" t="s">
        <v>7</v>
      </c>
      <c r="FD16" s="153" t="s">
        <v>7</v>
      </c>
      <c r="FE16" s="153" t="s">
        <v>7</v>
      </c>
      <c r="FF16" s="136" t="s">
        <v>2</v>
      </c>
      <c r="FG16" s="150" t="s">
        <v>118</v>
      </c>
      <c r="FH16" s="150" t="s">
        <v>118</v>
      </c>
      <c r="FI16" s="150" t="s">
        <v>118</v>
      </c>
      <c r="FJ16" s="150" t="s">
        <v>118</v>
      </c>
      <c r="FK16" s="150" t="s">
        <v>118</v>
      </c>
      <c r="FL16" s="136" t="s">
        <v>2</v>
      </c>
      <c r="FM16" s="136" t="s">
        <v>2</v>
      </c>
      <c r="FN16" s="211" t="s">
        <v>27</v>
      </c>
      <c r="FO16" s="211" t="s">
        <v>27</v>
      </c>
      <c r="FP16" s="211" t="s">
        <v>27</v>
      </c>
      <c r="FQ16" s="211" t="s">
        <v>27</v>
      </c>
      <c r="FR16" s="211" t="s">
        <v>27</v>
      </c>
      <c r="FS16" s="136" t="s">
        <v>2</v>
      </c>
      <c r="FT16" s="136" t="s">
        <v>2</v>
      </c>
      <c r="FU16" s="155" t="s">
        <v>11</v>
      </c>
      <c r="FV16" s="155" t="s">
        <v>11</v>
      </c>
      <c r="FW16" s="155" t="s">
        <v>11</v>
      </c>
      <c r="FX16" s="155" t="s">
        <v>11</v>
      </c>
      <c r="FY16" s="155" t="s">
        <v>11</v>
      </c>
      <c r="FZ16" s="136" t="s">
        <v>2</v>
      </c>
      <c r="GA16" s="136" t="s">
        <v>2</v>
      </c>
      <c r="GB16" s="150" t="s">
        <v>118</v>
      </c>
      <c r="GC16" s="150" t="s">
        <v>118</v>
      </c>
      <c r="GD16" s="136" t="s">
        <v>2</v>
      </c>
      <c r="GE16" s="136" t="s">
        <v>2</v>
      </c>
      <c r="GF16" s="150" t="s">
        <v>118</v>
      </c>
      <c r="GG16" s="150" t="s">
        <v>118</v>
      </c>
      <c r="GH16" s="146" t="s">
        <v>3</v>
      </c>
      <c r="GI16" s="129" t="s">
        <v>2</v>
      </c>
      <c r="GJ16" s="131" t="s">
        <v>67</v>
      </c>
      <c r="GK16" s="131" t="s">
        <v>67</v>
      </c>
      <c r="GL16" s="131" t="s">
        <v>63</v>
      </c>
      <c r="GM16" s="212" t="s">
        <v>61</v>
      </c>
      <c r="GN16" s="212" t="s">
        <v>61</v>
      </c>
      <c r="GO16" s="129" t="s">
        <v>2</v>
      </c>
      <c r="GP16" s="128" t="s">
        <v>123</v>
      </c>
      <c r="GQ16" s="209" t="s">
        <v>122</v>
      </c>
      <c r="GR16" s="98" t="s">
        <v>124</v>
      </c>
      <c r="GS16" s="131" t="s">
        <v>63</v>
      </c>
      <c r="GT16" s="128" t="s">
        <v>123</v>
      </c>
      <c r="GU16" s="129" t="s">
        <v>2</v>
      </c>
      <c r="GV16" s="129" t="s">
        <v>2</v>
      </c>
      <c r="GW16" s="131" t="s">
        <v>63</v>
      </c>
      <c r="GX16" s="131" t="s">
        <v>63</v>
      </c>
      <c r="GY16" s="131" t="s">
        <v>63</v>
      </c>
      <c r="GZ16" s="209" t="s">
        <v>122</v>
      </c>
      <c r="HA16" s="129" t="s">
        <v>2</v>
      </c>
      <c r="HB16" s="129" t="s">
        <v>2</v>
      </c>
      <c r="HC16" s="62" t="s">
        <v>144</v>
      </c>
      <c r="HD16" s="209" t="s">
        <v>122</v>
      </c>
      <c r="HE16" s="129" t="s">
        <v>2</v>
      </c>
      <c r="HF16" s="141" t="s">
        <v>120</v>
      </c>
      <c r="HG16" s="209" t="s">
        <v>122</v>
      </c>
      <c r="HH16" s="154" t="s">
        <v>299</v>
      </c>
      <c r="HI16" s="212" t="s">
        <v>300</v>
      </c>
      <c r="HJ16" s="129" t="s">
        <v>2</v>
      </c>
      <c r="HK16" s="55" t="s">
        <v>124</v>
      </c>
      <c r="HL16" s="54" t="s">
        <v>301</v>
      </c>
      <c r="HM16" s="54" t="s">
        <v>301</v>
      </c>
      <c r="HN16" s="54" t="s">
        <v>301</v>
      </c>
      <c r="HO16" s="55" t="s">
        <v>125</v>
      </c>
      <c r="HP16" s="56" t="s">
        <v>2</v>
      </c>
      <c r="HQ16" s="56" t="s">
        <v>2</v>
      </c>
      <c r="HR16" s="55" t="s">
        <v>162</v>
      </c>
      <c r="HS16" s="58" t="s">
        <v>45</v>
      </c>
      <c r="HT16" s="56" t="s">
        <v>2</v>
      </c>
      <c r="HU16" s="56" t="s">
        <v>2</v>
      </c>
      <c r="HV16" s="81" t="s">
        <v>129</v>
      </c>
      <c r="HW16" s="80" t="s">
        <v>147</v>
      </c>
      <c r="HX16" s="62" t="s">
        <v>149</v>
      </c>
      <c r="HY16" s="56" t="s">
        <v>2</v>
      </c>
      <c r="HZ16" s="54" t="s">
        <v>128</v>
      </c>
      <c r="IA16" s="54" t="s">
        <v>128</v>
      </c>
      <c r="IB16" s="54" t="s">
        <v>128</v>
      </c>
      <c r="IC16" s="54" t="s">
        <v>128</v>
      </c>
      <c r="ID16" s="117" t="s">
        <v>273</v>
      </c>
      <c r="IE16" s="56" t="s">
        <v>2</v>
      </c>
      <c r="IF16" s="90" t="s">
        <v>274</v>
      </c>
      <c r="IG16" s="58" t="s">
        <v>67</v>
      </c>
      <c r="IH16" s="56" t="s">
        <v>2</v>
      </c>
      <c r="II16" s="56" t="s">
        <v>2</v>
      </c>
      <c r="IJ16" s="82" t="s">
        <v>45</v>
      </c>
      <c r="IK16" s="80" t="s">
        <v>119</v>
      </c>
      <c r="IL16" s="62" t="s">
        <v>149</v>
      </c>
      <c r="IM16" s="58" t="s">
        <v>67</v>
      </c>
      <c r="IN16" s="58" t="s">
        <v>187</v>
      </c>
      <c r="IO16" s="56" t="s">
        <v>2</v>
      </c>
      <c r="IP16" s="58" t="s">
        <v>67</v>
      </c>
      <c r="IQ16" s="80" t="s">
        <v>119</v>
      </c>
      <c r="IR16" s="56" t="s">
        <v>2</v>
      </c>
      <c r="IS16" s="80" t="s">
        <v>164</v>
      </c>
      <c r="IT16" s="54" t="s">
        <v>128</v>
      </c>
      <c r="IU16" s="81" t="s">
        <v>129</v>
      </c>
      <c r="IV16" s="81" t="s">
        <v>129</v>
      </c>
      <c r="IW16" s="56" t="s">
        <v>2</v>
      </c>
      <c r="IX16" s="54" t="s">
        <v>128</v>
      </c>
      <c r="IY16" s="54" t="s">
        <v>128</v>
      </c>
      <c r="IZ16" s="56" t="s">
        <v>2</v>
      </c>
      <c r="JA16" s="56" t="s">
        <v>2</v>
      </c>
      <c r="JB16" s="55" t="s">
        <v>126</v>
      </c>
      <c r="JC16" s="55" t="s">
        <v>126</v>
      </c>
      <c r="JD16" s="55" t="s">
        <v>126</v>
      </c>
      <c r="JE16" s="56" t="s">
        <v>2</v>
      </c>
      <c r="JF16" s="55" t="s">
        <v>126</v>
      </c>
      <c r="JG16" s="62" t="s">
        <v>149</v>
      </c>
      <c r="JH16" s="56" t="s">
        <v>2</v>
      </c>
      <c r="JI16" s="54" t="s">
        <v>128</v>
      </c>
      <c r="JJ16" s="54" t="s">
        <v>128</v>
      </c>
      <c r="JK16" s="54" t="s">
        <v>128</v>
      </c>
      <c r="JL16" s="54" t="s">
        <v>128</v>
      </c>
      <c r="JM16" s="56" t="s">
        <v>2</v>
      </c>
      <c r="JN16" s="62" t="s">
        <v>149</v>
      </c>
      <c r="JO16" s="82" t="s">
        <v>45</v>
      </c>
      <c r="JP16" s="54" t="s">
        <v>128</v>
      </c>
      <c r="JQ16" s="54" t="s">
        <v>128</v>
      </c>
      <c r="JR16" s="82" t="s">
        <v>45</v>
      </c>
      <c r="JS16" s="58" t="s">
        <v>67</v>
      </c>
      <c r="JT16" s="56" t="s">
        <v>2</v>
      </c>
      <c r="JU16" s="56" t="s">
        <v>2</v>
      </c>
      <c r="JV16" s="81" t="s">
        <v>129</v>
      </c>
      <c r="JW16" s="81" t="s">
        <v>129</v>
      </c>
      <c r="JX16" s="81" t="s">
        <v>129</v>
      </c>
      <c r="JY16" s="81" t="s">
        <v>129</v>
      </c>
      <c r="JZ16" s="81" t="s">
        <v>129</v>
      </c>
      <c r="KA16" s="56" t="s">
        <v>2</v>
      </c>
      <c r="KB16" s="56" t="s">
        <v>2</v>
      </c>
      <c r="KC16" s="54" t="s">
        <v>128</v>
      </c>
      <c r="KD16" s="54" t="s">
        <v>128</v>
      </c>
      <c r="KE16" s="54" t="s">
        <v>128</v>
      </c>
      <c r="KF16" s="54" t="s">
        <v>128</v>
      </c>
      <c r="KG16" s="56" t="s">
        <v>2</v>
      </c>
      <c r="KH16" s="56" t="s">
        <v>2</v>
      </c>
      <c r="KI16" s="62" t="s">
        <v>149</v>
      </c>
      <c r="KJ16" s="82" t="s">
        <v>45</v>
      </c>
      <c r="KK16" s="56" t="s">
        <v>2</v>
      </c>
      <c r="KL16" s="56" t="s">
        <v>2</v>
      </c>
      <c r="KM16" s="81" t="s">
        <v>146</v>
      </c>
      <c r="KN16" s="81" t="s">
        <v>146</v>
      </c>
      <c r="KO16" s="81" t="s">
        <v>129</v>
      </c>
      <c r="KP16" s="62" t="s">
        <v>149</v>
      </c>
      <c r="KQ16" s="58" t="s">
        <v>67</v>
      </c>
      <c r="KR16" s="56" t="s">
        <v>2</v>
      </c>
      <c r="KS16" s="56" t="s">
        <v>2</v>
      </c>
      <c r="KT16" s="54" t="s">
        <v>128</v>
      </c>
      <c r="KU16" s="81" t="s">
        <v>146</v>
      </c>
      <c r="KV16" s="81" t="s">
        <v>146</v>
      </c>
      <c r="KW16" s="62" t="s">
        <v>149</v>
      </c>
      <c r="KX16" s="82" t="s">
        <v>45</v>
      </c>
      <c r="KY16" s="58" t="s">
        <v>67</v>
      </c>
      <c r="KZ16" s="56" t="s">
        <v>2</v>
      </c>
      <c r="LA16" s="55" t="s">
        <v>126</v>
      </c>
      <c r="LB16" s="58" t="s">
        <v>67</v>
      </c>
      <c r="LC16" s="58" t="s">
        <v>67</v>
      </c>
      <c r="LD16" s="56" t="s">
        <v>2</v>
      </c>
      <c r="LE16" s="80" t="s">
        <v>119</v>
      </c>
      <c r="LF16" s="80" t="s">
        <v>119</v>
      </c>
      <c r="LG16" s="80" t="s">
        <v>119</v>
      </c>
      <c r="LH16" s="80" t="s">
        <v>119</v>
      </c>
      <c r="LI16" s="80" t="s">
        <v>119</v>
      </c>
      <c r="LJ16" s="56" t="s">
        <v>2</v>
      </c>
      <c r="LK16" s="56" t="s">
        <v>2</v>
      </c>
      <c r="LL16" s="54" t="s">
        <v>128</v>
      </c>
      <c r="LM16" s="56" t="s">
        <v>2</v>
      </c>
      <c r="LN16" s="56" t="s">
        <v>2</v>
      </c>
      <c r="LO16" s="81" t="s">
        <v>146</v>
      </c>
      <c r="LP16" s="81" t="s">
        <v>146</v>
      </c>
      <c r="LQ16" s="81" t="s">
        <v>129</v>
      </c>
      <c r="LR16" s="62" t="s">
        <v>149</v>
      </c>
      <c r="LS16" s="81" t="s">
        <v>129</v>
      </c>
      <c r="LT16" s="56" t="s">
        <v>2</v>
      </c>
      <c r="LU16" s="56" t="s">
        <v>2</v>
      </c>
      <c r="LV16" s="54" t="s">
        <v>128</v>
      </c>
      <c r="LW16" s="81" t="s">
        <v>146</v>
      </c>
      <c r="LX16" s="81" t="s">
        <v>146</v>
      </c>
      <c r="LY16" s="62" t="s">
        <v>149</v>
      </c>
    </row>
    <row r="17" spans="1:365" ht="13.5" thickBot="1">
      <c r="A17" s="473"/>
      <c r="B17" s="473"/>
      <c r="C17" s="473"/>
      <c r="D17" s="473"/>
      <c r="E17" s="473"/>
      <c r="F17" s="508"/>
      <c r="G17" s="508"/>
      <c r="H17" s="508"/>
      <c r="I17" s="473"/>
      <c r="J17" s="473"/>
      <c r="K17" s="472"/>
      <c r="L17" s="472"/>
      <c r="M17" s="472"/>
      <c r="N17" s="472">
        <v>3</v>
      </c>
      <c r="O17" s="470" t="s">
        <v>302</v>
      </c>
      <c r="P17" s="148" t="s">
        <v>11</v>
      </c>
      <c r="Q17" s="148" t="s">
        <v>11</v>
      </c>
      <c r="R17" s="148" t="s">
        <v>11</v>
      </c>
      <c r="S17" s="148" t="s">
        <v>11</v>
      </c>
      <c r="T17" s="148" t="s">
        <v>11</v>
      </c>
      <c r="U17" s="126" t="s">
        <v>2</v>
      </c>
      <c r="V17" s="126" t="s">
        <v>2</v>
      </c>
      <c r="W17" s="148" t="s">
        <v>104</v>
      </c>
      <c r="X17" s="148" t="s">
        <v>104</v>
      </c>
      <c r="Y17" s="148" t="s">
        <v>104</v>
      </c>
      <c r="Z17" s="148" t="s">
        <v>104</v>
      </c>
      <c r="AA17" s="148" t="s">
        <v>104</v>
      </c>
      <c r="AB17" s="126" t="s">
        <v>2</v>
      </c>
      <c r="AC17" s="126" t="s">
        <v>2</v>
      </c>
      <c r="AD17" s="202" t="s">
        <v>10</v>
      </c>
      <c r="AE17" s="202" t="s">
        <v>10</v>
      </c>
      <c r="AF17" s="202" t="s">
        <v>10</v>
      </c>
      <c r="AG17" s="202" t="s">
        <v>10</v>
      </c>
      <c r="AH17" s="202" t="s">
        <v>10</v>
      </c>
      <c r="AI17" s="200" t="s">
        <v>2</v>
      </c>
      <c r="AJ17" s="200" t="s">
        <v>2</v>
      </c>
      <c r="AK17" s="202" t="s">
        <v>10</v>
      </c>
      <c r="AL17" s="202" t="s">
        <v>10</v>
      </c>
      <c r="AM17" s="202" t="s">
        <v>10</v>
      </c>
      <c r="AN17" s="202" t="s">
        <v>10</v>
      </c>
      <c r="AO17" s="202" t="s">
        <v>10</v>
      </c>
      <c r="AP17" s="200" t="s">
        <v>2</v>
      </c>
      <c r="AQ17" s="200" t="s">
        <v>2</v>
      </c>
      <c r="AR17" s="150" t="s">
        <v>12</v>
      </c>
      <c r="AS17" s="150" t="s">
        <v>12</v>
      </c>
      <c r="AT17" s="150" t="s">
        <v>12</v>
      </c>
      <c r="AU17" s="217" t="s">
        <v>107</v>
      </c>
      <c r="AV17" s="217" t="s">
        <v>107</v>
      </c>
      <c r="AW17" s="200" t="s">
        <v>2</v>
      </c>
      <c r="AX17" s="200" t="s">
        <v>2</v>
      </c>
      <c r="AY17" s="206" t="s">
        <v>105</v>
      </c>
      <c r="AZ17" s="155" t="s">
        <v>104</v>
      </c>
      <c r="BA17" s="155" t="s">
        <v>104</v>
      </c>
      <c r="BB17" s="200" t="s">
        <v>2</v>
      </c>
      <c r="BC17" s="155" t="s">
        <v>104</v>
      </c>
      <c r="BD17" s="155" t="s">
        <v>104</v>
      </c>
      <c r="BE17" s="200" t="s">
        <v>2</v>
      </c>
      <c r="BF17" s="136" t="s">
        <v>2</v>
      </c>
      <c r="BG17" s="136" t="s">
        <v>2</v>
      </c>
      <c r="BH17" s="210" t="s">
        <v>132</v>
      </c>
      <c r="BI17" s="210" t="s">
        <v>132</v>
      </c>
      <c r="BJ17" s="210" t="s">
        <v>132</v>
      </c>
      <c r="BK17" s="210" t="s">
        <v>132</v>
      </c>
      <c r="BL17" s="146" t="s">
        <v>3</v>
      </c>
      <c r="BM17" s="136" t="s">
        <v>2</v>
      </c>
      <c r="BN17" s="150" t="s">
        <v>15</v>
      </c>
      <c r="BO17" s="150" t="s">
        <v>15</v>
      </c>
      <c r="BP17" s="150" t="s">
        <v>15</v>
      </c>
      <c r="BQ17" s="150" t="s">
        <v>15</v>
      </c>
      <c r="BR17" s="136" t="s">
        <v>2</v>
      </c>
      <c r="BS17" s="146" t="s">
        <v>3</v>
      </c>
      <c r="BT17" s="155" t="s">
        <v>10</v>
      </c>
      <c r="BU17" s="155" t="s">
        <v>10</v>
      </c>
      <c r="BV17" s="136" t="s">
        <v>2</v>
      </c>
      <c r="BW17" s="155" t="s">
        <v>10</v>
      </c>
      <c r="BX17" s="155" t="s">
        <v>10</v>
      </c>
      <c r="BY17" s="155" t="s">
        <v>10</v>
      </c>
      <c r="BZ17" s="136" t="s">
        <v>2</v>
      </c>
      <c r="CA17" s="135" t="s">
        <v>108</v>
      </c>
      <c r="CB17" s="135" t="s">
        <v>108</v>
      </c>
      <c r="CC17" s="135" t="s">
        <v>108</v>
      </c>
      <c r="CD17" s="135" t="s">
        <v>108</v>
      </c>
      <c r="CE17" s="135" t="s">
        <v>108</v>
      </c>
      <c r="CF17" s="136" t="s">
        <v>2</v>
      </c>
      <c r="CG17" s="136" t="s">
        <v>2</v>
      </c>
      <c r="CH17" s="207" t="s">
        <v>290</v>
      </c>
      <c r="CI17" s="136" t="s">
        <v>2</v>
      </c>
      <c r="CJ17" s="136" t="s">
        <v>2</v>
      </c>
      <c r="CK17" s="207" t="s">
        <v>290</v>
      </c>
      <c r="CL17" s="207" t="s">
        <v>290</v>
      </c>
      <c r="CM17" s="207" t="s">
        <v>290</v>
      </c>
      <c r="CN17" s="146" t="s">
        <v>117</v>
      </c>
      <c r="CO17" s="136" t="s">
        <v>2</v>
      </c>
      <c r="CP17" s="153" t="s">
        <v>183</v>
      </c>
      <c r="CQ17" s="153" t="s">
        <v>183</v>
      </c>
      <c r="CR17" s="153" t="s">
        <v>183</v>
      </c>
      <c r="CS17" s="136" t="s">
        <v>2</v>
      </c>
      <c r="CT17" s="153" t="s">
        <v>183</v>
      </c>
      <c r="CU17" s="215" t="s">
        <v>19</v>
      </c>
      <c r="CV17" s="210" t="s">
        <v>132</v>
      </c>
      <c r="CW17" s="210" t="s">
        <v>132</v>
      </c>
      <c r="CX17" s="210" t="s">
        <v>132</v>
      </c>
      <c r="CY17" s="210" t="s">
        <v>132</v>
      </c>
      <c r="CZ17" s="210" t="s">
        <v>132</v>
      </c>
      <c r="DA17" s="136" t="s">
        <v>2</v>
      </c>
      <c r="DB17" s="136" t="s">
        <v>2</v>
      </c>
      <c r="DC17" s="150" t="s">
        <v>118</v>
      </c>
      <c r="DD17" s="150" t="s">
        <v>118</v>
      </c>
      <c r="DE17" s="150" t="s">
        <v>118</v>
      </c>
      <c r="DF17" s="150" t="s">
        <v>118</v>
      </c>
      <c r="DG17" s="150" t="s">
        <v>118</v>
      </c>
      <c r="DH17" s="136" t="s">
        <v>2</v>
      </c>
      <c r="DI17" s="136" t="s">
        <v>2</v>
      </c>
      <c r="DJ17" s="206" t="s">
        <v>7</v>
      </c>
      <c r="DK17" s="206" t="s">
        <v>7</v>
      </c>
      <c r="DL17" s="155" t="s">
        <v>11</v>
      </c>
      <c r="DM17" s="200" t="s">
        <v>2</v>
      </c>
      <c r="DN17" s="155" t="s">
        <v>11</v>
      </c>
      <c r="DO17" s="206" t="s">
        <v>7</v>
      </c>
      <c r="DP17" s="200" t="s">
        <v>2</v>
      </c>
      <c r="DQ17" s="200" t="s">
        <v>2</v>
      </c>
      <c r="DR17" s="200" t="s">
        <v>2</v>
      </c>
      <c r="DS17" s="135" t="s">
        <v>114</v>
      </c>
      <c r="DT17" s="135" t="s">
        <v>114</v>
      </c>
      <c r="DU17" s="135" t="s">
        <v>114</v>
      </c>
      <c r="DV17" s="135" t="s">
        <v>114</v>
      </c>
      <c r="DW17" s="135" t="s">
        <v>116</v>
      </c>
      <c r="DX17" s="155" t="s">
        <v>11</v>
      </c>
      <c r="DY17" s="200" t="s">
        <v>2</v>
      </c>
      <c r="DZ17" s="200" t="s">
        <v>2</v>
      </c>
      <c r="EA17" s="207" t="s">
        <v>113</v>
      </c>
      <c r="EB17" s="135" t="s">
        <v>114</v>
      </c>
      <c r="EC17" s="135" t="s">
        <v>114</v>
      </c>
      <c r="ED17" s="146" t="s">
        <v>117</v>
      </c>
      <c r="EE17" s="155" t="s">
        <v>11</v>
      </c>
      <c r="EF17" s="136" t="s">
        <v>2</v>
      </c>
      <c r="EG17" s="136" t="s">
        <v>2</v>
      </c>
      <c r="EH17" s="146" t="s">
        <v>117</v>
      </c>
      <c r="EI17" s="207" t="s">
        <v>113</v>
      </c>
      <c r="EJ17" s="207" t="s">
        <v>113</v>
      </c>
      <c r="EK17" s="146" t="s">
        <v>117</v>
      </c>
      <c r="EL17" s="207" t="s">
        <v>113</v>
      </c>
      <c r="EM17" s="136" t="s">
        <v>2</v>
      </c>
      <c r="EN17" s="207" t="s">
        <v>113</v>
      </c>
      <c r="EO17" s="136" t="s">
        <v>2</v>
      </c>
      <c r="EP17" s="207" t="s">
        <v>113</v>
      </c>
      <c r="EQ17" s="207" t="s">
        <v>113</v>
      </c>
      <c r="ER17" s="146" t="s">
        <v>117</v>
      </c>
      <c r="ES17" s="210" t="s">
        <v>12</v>
      </c>
      <c r="ET17" s="210" t="s">
        <v>12</v>
      </c>
      <c r="EU17" s="136" t="s">
        <v>2</v>
      </c>
      <c r="EV17" s="210" t="s">
        <v>12</v>
      </c>
      <c r="EW17" s="162" t="s">
        <v>303</v>
      </c>
      <c r="EX17" s="210" t="s">
        <v>12</v>
      </c>
      <c r="EY17" s="136" t="s">
        <v>2</v>
      </c>
      <c r="EZ17" s="153" t="s">
        <v>7</v>
      </c>
      <c r="FA17" s="153" t="s">
        <v>7</v>
      </c>
      <c r="FB17" s="153" t="s">
        <v>7</v>
      </c>
      <c r="FC17" s="153" t="s">
        <v>7</v>
      </c>
      <c r="FD17" s="153" t="s">
        <v>7</v>
      </c>
      <c r="FE17" s="136" t="s">
        <v>2</v>
      </c>
      <c r="FF17" s="136" t="s">
        <v>2</v>
      </c>
      <c r="FG17" s="210" t="s">
        <v>12</v>
      </c>
      <c r="FH17" s="210" t="s">
        <v>12</v>
      </c>
      <c r="FI17" s="210" t="s">
        <v>12</v>
      </c>
      <c r="FJ17" s="210" t="s">
        <v>12</v>
      </c>
      <c r="FK17" s="136" t="s">
        <v>2</v>
      </c>
      <c r="FL17" s="136" t="s">
        <v>2</v>
      </c>
      <c r="FM17" s="146" t="s">
        <v>117</v>
      </c>
      <c r="FN17" s="136" t="s">
        <v>2</v>
      </c>
      <c r="FO17" s="136" t="s">
        <v>2</v>
      </c>
      <c r="FP17" s="150" t="s">
        <v>118</v>
      </c>
      <c r="FQ17" s="150" t="s">
        <v>118</v>
      </c>
      <c r="FR17" s="150" t="s">
        <v>118</v>
      </c>
      <c r="FS17" s="150" t="s">
        <v>118</v>
      </c>
      <c r="FT17" s="216" t="s">
        <v>117</v>
      </c>
      <c r="FU17" s="136" t="s">
        <v>2</v>
      </c>
      <c r="FV17" s="150" t="s">
        <v>118</v>
      </c>
      <c r="FW17" s="150" t="s">
        <v>118</v>
      </c>
      <c r="FX17" s="155" t="s">
        <v>11</v>
      </c>
      <c r="FY17" s="155" t="s">
        <v>11</v>
      </c>
      <c r="FZ17" s="162" t="s">
        <v>155</v>
      </c>
      <c r="GA17" s="136" t="s">
        <v>2</v>
      </c>
      <c r="GB17" s="153" t="s">
        <v>7</v>
      </c>
      <c r="GC17" s="153" t="s">
        <v>7</v>
      </c>
      <c r="GD17" s="153" t="s">
        <v>7</v>
      </c>
      <c r="GE17" s="153" t="s">
        <v>7</v>
      </c>
      <c r="GF17" s="153" t="s">
        <v>7</v>
      </c>
      <c r="GG17" s="136" t="s">
        <v>2</v>
      </c>
      <c r="GH17" s="136" t="s">
        <v>2</v>
      </c>
      <c r="GI17" s="131" t="s">
        <v>67</v>
      </c>
      <c r="GJ17" s="131" t="s">
        <v>67</v>
      </c>
      <c r="GK17" s="131" t="s">
        <v>67</v>
      </c>
      <c r="GL17" s="209" t="s">
        <v>122</v>
      </c>
      <c r="GM17" s="129" t="s">
        <v>2</v>
      </c>
      <c r="GN17" s="129" t="s">
        <v>2</v>
      </c>
      <c r="GO17" s="88" t="s">
        <v>142</v>
      </c>
      <c r="GP17" s="128" t="s">
        <v>123</v>
      </c>
      <c r="GQ17" s="129" t="s">
        <v>2</v>
      </c>
      <c r="GR17" s="209" t="s">
        <v>122</v>
      </c>
      <c r="GS17" s="131" t="s">
        <v>63</v>
      </c>
      <c r="GT17" s="128" t="s">
        <v>123</v>
      </c>
      <c r="GU17" s="129" t="s">
        <v>2</v>
      </c>
      <c r="GV17" s="141" t="s">
        <v>184</v>
      </c>
      <c r="GW17" s="129" t="s">
        <v>2</v>
      </c>
      <c r="GX17" s="128" t="s">
        <v>123</v>
      </c>
      <c r="GY17" s="131" t="s">
        <v>63</v>
      </c>
      <c r="GZ17" s="128" t="s">
        <v>123</v>
      </c>
      <c r="HA17" s="141" t="s">
        <v>120</v>
      </c>
      <c r="HB17" s="131" t="s">
        <v>63</v>
      </c>
      <c r="HC17" s="129" t="s">
        <v>2</v>
      </c>
      <c r="HD17" s="98" t="s">
        <v>124</v>
      </c>
      <c r="HE17" s="128" t="s">
        <v>123</v>
      </c>
      <c r="HF17" s="129" t="s">
        <v>2</v>
      </c>
      <c r="HG17" s="128" t="s">
        <v>123</v>
      </c>
      <c r="HH17" s="212" t="s">
        <v>61</v>
      </c>
      <c r="HI17" s="129" t="s">
        <v>2</v>
      </c>
      <c r="HJ17" s="62" t="s">
        <v>3</v>
      </c>
      <c r="HK17" s="58" t="s">
        <v>63</v>
      </c>
      <c r="HL17" s="55" t="s">
        <v>124</v>
      </c>
      <c r="HM17" s="56" t="s">
        <v>2</v>
      </c>
      <c r="HN17" s="56" t="s">
        <v>2</v>
      </c>
      <c r="HO17" s="80" t="s">
        <v>163</v>
      </c>
      <c r="HP17" s="80" t="s">
        <v>163</v>
      </c>
      <c r="HQ17" s="62" t="s">
        <v>145</v>
      </c>
      <c r="HR17" s="56" t="s">
        <v>2</v>
      </c>
      <c r="HS17" s="55" t="s">
        <v>288</v>
      </c>
      <c r="HT17" s="58" t="s">
        <v>45</v>
      </c>
      <c r="HU17" s="58" t="s">
        <v>45</v>
      </c>
      <c r="HV17" s="58" t="s">
        <v>45</v>
      </c>
      <c r="HW17" s="58" t="s">
        <v>45</v>
      </c>
      <c r="HX17" s="56" t="s">
        <v>2</v>
      </c>
      <c r="HY17" s="81" t="s">
        <v>146</v>
      </c>
      <c r="HZ17" s="81" t="s">
        <v>146</v>
      </c>
      <c r="IA17" s="81" t="s">
        <v>146</v>
      </c>
      <c r="IB17" s="56" t="s">
        <v>2</v>
      </c>
      <c r="IC17" s="81" t="s">
        <v>146</v>
      </c>
      <c r="ID17" s="56" t="s">
        <v>2</v>
      </c>
      <c r="IE17" s="62" t="s">
        <v>149</v>
      </c>
      <c r="IF17" s="80" t="s">
        <v>119</v>
      </c>
      <c r="IG17" s="80" t="s">
        <v>119</v>
      </c>
      <c r="IH17" s="80" t="s">
        <v>119</v>
      </c>
      <c r="II17" s="80" t="s">
        <v>119</v>
      </c>
      <c r="IJ17" s="80" t="s">
        <v>119</v>
      </c>
      <c r="IK17" s="56" t="s">
        <v>2</v>
      </c>
      <c r="IL17" s="56" t="s">
        <v>2</v>
      </c>
      <c r="IM17" s="54" t="s">
        <v>128</v>
      </c>
      <c r="IN17" s="54" t="s">
        <v>128</v>
      </c>
      <c r="IO17" s="54" t="s">
        <v>128</v>
      </c>
      <c r="IP17" s="56" t="s">
        <v>2</v>
      </c>
      <c r="IQ17" s="56" t="s">
        <v>2</v>
      </c>
      <c r="IR17" s="82" t="s">
        <v>45</v>
      </c>
      <c r="IS17" s="62" t="s">
        <v>149</v>
      </c>
      <c r="IT17" s="81" t="s">
        <v>129</v>
      </c>
      <c r="IU17" s="56" t="s">
        <v>2</v>
      </c>
      <c r="IV17" s="56" t="s">
        <v>2</v>
      </c>
      <c r="IW17" s="81" t="s">
        <v>129</v>
      </c>
      <c r="IX17" s="81" t="s">
        <v>129</v>
      </c>
      <c r="IY17" s="81" t="s">
        <v>129</v>
      </c>
      <c r="IZ17" s="80" t="s">
        <v>164</v>
      </c>
      <c r="JA17" s="81" t="s">
        <v>194</v>
      </c>
      <c r="JB17" s="81" t="s">
        <v>194</v>
      </c>
      <c r="JC17" s="56" t="s">
        <v>2</v>
      </c>
      <c r="JD17" s="56" t="s">
        <v>2</v>
      </c>
      <c r="JE17" s="56" t="s">
        <v>130</v>
      </c>
      <c r="JF17" s="81" t="s">
        <v>194</v>
      </c>
      <c r="JG17" s="80" t="s">
        <v>272</v>
      </c>
      <c r="JH17" s="81" t="s">
        <v>194</v>
      </c>
      <c r="JI17" s="56" t="s">
        <v>2</v>
      </c>
      <c r="JJ17" s="56" t="s">
        <v>2</v>
      </c>
      <c r="JK17" s="81" t="s">
        <v>129</v>
      </c>
      <c r="JL17" s="81" t="s">
        <v>129</v>
      </c>
      <c r="JM17" s="81" t="s">
        <v>129</v>
      </c>
      <c r="JN17" s="80" t="s">
        <v>164</v>
      </c>
      <c r="JO17" s="56" t="s">
        <v>2</v>
      </c>
      <c r="JP17" s="81" t="s">
        <v>129</v>
      </c>
      <c r="JQ17" s="81" t="s">
        <v>129</v>
      </c>
      <c r="JR17" s="56" t="s">
        <v>2</v>
      </c>
      <c r="JS17" s="54" t="s">
        <v>128</v>
      </c>
      <c r="JT17" s="54" t="s">
        <v>128</v>
      </c>
      <c r="JU17" s="58" t="s">
        <v>54</v>
      </c>
      <c r="JV17" s="55" t="s">
        <v>126</v>
      </c>
      <c r="JW17" s="56" t="s">
        <v>2</v>
      </c>
      <c r="JX17" s="56" t="s">
        <v>2</v>
      </c>
      <c r="JY17" s="58" t="s">
        <v>67</v>
      </c>
      <c r="JZ17" s="81" t="s">
        <v>146</v>
      </c>
      <c r="KA17" s="80" t="s">
        <v>119</v>
      </c>
      <c r="KB17" s="62" t="s">
        <v>149</v>
      </c>
      <c r="KC17" s="475" t="s">
        <v>27</v>
      </c>
      <c r="KD17" s="475" t="s">
        <v>27</v>
      </c>
      <c r="KE17" s="475" t="s">
        <v>27</v>
      </c>
      <c r="KF17" s="475" t="s">
        <v>27</v>
      </c>
      <c r="KG17" s="475" t="s">
        <v>27</v>
      </c>
      <c r="KH17" s="56" t="s">
        <v>2</v>
      </c>
      <c r="KI17" s="56" t="s">
        <v>2</v>
      </c>
      <c r="KJ17" s="54" t="s">
        <v>128</v>
      </c>
      <c r="KK17" s="54" t="s">
        <v>128</v>
      </c>
      <c r="KL17" s="54" t="s">
        <v>128</v>
      </c>
      <c r="KM17" s="54" t="s">
        <v>128</v>
      </c>
      <c r="KN17" s="54" t="s">
        <v>128</v>
      </c>
      <c r="KO17" s="56" t="s">
        <v>2</v>
      </c>
      <c r="KP17" s="56" t="s">
        <v>2</v>
      </c>
      <c r="KQ17" s="54" t="s">
        <v>128</v>
      </c>
      <c r="KR17" s="82" t="s">
        <v>45</v>
      </c>
      <c r="KS17" s="82" t="s">
        <v>45</v>
      </c>
      <c r="KT17" s="82" t="s">
        <v>45</v>
      </c>
      <c r="KU17" s="82" t="s">
        <v>45</v>
      </c>
      <c r="KV17" s="56" t="s">
        <v>2</v>
      </c>
      <c r="KW17" s="56" t="s">
        <v>2</v>
      </c>
      <c r="KX17" s="55" t="s">
        <v>126</v>
      </c>
      <c r="KY17" s="54" t="s">
        <v>128</v>
      </c>
      <c r="KZ17" s="54" t="s">
        <v>128</v>
      </c>
      <c r="LA17" s="56" t="s">
        <v>2</v>
      </c>
      <c r="LB17" s="56" t="s">
        <v>2</v>
      </c>
      <c r="LC17" s="82" t="s">
        <v>45</v>
      </c>
      <c r="LD17" s="62" t="s">
        <v>149</v>
      </c>
      <c r="LE17" s="81" t="s">
        <v>146</v>
      </c>
      <c r="LF17" s="81" t="s">
        <v>146</v>
      </c>
      <c r="LG17" s="81" t="s">
        <v>146</v>
      </c>
      <c r="LH17" s="82" t="s">
        <v>45</v>
      </c>
      <c r="LI17" s="56" t="s">
        <v>2</v>
      </c>
      <c r="LJ17" s="56" t="s">
        <v>2</v>
      </c>
      <c r="LK17" s="62" t="s">
        <v>149</v>
      </c>
      <c r="LL17" s="54" t="s">
        <v>128</v>
      </c>
      <c r="LM17" s="54" t="s">
        <v>128</v>
      </c>
      <c r="LN17" s="54" t="s">
        <v>128</v>
      </c>
      <c r="LO17" s="56" t="s">
        <v>2</v>
      </c>
      <c r="LP17" s="56" t="s">
        <v>2</v>
      </c>
      <c r="LQ17" s="82" t="s">
        <v>45</v>
      </c>
      <c r="LR17" s="62" t="s">
        <v>149</v>
      </c>
      <c r="LS17" s="58" t="s">
        <v>67</v>
      </c>
      <c r="LT17" s="58" t="s">
        <v>67</v>
      </c>
      <c r="LU17" s="56" t="s">
        <v>2</v>
      </c>
      <c r="LV17" s="56" t="s">
        <v>2</v>
      </c>
      <c r="LW17" s="58" t="s">
        <v>67</v>
      </c>
      <c r="LX17" s="58" t="s">
        <v>67</v>
      </c>
      <c r="LY17" s="131" t="s">
        <v>54</v>
      </c>
    </row>
    <row r="18" spans="1:365" ht="13.5" thickBot="1">
      <c r="A18" s="473"/>
      <c r="B18" s="473"/>
      <c r="C18" s="473"/>
      <c r="D18" s="508"/>
      <c r="E18" s="473"/>
      <c r="F18" s="514"/>
      <c r="G18" s="473"/>
      <c r="H18" s="473"/>
      <c r="I18" s="511"/>
      <c r="J18" s="473"/>
      <c r="K18" s="472"/>
      <c r="L18" s="472"/>
      <c r="M18" s="472"/>
      <c r="N18" s="472">
        <v>2</v>
      </c>
      <c r="O18" s="471" t="s">
        <v>304</v>
      </c>
      <c r="P18" s="148" t="s">
        <v>11</v>
      </c>
      <c r="Q18" s="148" t="s">
        <v>11</v>
      </c>
      <c r="R18" s="148" t="s">
        <v>11</v>
      </c>
      <c r="S18" s="148" t="s">
        <v>11</v>
      </c>
      <c r="T18" s="148" t="s">
        <v>11</v>
      </c>
      <c r="U18" s="126" t="s">
        <v>2</v>
      </c>
      <c r="V18" s="126" t="s">
        <v>2</v>
      </c>
      <c r="W18" s="148" t="s">
        <v>104</v>
      </c>
      <c r="X18" s="148" t="s">
        <v>104</v>
      </c>
      <c r="Y18" s="148" t="s">
        <v>104</v>
      </c>
      <c r="Z18" s="148" t="s">
        <v>104</v>
      </c>
      <c r="AA18" s="148" t="s">
        <v>104</v>
      </c>
      <c r="AB18" s="126" t="s">
        <v>2</v>
      </c>
      <c r="AC18" s="126" t="s">
        <v>2</v>
      </c>
      <c r="AD18" s="202" t="s">
        <v>10</v>
      </c>
      <c r="AE18" s="202" t="s">
        <v>10</v>
      </c>
      <c r="AF18" s="202" t="s">
        <v>10</v>
      </c>
      <c r="AG18" s="202" t="s">
        <v>10</v>
      </c>
      <c r="AH18" s="202" t="s">
        <v>10</v>
      </c>
      <c r="AI18" s="200" t="s">
        <v>2</v>
      </c>
      <c r="AJ18" s="200" t="s">
        <v>2</v>
      </c>
      <c r="AK18" s="202" t="s">
        <v>10</v>
      </c>
      <c r="AL18" s="202" t="s">
        <v>10</v>
      </c>
      <c r="AM18" s="202" t="s">
        <v>10</v>
      </c>
      <c r="AN18" s="202" t="s">
        <v>10</v>
      </c>
      <c r="AO18" s="202" t="s">
        <v>10</v>
      </c>
      <c r="AP18" s="200" t="s">
        <v>2</v>
      </c>
      <c r="AQ18" s="200" t="s">
        <v>2</v>
      </c>
      <c r="AR18" s="155" t="s">
        <v>11</v>
      </c>
      <c r="AS18" s="150" t="s">
        <v>305</v>
      </c>
      <c r="AT18" s="155" t="s">
        <v>11</v>
      </c>
      <c r="AU18" s="150" t="s">
        <v>305</v>
      </c>
      <c r="AV18" s="210" t="s">
        <v>132</v>
      </c>
      <c r="AW18" s="200" t="s">
        <v>2</v>
      </c>
      <c r="AX18" s="200" t="s">
        <v>2</v>
      </c>
      <c r="AY18" s="155" t="s">
        <v>104</v>
      </c>
      <c r="AZ18" s="155" t="s">
        <v>104</v>
      </c>
      <c r="BA18" s="155" t="s">
        <v>104</v>
      </c>
      <c r="BB18" s="155" t="s">
        <v>104</v>
      </c>
      <c r="BC18" s="155" t="s">
        <v>104</v>
      </c>
      <c r="BD18" s="200" t="s">
        <v>2</v>
      </c>
      <c r="BE18" s="200" t="s">
        <v>2</v>
      </c>
      <c r="BF18" s="153" t="s">
        <v>105</v>
      </c>
      <c r="BG18" s="153" t="s">
        <v>105</v>
      </c>
      <c r="BH18" s="136" t="s">
        <v>2</v>
      </c>
      <c r="BI18" s="136" t="s">
        <v>2</v>
      </c>
      <c r="BJ18" s="153" t="s">
        <v>105</v>
      </c>
      <c r="BK18" s="153" t="s">
        <v>105</v>
      </c>
      <c r="BL18" s="146" t="s">
        <v>3</v>
      </c>
      <c r="BM18" s="136" t="s">
        <v>2</v>
      </c>
      <c r="BN18" s="136" t="s">
        <v>2</v>
      </c>
      <c r="BO18" s="210" t="s">
        <v>132</v>
      </c>
      <c r="BP18" s="210" t="s">
        <v>132</v>
      </c>
      <c r="BQ18" s="210" t="s">
        <v>132</v>
      </c>
      <c r="BR18" s="210" t="s">
        <v>132</v>
      </c>
      <c r="BS18" s="146" t="s">
        <v>3</v>
      </c>
      <c r="BT18" s="136" t="s">
        <v>2</v>
      </c>
      <c r="BU18" s="153" t="s">
        <v>105</v>
      </c>
      <c r="BV18" s="153" t="s">
        <v>105</v>
      </c>
      <c r="BW18" s="153" t="s">
        <v>105</v>
      </c>
      <c r="BX18" s="153" t="s">
        <v>105</v>
      </c>
      <c r="BY18" s="150" t="s">
        <v>15</v>
      </c>
      <c r="BZ18" s="136" t="s">
        <v>2</v>
      </c>
      <c r="CA18" s="136" t="s">
        <v>2</v>
      </c>
      <c r="CB18" s="210" t="s">
        <v>132</v>
      </c>
      <c r="CC18" s="210" t="s">
        <v>132</v>
      </c>
      <c r="CD18" s="210" t="s">
        <v>132</v>
      </c>
      <c r="CE18" s="210" t="s">
        <v>132</v>
      </c>
      <c r="CF18" s="146" t="s">
        <v>117</v>
      </c>
      <c r="CG18" s="136" t="s">
        <v>2</v>
      </c>
      <c r="CH18" s="135" t="s">
        <v>108</v>
      </c>
      <c r="CI18" s="153" t="s">
        <v>183</v>
      </c>
      <c r="CJ18" s="153" t="s">
        <v>183</v>
      </c>
      <c r="CK18" s="153" t="s">
        <v>183</v>
      </c>
      <c r="CL18" s="210" t="s">
        <v>132</v>
      </c>
      <c r="CM18" s="136" t="s">
        <v>2</v>
      </c>
      <c r="CN18" s="136" t="s">
        <v>2</v>
      </c>
      <c r="CO18" s="155" t="s">
        <v>10</v>
      </c>
      <c r="CP18" s="155" t="s">
        <v>10</v>
      </c>
      <c r="CQ18" s="155" t="s">
        <v>10</v>
      </c>
      <c r="CR18" s="155" t="s">
        <v>10</v>
      </c>
      <c r="CS18" s="136" t="s">
        <v>2</v>
      </c>
      <c r="CT18" s="150" t="s">
        <v>109</v>
      </c>
      <c r="CU18" s="136" t="s">
        <v>2</v>
      </c>
      <c r="CV18" s="153" t="s">
        <v>183</v>
      </c>
      <c r="CW18" s="153" t="s">
        <v>183</v>
      </c>
      <c r="CX18" s="153" t="s">
        <v>183</v>
      </c>
      <c r="CY18" s="136" t="s">
        <v>2</v>
      </c>
      <c r="CZ18" s="136" t="s">
        <v>2</v>
      </c>
      <c r="DA18" s="155" t="s">
        <v>10</v>
      </c>
      <c r="DB18" s="218" t="s">
        <v>117</v>
      </c>
      <c r="DC18" s="136" t="s">
        <v>2</v>
      </c>
      <c r="DD18" s="135" t="s">
        <v>114</v>
      </c>
      <c r="DE18" s="135" t="s">
        <v>114</v>
      </c>
      <c r="DF18" s="135" t="s">
        <v>138</v>
      </c>
      <c r="DG18" s="135" t="s">
        <v>138</v>
      </c>
      <c r="DH18" s="135" t="s">
        <v>114</v>
      </c>
      <c r="DI18" s="136" t="s">
        <v>2</v>
      </c>
      <c r="DJ18" s="150" t="s">
        <v>118</v>
      </c>
      <c r="DK18" s="150" t="s">
        <v>118</v>
      </c>
      <c r="DL18" s="150" t="s">
        <v>118</v>
      </c>
      <c r="DM18" s="150" t="s">
        <v>118</v>
      </c>
      <c r="DN18" s="150" t="s">
        <v>118</v>
      </c>
      <c r="DO18" s="200" t="s">
        <v>2</v>
      </c>
      <c r="DP18" s="200" t="s">
        <v>2</v>
      </c>
      <c r="DQ18" s="155" t="s">
        <v>11</v>
      </c>
      <c r="DR18" s="155" t="s">
        <v>11</v>
      </c>
      <c r="DS18" s="155" t="s">
        <v>11</v>
      </c>
      <c r="DT18" s="155" t="s">
        <v>11</v>
      </c>
      <c r="DU18" s="155" t="s">
        <v>11</v>
      </c>
      <c r="DV18" s="200" t="s">
        <v>2</v>
      </c>
      <c r="DW18" s="200" t="s">
        <v>2</v>
      </c>
      <c r="DX18" s="206" t="s">
        <v>7</v>
      </c>
      <c r="DY18" s="206" t="s">
        <v>7</v>
      </c>
      <c r="DZ18" s="206" t="s">
        <v>7</v>
      </c>
      <c r="EA18" s="206" t="s">
        <v>140</v>
      </c>
      <c r="EB18" s="206" t="s">
        <v>7</v>
      </c>
      <c r="EC18" s="200" t="s">
        <v>2</v>
      </c>
      <c r="ED18" s="200" t="s">
        <v>2</v>
      </c>
      <c r="EE18" s="207" t="s">
        <v>113</v>
      </c>
      <c r="EF18" s="207" t="s">
        <v>113</v>
      </c>
      <c r="EG18" s="207" t="s">
        <v>113</v>
      </c>
      <c r="EH18" s="136" t="s">
        <v>2</v>
      </c>
      <c r="EI18" s="155" t="s">
        <v>11</v>
      </c>
      <c r="EJ18" s="155" t="s">
        <v>11</v>
      </c>
      <c r="EK18" s="136" t="s">
        <v>2</v>
      </c>
      <c r="EL18" s="162" t="s">
        <v>155</v>
      </c>
      <c r="EM18" s="162" t="s">
        <v>155</v>
      </c>
      <c r="EN18" s="162" t="s">
        <v>155</v>
      </c>
      <c r="EO18" s="136" t="s">
        <v>2</v>
      </c>
      <c r="EP18" s="136" t="s">
        <v>2</v>
      </c>
      <c r="EQ18" s="153" t="s">
        <v>7</v>
      </c>
      <c r="ER18" s="146" t="s">
        <v>117</v>
      </c>
      <c r="ES18" s="207" t="s">
        <v>113</v>
      </c>
      <c r="ET18" s="207" t="s">
        <v>113</v>
      </c>
      <c r="EU18" s="207" t="s">
        <v>113</v>
      </c>
      <c r="EV18" s="136" t="s">
        <v>2</v>
      </c>
      <c r="EW18" s="136" t="s">
        <v>2</v>
      </c>
      <c r="EX18" s="153" t="s">
        <v>7</v>
      </c>
      <c r="EY18" s="146" t="s">
        <v>117</v>
      </c>
      <c r="EZ18" s="136" t="s">
        <v>2</v>
      </c>
      <c r="FA18" s="150" t="s">
        <v>118</v>
      </c>
      <c r="FB18" s="150" t="s">
        <v>118</v>
      </c>
      <c r="FC18" s="150" t="s">
        <v>118</v>
      </c>
      <c r="FD18" s="150" t="s">
        <v>118</v>
      </c>
      <c r="FE18" s="150" t="s">
        <v>118</v>
      </c>
      <c r="FF18" s="136" t="s">
        <v>2</v>
      </c>
      <c r="FG18" s="155" t="s">
        <v>11</v>
      </c>
      <c r="FH18" s="155" t="s">
        <v>11</v>
      </c>
      <c r="FI18" s="155" t="s">
        <v>11</v>
      </c>
      <c r="FJ18" s="207" t="s">
        <v>113</v>
      </c>
      <c r="FK18" s="207" t="s">
        <v>113</v>
      </c>
      <c r="FL18" s="136" t="s">
        <v>2</v>
      </c>
      <c r="FM18" s="136" t="s">
        <v>2</v>
      </c>
      <c r="FN18" s="153" t="s">
        <v>7</v>
      </c>
      <c r="FO18" s="153" t="s">
        <v>7</v>
      </c>
      <c r="FP18" s="153" t="s">
        <v>7</v>
      </c>
      <c r="FQ18" s="136" t="s">
        <v>2</v>
      </c>
      <c r="FR18" s="136" t="s">
        <v>2</v>
      </c>
      <c r="FS18" s="153" t="s">
        <v>7</v>
      </c>
      <c r="FT18" s="153" t="s">
        <v>115</v>
      </c>
      <c r="FU18" s="136" t="s">
        <v>2</v>
      </c>
      <c r="FV18" s="162" t="s">
        <v>156</v>
      </c>
      <c r="FW18" s="162" t="s">
        <v>156</v>
      </c>
      <c r="FX18" s="136" t="s">
        <v>2</v>
      </c>
      <c r="FY18" s="153" t="s">
        <v>140</v>
      </c>
      <c r="FZ18" s="153" t="s">
        <v>111</v>
      </c>
      <c r="GA18" s="146" t="s">
        <v>180</v>
      </c>
      <c r="GB18" s="136" t="s">
        <v>2</v>
      </c>
      <c r="GC18" s="136" t="s">
        <v>2</v>
      </c>
      <c r="GD18" s="155" t="s">
        <v>11</v>
      </c>
      <c r="GE18" s="162" t="s">
        <v>155</v>
      </c>
      <c r="GF18" s="155" t="s">
        <v>11</v>
      </c>
      <c r="GG18" s="135" t="s">
        <v>114</v>
      </c>
      <c r="GH18" s="135" t="s">
        <v>17</v>
      </c>
      <c r="GI18" s="158" t="s">
        <v>146</v>
      </c>
      <c r="GJ18" s="158" t="s">
        <v>146</v>
      </c>
      <c r="GK18" s="129" t="s">
        <v>2</v>
      </c>
      <c r="GL18" s="128" t="s">
        <v>123</v>
      </c>
      <c r="GM18" s="128" t="s">
        <v>123</v>
      </c>
      <c r="GN18" s="98" t="s">
        <v>124</v>
      </c>
      <c r="GO18" s="129" t="s">
        <v>2</v>
      </c>
      <c r="GP18" s="209" t="s">
        <v>122</v>
      </c>
      <c r="GQ18" s="128" t="s">
        <v>123</v>
      </c>
      <c r="GR18" s="141" t="s">
        <v>120</v>
      </c>
      <c r="GS18" s="128" t="s">
        <v>123</v>
      </c>
      <c r="GT18" s="98" t="s">
        <v>124</v>
      </c>
      <c r="GU18" s="129" t="s">
        <v>2</v>
      </c>
      <c r="GV18" s="129" t="s">
        <v>2</v>
      </c>
      <c r="GW18" s="81" t="s">
        <v>122</v>
      </c>
      <c r="GX18" s="80" t="s">
        <v>120</v>
      </c>
      <c r="GY18" s="129" t="s">
        <v>2</v>
      </c>
      <c r="GZ18" s="129" t="s">
        <v>2</v>
      </c>
      <c r="HA18" s="209" t="s">
        <v>122</v>
      </c>
      <c r="HB18" s="98" t="s">
        <v>124</v>
      </c>
      <c r="HC18" s="62" t="s">
        <v>144</v>
      </c>
      <c r="HD18" s="141" t="s">
        <v>120</v>
      </c>
      <c r="HE18" s="129" t="s">
        <v>2</v>
      </c>
      <c r="HF18" s="209" t="s">
        <v>122</v>
      </c>
      <c r="HG18" s="154" t="s">
        <v>294</v>
      </c>
      <c r="HH18" s="154" t="s">
        <v>181</v>
      </c>
      <c r="HI18" s="129" t="s">
        <v>2</v>
      </c>
      <c r="HJ18" s="54" t="s">
        <v>276</v>
      </c>
      <c r="HK18" s="58" t="s">
        <v>63</v>
      </c>
      <c r="HL18" s="58" t="s">
        <v>63</v>
      </c>
      <c r="HM18" s="81" t="s">
        <v>122</v>
      </c>
      <c r="HN18" s="56" t="s">
        <v>2</v>
      </c>
      <c r="HO18" s="56" t="s">
        <v>2</v>
      </c>
      <c r="HP18" s="55" t="s">
        <v>125</v>
      </c>
      <c r="HQ18" s="80" t="s">
        <v>151</v>
      </c>
      <c r="HR18" s="56" t="s">
        <v>2</v>
      </c>
      <c r="HS18" s="54" t="s">
        <v>54</v>
      </c>
      <c r="HT18" s="54" t="s">
        <v>54</v>
      </c>
      <c r="HU18" s="54" t="s">
        <v>54</v>
      </c>
      <c r="HV18" s="54" t="s">
        <v>54</v>
      </c>
      <c r="HW18" s="54" t="s">
        <v>54</v>
      </c>
      <c r="HX18" s="56" t="s">
        <v>2</v>
      </c>
      <c r="HY18" s="58" t="s">
        <v>67</v>
      </c>
      <c r="HZ18" s="55" t="s">
        <v>126</v>
      </c>
      <c r="IA18" s="55" t="s">
        <v>126</v>
      </c>
      <c r="IB18" s="55" t="s">
        <v>126</v>
      </c>
      <c r="IC18" s="55" t="s">
        <v>126</v>
      </c>
      <c r="ID18" s="56" t="s">
        <v>2</v>
      </c>
      <c r="IE18" s="56" t="s">
        <v>2</v>
      </c>
      <c r="IF18" s="56" t="s">
        <v>2</v>
      </c>
      <c r="IG18" s="81" t="s">
        <v>129</v>
      </c>
      <c r="IH18" s="81" t="s">
        <v>129</v>
      </c>
      <c r="II18" s="81" t="s">
        <v>129</v>
      </c>
      <c r="IJ18" s="81" t="s">
        <v>129</v>
      </c>
      <c r="IK18" s="56" t="s">
        <v>2</v>
      </c>
      <c r="IL18" s="62" t="s">
        <v>149</v>
      </c>
      <c r="IM18" s="58" t="s">
        <v>67</v>
      </c>
      <c r="IN18" s="90" t="s">
        <v>274</v>
      </c>
      <c r="IO18" s="55" t="s">
        <v>126</v>
      </c>
      <c r="IP18" s="55" t="s">
        <v>126</v>
      </c>
      <c r="IQ18" s="56" t="s">
        <v>2</v>
      </c>
      <c r="IR18" s="56" t="s">
        <v>2</v>
      </c>
      <c r="IS18" s="62" t="s">
        <v>149</v>
      </c>
      <c r="IT18" s="81" t="s">
        <v>146</v>
      </c>
      <c r="IU18" s="81" t="s">
        <v>146</v>
      </c>
      <c r="IV18" s="80" t="s">
        <v>119</v>
      </c>
      <c r="IW18" s="56" t="s">
        <v>2</v>
      </c>
      <c r="IX18" s="90" t="s">
        <v>161</v>
      </c>
      <c r="IY18" s="82" t="s">
        <v>45</v>
      </c>
      <c r="IZ18" s="56" t="s">
        <v>2</v>
      </c>
      <c r="JA18" s="90" t="s">
        <v>306</v>
      </c>
      <c r="JB18" s="90" t="s">
        <v>306</v>
      </c>
      <c r="JC18" s="90" t="s">
        <v>306</v>
      </c>
      <c r="JD18" s="90" t="s">
        <v>306</v>
      </c>
      <c r="JE18" s="56" t="s">
        <v>2</v>
      </c>
      <c r="JF18" s="56" t="s">
        <v>2</v>
      </c>
      <c r="JG18" s="54" t="s">
        <v>128</v>
      </c>
      <c r="JH18" s="54" t="s">
        <v>128</v>
      </c>
      <c r="JI18" s="54" t="s">
        <v>128</v>
      </c>
      <c r="JJ18" s="56" t="s">
        <v>2</v>
      </c>
      <c r="JK18" s="54" t="s">
        <v>128</v>
      </c>
      <c r="JL18" s="82" t="s">
        <v>45</v>
      </c>
      <c r="JM18" s="54" t="s">
        <v>128</v>
      </c>
      <c r="JN18" s="56" t="s">
        <v>2</v>
      </c>
      <c r="JO18" s="102" t="s">
        <v>27</v>
      </c>
      <c r="JP18" s="102" t="s">
        <v>27</v>
      </c>
      <c r="JQ18" s="102" t="s">
        <v>27</v>
      </c>
      <c r="JR18" s="102" t="s">
        <v>27</v>
      </c>
      <c r="JS18" s="102" t="s">
        <v>27</v>
      </c>
      <c r="JT18" s="56" t="s">
        <v>2</v>
      </c>
      <c r="JU18" s="56" t="s">
        <v>2</v>
      </c>
      <c r="JV18" s="58" t="s">
        <v>67</v>
      </c>
      <c r="JW18" s="58" t="s">
        <v>67</v>
      </c>
      <c r="JX18" s="56" t="s">
        <v>2</v>
      </c>
      <c r="JY18" s="56" t="s">
        <v>2</v>
      </c>
      <c r="JZ18" s="58" t="s">
        <v>67</v>
      </c>
      <c r="KA18" s="58" t="s">
        <v>67</v>
      </c>
      <c r="KB18" s="131" t="s">
        <v>54</v>
      </c>
      <c r="KC18" s="56" t="s">
        <v>2</v>
      </c>
      <c r="KD18" s="80" t="s">
        <v>119</v>
      </c>
      <c r="KE18" s="80" t="s">
        <v>119</v>
      </c>
      <c r="KF18" s="80" t="s">
        <v>119</v>
      </c>
      <c r="KG18" s="80" t="s">
        <v>119</v>
      </c>
      <c r="KH18" s="80" t="s">
        <v>119</v>
      </c>
      <c r="KI18" s="56" t="s">
        <v>2</v>
      </c>
      <c r="KJ18" s="58" t="s">
        <v>67</v>
      </c>
      <c r="KK18" s="58" t="s">
        <v>67</v>
      </c>
      <c r="KL18" s="56" t="s">
        <v>2</v>
      </c>
      <c r="KM18" s="56" t="s">
        <v>2</v>
      </c>
      <c r="KN18" s="58" t="s">
        <v>67</v>
      </c>
      <c r="KO18" s="58" t="s">
        <v>67</v>
      </c>
      <c r="KP18" s="131" t="s">
        <v>54</v>
      </c>
      <c r="KQ18" s="56" t="s">
        <v>2</v>
      </c>
      <c r="KR18" s="55" t="s">
        <v>126</v>
      </c>
      <c r="KS18" s="55" t="s">
        <v>126</v>
      </c>
      <c r="KT18" s="55" t="s">
        <v>126</v>
      </c>
      <c r="KU18" s="55" t="s">
        <v>126</v>
      </c>
      <c r="KV18" s="55" t="s">
        <v>126</v>
      </c>
      <c r="KW18" s="56" t="s">
        <v>2</v>
      </c>
      <c r="KX18" s="81" t="s">
        <v>129</v>
      </c>
      <c r="KY18" s="81" t="s">
        <v>129</v>
      </c>
      <c r="KZ18" s="81" t="s">
        <v>129</v>
      </c>
      <c r="LA18" s="81" t="s">
        <v>129</v>
      </c>
      <c r="LB18" s="81" t="s">
        <v>129</v>
      </c>
      <c r="LC18" s="56" t="s">
        <v>2</v>
      </c>
      <c r="LD18" s="56" t="s">
        <v>2</v>
      </c>
      <c r="LE18" s="54" t="s">
        <v>128</v>
      </c>
      <c r="LF18" s="56" t="s">
        <v>2</v>
      </c>
      <c r="LG18" s="56" t="s">
        <v>2</v>
      </c>
      <c r="LH18" s="54" t="s">
        <v>128</v>
      </c>
      <c r="LI18" s="81" t="s">
        <v>146</v>
      </c>
      <c r="LJ18" s="81" t="s">
        <v>146</v>
      </c>
      <c r="LK18" s="62" t="s">
        <v>149</v>
      </c>
      <c r="LL18" s="56" t="s">
        <v>2</v>
      </c>
      <c r="LM18" s="54" t="s">
        <v>128</v>
      </c>
      <c r="LN18" s="54" t="s">
        <v>128</v>
      </c>
      <c r="LO18" s="56" t="s">
        <v>2</v>
      </c>
      <c r="LP18" s="54" t="s">
        <v>128</v>
      </c>
      <c r="LQ18" s="54" t="s">
        <v>128</v>
      </c>
      <c r="LR18" s="80" t="s">
        <v>164</v>
      </c>
      <c r="LS18" s="56" t="s">
        <v>2</v>
      </c>
      <c r="LT18" s="55" t="s">
        <v>126</v>
      </c>
      <c r="LU18" s="55" t="s">
        <v>126</v>
      </c>
      <c r="LV18" s="55" t="s">
        <v>126</v>
      </c>
      <c r="LW18" s="55" t="s">
        <v>126</v>
      </c>
      <c r="LX18" s="55" t="s">
        <v>126</v>
      </c>
      <c r="LY18" s="56" t="s">
        <v>2</v>
      </c>
    </row>
    <row r="19" spans="1:365" ht="13.5" thickBot="1">
      <c r="A19" s="473"/>
      <c r="B19" s="473"/>
      <c r="C19" s="508"/>
      <c r="D19" s="473"/>
      <c r="E19" s="473"/>
      <c r="F19" s="473"/>
      <c r="G19" s="473"/>
      <c r="H19" s="495"/>
      <c r="I19" s="514"/>
      <c r="J19" s="473"/>
      <c r="K19" s="472"/>
      <c r="L19" s="472"/>
      <c r="M19" s="472"/>
      <c r="N19" s="505">
        <v>2</v>
      </c>
      <c r="O19" s="471" t="s">
        <v>307</v>
      </c>
      <c r="P19" s="604"/>
      <c r="Q19" s="577"/>
      <c r="R19" s="577"/>
      <c r="S19" s="577"/>
      <c r="T19" s="577"/>
      <c r="U19" s="577"/>
      <c r="V19" s="601"/>
      <c r="W19" s="604"/>
      <c r="X19" s="577"/>
      <c r="Y19" s="572"/>
      <c r="Z19" s="572"/>
      <c r="AA19" s="578"/>
      <c r="AB19" s="578"/>
      <c r="AC19" s="579"/>
      <c r="AD19" s="604"/>
      <c r="AE19" s="572"/>
      <c r="AF19" s="572"/>
      <c r="AG19" s="572"/>
      <c r="AH19" s="578"/>
      <c r="AI19" s="578"/>
      <c r="AJ19" s="579"/>
      <c r="AK19" s="535"/>
      <c r="AL19" s="572"/>
      <c r="AM19" s="572"/>
      <c r="AN19" s="572"/>
      <c r="AO19" s="578"/>
      <c r="AP19" s="578"/>
      <c r="AQ19" s="579"/>
      <c r="AR19" s="535"/>
      <c r="AS19" s="572"/>
      <c r="AT19" s="572"/>
      <c r="AU19" s="572"/>
      <c r="AV19" s="578"/>
      <c r="AW19" s="578"/>
      <c r="AX19" s="579"/>
      <c r="AY19" s="535"/>
      <c r="AZ19" s="572"/>
      <c r="BA19" s="572"/>
      <c r="BB19" s="572"/>
      <c r="BC19" s="578"/>
      <c r="BD19" s="578"/>
      <c r="BE19" s="579"/>
      <c r="BF19" s="535"/>
      <c r="BG19" s="572"/>
      <c r="BH19" s="572"/>
      <c r="BI19" s="572"/>
      <c r="BJ19" s="578"/>
      <c r="BK19" s="578"/>
      <c r="BL19" s="579"/>
      <c r="BM19" s="535"/>
      <c r="BN19" s="572"/>
      <c r="BO19" s="572"/>
      <c r="BP19" s="572"/>
      <c r="BQ19" s="578"/>
      <c r="BR19" s="578"/>
      <c r="BS19" s="579"/>
      <c r="BT19" s="535"/>
      <c r="BU19" s="577"/>
      <c r="BV19" s="577"/>
      <c r="BW19" s="577"/>
      <c r="BX19" s="577"/>
      <c r="BY19" s="577"/>
      <c r="BZ19" s="601"/>
      <c r="CA19" s="535"/>
      <c r="CB19" s="577"/>
      <c r="CC19" s="577"/>
      <c r="CD19" s="577"/>
      <c r="CE19" s="577"/>
      <c r="CF19" s="577"/>
      <c r="CG19" s="601"/>
      <c r="CH19" s="535"/>
      <c r="CI19" s="577"/>
      <c r="CJ19" s="577"/>
      <c r="CK19" s="577"/>
      <c r="CL19" s="577"/>
      <c r="CM19" s="577"/>
      <c r="CN19" s="601"/>
      <c r="CO19" s="535"/>
      <c r="CP19" s="577"/>
      <c r="CQ19" s="577"/>
      <c r="CR19" s="577"/>
      <c r="CS19" s="577"/>
      <c r="CT19" s="577"/>
      <c r="CU19" s="601"/>
      <c r="CV19" s="535"/>
      <c r="CW19" s="577"/>
      <c r="CX19" s="577"/>
      <c r="CY19" s="577"/>
      <c r="CZ19" s="577"/>
      <c r="DA19" s="577"/>
      <c r="DB19" s="601"/>
      <c r="DC19" s="535"/>
      <c r="DD19" s="577"/>
      <c r="DE19" s="577"/>
      <c r="DF19" s="577"/>
      <c r="DG19" s="577"/>
      <c r="DH19" s="577"/>
      <c r="DI19" s="601"/>
      <c r="DJ19" s="535"/>
      <c r="DK19" s="577"/>
      <c r="DL19" s="577"/>
      <c r="DM19" s="577"/>
      <c r="DN19" s="577"/>
      <c r="DO19" s="577"/>
      <c r="DP19" s="601"/>
      <c r="DQ19" s="535"/>
      <c r="DR19" s="577"/>
      <c r="DS19" s="577"/>
      <c r="DT19" s="577"/>
      <c r="DU19" s="577"/>
      <c r="DV19" s="577"/>
      <c r="DW19" s="601"/>
      <c r="DX19" s="535"/>
      <c r="DY19" s="577"/>
      <c r="DZ19" s="577"/>
      <c r="EA19" s="577"/>
      <c r="EB19" s="577"/>
      <c r="EC19" s="577"/>
      <c r="ED19" s="601"/>
      <c r="EE19" s="535"/>
      <c r="EF19" s="577"/>
      <c r="EG19" s="577"/>
      <c r="EH19" s="577"/>
      <c r="EI19" s="577"/>
      <c r="EJ19" s="577"/>
      <c r="EK19" s="601"/>
      <c r="EL19" s="219" t="s">
        <v>11</v>
      </c>
      <c r="EM19" s="219" t="s">
        <v>11</v>
      </c>
      <c r="EN19" s="219" t="s">
        <v>11</v>
      </c>
      <c r="EO19" s="220" t="s">
        <v>130</v>
      </c>
      <c r="EP19" s="219" t="s">
        <v>11</v>
      </c>
      <c r="EQ19" s="220" t="s">
        <v>2</v>
      </c>
      <c r="ER19" s="220" t="s">
        <v>2</v>
      </c>
      <c r="ES19" s="221" t="s">
        <v>11</v>
      </c>
      <c r="ET19" s="221" t="s">
        <v>11</v>
      </c>
      <c r="EU19" s="221" t="s">
        <v>11</v>
      </c>
      <c r="EV19" s="221" t="s">
        <v>11</v>
      </c>
      <c r="EW19" s="221" t="s">
        <v>11</v>
      </c>
      <c r="EX19" s="222" t="s">
        <v>2</v>
      </c>
      <c r="EY19" s="222" t="s">
        <v>2</v>
      </c>
      <c r="EZ19" s="221" t="s">
        <v>11</v>
      </c>
      <c r="FA19" s="221" t="s">
        <v>11</v>
      </c>
      <c r="FB19" s="221" t="s">
        <v>11</v>
      </c>
      <c r="FC19" s="162" t="s">
        <v>308</v>
      </c>
      <c r="FD19" s="221" t="s">
        <v>11</v>
      </c>
      <c r="FE19" s="223" t="s">
        <v>2</v>
      </c>
      <c r="FF19" s="223" t="s">
        <v>2</v>
      </c>
      <c r="FG19" s="162" t="s">
        <v>155</v>
      </c>
      <c r="FH19" s="162" t="s">
        <v>155</v>
      </c>
      <c r="FI19" s="221" t="s">
        <v>11</v>
      </c>
      <c r="FJ19" s="221" t="s">
        <v>11</v>
      </c>
      <c r="FK19" s="221" t="s">
        <v>177</v>
      </c>
      <c r="FL19" s="223" t="s">
        <v>2</v>
      </c>
      <c r="FM19" s="223" t="s">
        <v>2</v>
      </c>
      <c r="FN19" s="221" t="s">
        <v>11</v>
      </c>
      <c r="FO19" s="221" t="s">
        <v>11</v>
      </c>
      <c r="FP19" s="221" t="s">
        <v>11</v>
      </c>
      <c r="FQ19" s="221" t="s">
        <v>11</v>
      </c>
      <c r="FR19" s="221" t="s">
        <v>11</v>
      </c>
      <c r="FS19" s="223" t="s">
        <v>2</v>
      </c>
      <c r="FT19" s="223" t="s">
        <v>2</v>
      </c>
      <c r="FU19" s="221" t="s">
        <v>12</v>
      </c>
      <c r="FV19" s="221" t="s">
        <v>12</v>
      </c>
      <c r="FW19" s="221" t="s">
        <v>12</v>
      </c>
      <c r="FX19" s="221" t="s">
        <v>12</v>
      </c>
      <c r="FY19" s="223" t="s">
        <v>2</v>
      </c>
      <c r="FZ19" s="221" t="s">
        <v>12</v>
      </c>
      <c r="GA19" s="223" t="s">
        <v>2</v>
      </c>
      <c r="GB19" s="223" t="s">
        <v>114</v>
      </c>
      <c r="GC19" s="223" t="s">
        <v>114</v>
      </c>
      <c r="GD19" s="223" t="s">
        <v>114</v>
      </c>
      <c r="GE19" s="223" t="s">
        <v>114</v>
      </c>
      <c r="GF19" s="223" t="s">
        <v>114</v>
      </c>
      <c r="GG19" s="223" t="s">
        <v>2</v>
      </c>
      <c r="GH19" s="223" t="s">
        <v>2</v>
      </c>
      <c r="GI19" s="98" t="s">
        <v>126</v>
      </c>
      <c r="GJ19" s="98" t="s">
        <v>126</v>
      </c>
      <c r="GK19" s="129" t="s">
        <v>2</v>
      </c>
      <c r="GL19" s="129" t="s">
        <v>2</v>
      </c>
      <c r="GM19" s="209" t="s">
        <v>122</v>
      </c>
      <c r="GN19" s="128" t="s">
        <v>123</v>
      </c>
      <c r="GO19" s="88" t="s">
        <v>142</v>
      </c>
      <c r="GP19" s="129" t="s">
        <v>2</v>
      </c>
      <c r="GQ19" s="209" t="s">
        <v>122</v>
      </c>
      <c r="GR19" s="131" t="s">
        <v>63</v>
      </c>
      <c r="GS19" s="98" t="s">
        <v>124</v>
      </c>
      <c r="GT19" s="128" t="s">
        <v>123</v>
      </c>
      <c r="GU19" s="212" t="s">
        <v>61</v>
      </c>
      <c r="GV19" s="129" t="s">
        <v>2</v>
      </c>
      <c r="GW19" s="209" t="s">
        <v>122</v>
      </c>
      <c r="GX19" s="128" t="s">
        <v>169</v>
      </c>
      <c r="GY19" s="128" t="s">
        <v>123</v>
      </c>
      <c r="GZ19" s="212" t="s">
        <v>61</v>
      </c>
      <c r="HA19" s="98" t="s">
        <v>124</v>
      </c>
      <c r="HB19" s="129" t="s">
        <v>2</v>
      </c>
      <c r="HC19" s="129" t="s">
        <v>2</v>
      </c>
      <c r="HD19" s="128" t="s">
        <v>123</v>
      </c>
      <c r="HE19" s="98" t="s">
        <v>124</v>
      </c>
      <c r="HF19" s="129" t="s">
        <v>2</v>
      </c>
      <c r="HG19" s="129" t="s">
        <v>2</v>
      </c>
      <c r="HH19" s="141" t="s">
        <v>120</v>
      </c>
      <c r="HI19" s="128" t="s">
        <v>123</v>
      </c>
      <c r="HJ19" s="62" t="s">
        <v>3</v>
      </c>
      <c r="HK19" s="80" t="s">
        <v>120</v>
      </c>
      <c r="HL19" s="56" t="s">
        <v>2</v>
      </c>
      <c r="HM19" s="81" t="s">
        <v>122</v>
      </c>
      <c r="HN19" s="58" t="s">
        <v>63</v>
      </c>
      <c r="HO19" s="58" t="s">
        <v>186</v>
      </c>
      <c r="HP19" s="82" t="s">
        <v>45</v>
      </c>
      <c r="HQ19" s="56" t="s">
        <v>2</v>
      </c>
      <c r="HR19" s="54" t="s">
        <v>54</v>
      </c>
      <c r="HS19" s="54" t="s">
        <v>54</v>
      </c>
      <c r="HT19" s="58" t="s">
        <v>45</v>
      </c>
      <c r="HU19" s="56" t="s">
        <v>2</v>
      </c>
      <c r="HV19" s="56" t="s">
        <v>2</v>
      </c>
      <c r="HW19" s="82" t="s">
        <v>146</v>
      </c>
      <c r="HX19" s="62" t="s">
        <v>149</v>
      </c>
      <c r="HY19" s="58" t="s">
        <v>67</v>
      </c>
      <c r="HZ19" s="58" t="s">
        <v>67</v>
      </c>
      <c r="IA19" s="56" t="s">
        <v>2</v>
      </c>
      <c r="IB19" s="58" t="s">
        <v>67</v>
      </c>
      <c r="IC19" s="56" t="s">
        <v>2</v>
      </c>
      <c r="ID19" s="55" t="s">
        <v>126</v>
      </c>
      <c r="IE19" s="62" t="s">
        <v>149</v>
      </c>
      <c r="IF19" s="81" t="s">
        <v>146</v>
      </c>
      <c r="IG19" s="81" t="s">
        <v>146</v>
      </c>
      <c r="IH19" s="81" t="s">
        <v>146</v>
      </c>
      <c r="II19" s="56" t="s">
        <v>2</v>
      </c>
      <c r="IJ19" s="81" t="s">
        <v>146</v>
      </c>
      <c r="IK19" s="56" t="s">
        <v>2</v>
      </c>
      <c r="IL19" s="62" t="s">
        <v>149</v>
      </c>
      <c r="IM19" s="56" t="s">
        <v>2</v>
      </c>
      <c r="IN19" s="82" t="s">
        <v>45</v>
      </c>
      <c r="IO19" s="82" t="s">
        <v>45</v>
      </c>
      <c r="IP19" s="82" t="s">
        <v>45</v>
      </c>
      <c r="IQ19" s="82" t="s">
        <v>45</v>
      </c>
      <c r="IR19" s="82" t="s">
        <v>45</v>
      </c>
      <c r="IS19" s="56" t="s">
        <v>2</v>
      </c>
      <c r="IT19" s="55" t="s">
        <v>126</v>
      </c>
      <c r="IU19" s="55" t="s">
        <v>126</v>
      </c>
      <c r="IV19" s="55" t="s">
        <v>126</v>
      </c>
      <c r="IW19" s="55" t="s">
        <v>126</v>
      </c>
      <c r="IX19" s="56" t="s">
        <v>2</v>
      </c>
      <c r="IY19" s="56" t="s">
        <v>2</v>
      </c>
      <c r="IZ19" s="62" t="s">
        <v>149</v>
      </c>
      <c r="JA19" s="80" t="s">
        <v>119</v>
      </c>
      <c r="JB19" s="80" t="s">
        <v>119</v>
      </c>
      <c r="JC19" s="56" t="s">
        <v>2</v>
      </c>
      <c r="JD19" s="80" t="s">
        <v>119</v>
      </c>
      <c r="JE19" s="56" t="s">
        <v>130</v>
      </c>
      <c r="JF19" s="81" t="s">
        <v>146</v>
      </c>
      <c r="JG19" s="56" t="s">
        <v>2</v>
      </c>
      <c r="JH19" s="54" t="s">
        <v>128</v>
      </c>
      <c r="JI19" s="82" t="s">
        <v>45</v>
      </c>
      <c r="JJ19" s="82" t="s">
        <v>45</v>
      </c>
      <c r="JK19" s="81" t="s">
        <v>146</v>
      </c>
      <c r="JL19" s="81" t="s">
        <v>146</v>
      </c>
      <c r="JM19" s="56" t="s">
        <v>2</v>
      </c>
      <c r="JN19" s="56" t="s">
        <v>2</v>
      </c>
      <c r="JO19" s="55" t="s">
        <v>126</v>
      </c>
      <c r="JP19" s="55" t="s">
        <v>126</v>
      </c>
      <c r="JQ19" s="81" t="s">
        <v>146</v>
      </c>
      <c r="JR19" s="56" t="s">
        <v>2</v>
      </c>
      <c r="JS19" s="56" t="s">
        <v>2</v>
      </c>
      <c r="JT19" s="80" t="s">
        <v>119</v>
      </c>
      <c r="JU19" s="62" t="s">
        <v>149</v>
      </c>
      <c r="JV19" s="131" t="s">
        <v>67</v>
      </c>
      <c r="JW19" s="58" t="s">
        <v>67</v>
      </c>
      <c r="JX19" s="58" t="s">
        <v>67</v>
      </c>
      <c r="JY19" s="56" t="s">
        <v>2</v>
      </c>
      <c r="JZ19" s="56" t="s">
        <v>2</v>
      </c>
      <c r="KA19" s="54" t="s">
        <v>128</v>
      </c>
      <c r="KB19" s="80" t="s">
        <v>164</v>
      </c>
      <c r="KC19" s="131" t="s">
        <v>67</v>
      </c>
      <c r="KD19" s="58" t="s">
        <v>67</v>
      </c>
      <c r="KE19" s="58" t="s">
        <v>67</v>
      </c>
      <c r="KF19" s="56" t="s">
        <v>2</v>
      </c>
      <c r="KG19" s="56" t="s">
        <v>2</v>
      </c>
      <c r="KH19" s="54" t="s">
        <v>128</v>
      </c>
      <c r="KI19" s="80" t="s">
        <v>164</v>
      </c>
      <c r="KJ19" s="131" t="s">
        <v>67</v>
      </c>
      <c r="KK19" s="58" t="s">
        <v>67</v>
      </c>
      <c r="KL19" s="58" t="s">
        <v>67</v>
      </c>
      <c r="KM19" s="56" t="s">
        <v>2</v>
      </c>
      <c r="KN19" s="56" t="s">
        <v>2</v>
      </c>
      <c r="KO19" s="54" t="s">
        <v>128</v>
      </c>
      <c r="KP19" s="80" t="s">
        <v>164</v>
      </c>
      <c r="KQ19" s="56" t="s">
        <v>2</v>
      </c>
      <c r="KR19" s="54" t="s">
        <v>128</v>
      </c>
      <c r="KS19" s="54" t="s">
        <v>128</v>
      </c>
      <c r="KT19" s="54" t="s">
        <v>128</v>
      </c>
      <c r="KU19" s="54" t="s">
        <v>128</v>
      </c>
      <c r="KV19" s="54" t="s">
        <v>128</v>
      </c>
      <c r="KW19" s="56" t="s">
        <v>2</v>
      </c>
      <c r="KX19" s="80" t="s">
        <v>119</v>
      </c>
      <c r="KY19" s="80" t="s">
        <v>119</v>
      </c>
      <c r="KZ19" s="80" t="s">
        <v>119</v>
      </c>
      <c r="LA19" s="80" t="s">
        <v>119</v>
      </c>
      <c r="LB19" s="80" t="s">
        <v>119</v>
      </c>
      <c r="LC19" s="56" t="s">
        <v>2</v>
      </c>
      <c r="LD19" s="56" t="s">
        <v>2</v>
      </c>
      <c r="LE19" s="55" t="s">
        <v>126</v>
      </c>
      <c r="LF19" s="58" t="s">
        <v>67</v>
      </c>
      <c r="LG19" s="56" t="s">
        <v>2</v>
      </c>
      <c r="LH19" s="56" t="s">
        <v>2</v>
      </c>
      <c r="LI19" s="58" t="s">
        <v>67</v>
      </c>
      <c r="LJ19" s="58" t="s">
        <v>67</v>
      </c>
      <c r="LK19" s="131" t="s">
        <v>54</v>
      </c>
      <c r="LL19" s="55" t="s">
        <v>126</v>
      </c>
      <c r="LM19" s="58" t="s">
        <v>67</v>
      </c>
      <c r="LN19" s="56" t="s">
        <v>2</v>
      </c>
      <c r="LO19" s="56" t="s">
        <v>2</v>
      </c>
      <c r="LP19" s="58" t="s">
        <v>67</v>
      </c>
      <c r="LQ19" s="58" t="s">
        <v>67</v>
      </c>
      <c r="LR19" s="131" t="s">
        <v>54</v>
      </c>
      <c r="LS19" s="81" t="s">
        <v>146</v>
      </c>
      <c r="LT19" s="81" t="s">
        <v>146</v>
      </c>
      <c r="LU19" s="81" t="s">
        <v>146</v>
      </c>
      <c r="LV19" s="56" t="s">
        <v>2</v>
      </c>
      <c r="LW19" s="56" t="s">
        <v>2</v>
      </c>
      <c r="LX19" s="80" t="s">
        <v>119</v>
      </c>
      <c r="LY19" s="62" t="s">
        <v>149</v>
      </c>
    </row>
    <row r="20" spans="1:365" ht="13">
      <c r="A20" s="473"/>
      <c r="B20" s="473"/>
      <c r="C20" s="508"/>
      <c r="D20" s="508"/>
      <c r="E20" s="473"/>
      <c r="F20" s="508"/>
      <c r="G20" s="473"/>
      <c r="H20" s="473"/>
      <c r="I20" s="510"/>
      <c r="J20" s="473"/>
      <c r="K20" s="508"/>
      <c r="L20" s="472"/>
      <c r="M20" s="472"/>
      <c r="N20" s="472">
        <v>4</v>
      </c>
      <c r="O20" s="470" t="s">
        <v>309</v>
      </c>
      <c r="P20" s="589"/>
      <c r="Q20" s="580"/>
      <c r="R20" s="580"/>
      <c r="S20" s="580"/>
      <c r="T20" s="580"/>
      <c r="U20" s="580"/>
      <c r="V20" s="590"/>
      <c r="W20" s="589"/>
      <c r="X20" s="580"/>
      <c r="Y20" s="581"/>
      <c r="Z20" s="581"/>
      <c r="AA20" s="581"/>
      <c r="AB20" s="581"/>
      <c r="AC20" s="582"/>
      <c r="AD20" s="586"/>
      <c r="AE20" s="581"/>
      <c r="AF20" s="581"/>
      <c r="AG20" s="581"/>
      <c r="AH20" s="581"/>
      <c r="AI20" s="581"/>
      <c r="AJ20" s="582"/>
      <c r="AK20" s="586"/>
      <c r="AL20" s="581"/>
      <c r="AM20" s="581"/>
      <c r="AN20" s="581"/>
      <c r="AO20" s="581"/>
      <c r="AP20" s="581"/>
      <c r="AQ20" s="582"/>
      <c r="AR20" s="586"/>
      <c r="AS20" s="581"/>
      <c r="AT20" s="581"/>
      <c r="AU20" s="581"/>
      <c r="AV20" s="581"/>
      <c r="AW20" s="581"/>
      <c r="AX20" s="582"/>
      <c r="AY20" s="586"/>
      <c r="AZ20" s="581"/>
      <c r="BA20" s="581"/>
      <c r="BB20" s="581"/>
      <c r="BC20" s="581"/>
      <c r="BD20" s="581"/>
      <c r="BE20" s="582"/>
      <c r="BF20" s="586"/>
      <c r="BG20" s="581"/>
      <c r="BH20" s="581"/>
      <c r="BI20" s="581"/>
      <c r="BJ20" s="581"/>
      <c r="BK20" s="581"/>
      <c r="BL20" s="582"/>
      <c r="BM20" s="586"/>
      <c r="BN20" s="581"/>
      <c r="BO20" s="581"/>
      <c r="BP20" s="581"/>
      <c r="BQ20" s="581"/>
      <c r="BR20" s="581"/>
      <c r="BS20" s="582"/>
      <c r="BT20" s="589"/>
      <c r="BU20" s="580"/>
      <c r="BV20" s="580"/>
      <c r="BW20" s="580"/>
      <c r="BX20" s="580"/>
      <c r="BY20" s="580"/>
      <c r="BZ20" s="590"/>
      <c r="CA20" s="589"/>
      <c r="CB20" s="580"/>
      <c r="CC20" s="580"/>
      <c r="CD20" s="580"/>
      <c r="CE20" s="580"/>
      <c r="CF20" s="580"/>
      <c r="CG20" s="590"/>
      <c r="CH20" s="589"/>
      <c r="CI20" s="580"/>
      <c r="CJ20" s="580"/>
      <c r="CK20" s="580"/>
      <c r="CL20" s="580"/>
      <c r="CM20" s="580"/>
      <c r="CN20" s="590"/>
      <c r="CO20" s="589"/>
      <c r="CP20" s="580"/>
      <c r="CQ20" s="580"/>
      <c r="CR20" s="580"/>
      <c r="CS20" s="580"/>
      <c r="CT20" s="580"/>
      <c r="CU20" s="590"/>
      <c r="CV20" s="589"/>
      <c r="CW20" s="580"/>
      <c r="CX20" s="580"/>
      <c r="CY20" s="580"/>
      <c r="CZ20" s="580"/>
      <c r="DA20" s="580"/>
      <c r="DB20" s="590"/>
      <c r="DC20" s="589"/>
      <c r="DD20" s="580"/>
      <c r="DE20" s="580"/>
      <c r="DF20" s="580"/>
      <c r="DG20" s="580"/>
      <c r="DH20" s="580"/>
      <c r="DI20" s="590"/>
      <c r="DJ20" s="589"/>
      <c r="DK20" s="580"/>
      <c r="DL20" s="580"/>
      <c r="DM20" s="580"/>
      <c r="DN20" s="580"/>
      <c r="DO20" s="580"/>
      <c r="DP20" s="590"/>
      <c r="DQ20" s="589"/>
      <c r="DR20" s="580"/>
      <c r="DS20" s="580"/>
      <c r="DT20" s="580"/>
      <c r="DU20" s="580"/>
      <c r="DV20" s="580"/>
      <c r="DW20" s="590"/>
      <c r="DX20" s="589"/>
      <c r="DY20" s="580"/>
      <c r="DZ20" s="580"/>
      <c r="EA20" s="580"/>
      <c r="EB20" s="580"/>
      <c r="EC20" s="580"/>
      <c r="ED20" s="590"/>
      <c r="EE20" s="589"/>
      <c r="EF20" s="580"/>
      <c r="EG20" s="580"/>
      <c r="EH20" s="580"/>
      <c r="EI20" s="580"/>
      <c r="EJ20" s="580"/>
      <c r="EK20" s="590"/>
      <c r="EL20" s="606"/>
      <c r="EM20" s="592"/>
      <c r="EN20" s="592"/>
      <c r="EO20" s="592"/>
      <c r="EP20" s="592"/>
      <c r="EQ20" s="592"/>
      <c r="ER20" s="593"/>
      <c r="ES20" s="606"/>
      <c r="ET20" s="592"/>
      <c r="EU20" s="592"/>
      <c r="EV20" s="592"/>
      <c r="EW20" s="592"/>
      <c r="EX20" s="592"/>
      <c r="EY20" s="593"/>
      <c r="EZ20" s="606"/>
      <c r="FA20" s="592"/>
      <c r="FB20" s="592"/>
      <c r="FC20" s="592"/>
      <c r="FD20" s="592"/>
      <c r="FE20" s="592"/>
      <c r="FF20" s="593"/>
      <c r="FG20" s="606"/>
      <c r="FH20" s="592"/>
      <c r="FI20" s="592"/>
      <c r="FJ20" s="592"/>
      <c r="FK20" s="592"/>
      <c r="FL20" s="592"/>
      <c r="FM20" s="593"/>
      <c r="FN20" s="606"/>
      <c r="FO20" s="592"/>
      <c r="FP20" s="592"/>
      <c r="FQ20" s="592"/>
      <c r="FR20" s="592"/>
      <c r="FS20" s="592"/>
      <c r="FT20" s="593"/>
      <c r="FU20" s="606"/>
      <c r="FV20" s="592"/>
      <c r="FW20" s="592"/>
      <c r="FX20" s="592"/>
      <c r="FY20" s="592"/>
      <c r="FZ20" s="592"/>
      <c r="GA20" s="593"/>
      <c r="GB20" s="606"/>
      <c r="GC20" s="592"/>
      <c r="GD20" s="592"/>
      <c r="GE20" s="592"/>
      <c r="GF20" s="592"/>
      <c r="GG20" s="592"/>
      <c r="GH20" s="593"/>
      <c r="GI20" s="80" t="s">
        <v>25</v>
      </c>
      <c r="GJ20" s="80" t="s">
        <v>25</v>
      </c>
      <c r="GK20" s="80" t="s">
        <v>25</v>
      </c>
      <c r="GL20" s="80" t="s">
        <v>25</v>
      </c>
      <c r="GM20" s="80" t="s">
        <v>25</v>
      </c>
      <c r="GN20" s="129" t="s">
        <v>2</v>
      </c>
      <c r="GO20" s="129" t="s">
        <v>2</v>
      </c>
      <c r="GP20" s="80" t="s">
        <v>25</v>
      </c>
      <c r="GQ20" s="80" t="s">
        <v>25</v>
      </c>
      <c r="GR20" s="80" t="s">
        <v>25</v>
      </c>
      <c r="GS20" s="80" t="s">
        <v>25</v>
      </c>
      <c r="GT20" s="129" t="s">
        <v>2</v>
      </c>
      <c r="GU20" s="80" t="s">
        <v>25</v>
      </c>
      <c r="GV20" s="129" t="s">
        <v>2</v>
      </c>
      <c r="GW20" s="80" t="s">
        <v>25</v>
      </c>
      <c r="GX20" s="80" t="s">
        <v>25</v>
      </c>
      <c r="GY20" s="80" t="s">
        <v>25</v>
      </c>
      <c r="GZ20" s="80" t="s">
        <v>25</v>
      </c>
      <c r="HA20" s="80" t="s">
        <v>25</v>
      </c>
      <c r="HB20" s="129" t="s">
        <v>2</v>
      </c>
      <c r="HC20" s="129" t="s">
        <v>2</v>
      </c>
      <c r="HD20" s="80" t="s">
        <v>25</v>
      </c>
      <c r="HE20" s="80" t="s">
        <v>25</v>
      </c>
      <c r="HF20" s="80" t="s">
        <v>25</v>
      </c>
      <c r="HG20" s="80" t="s">
        <v>25</v>
      </c>
      <c r="HH20" s="80" t="s">
        <v>26</v>
      </c>
      <c r="HI20" s="129" t="s">
        <v>2</v>
      </c>
      <c r="HJ20" s="129" t="s">
        <v>2</v>
      </c>
      <c r="HK20" s="56" t="s">
        <v>2</v>
      </c>
      <c r="HL20" s="58" t="s">
        <v>277</v>
      </c>
      <c r="HM20" s="82" t="s">
        <v>61</v>
      </c>
      <c r="HN20" s="82" t="s">
        <v>61</v>
      </c>
      <c r="HO20" s="58" t="s">
        <v>310</v>
      </c>
      <c r="HP20" s="58" t="s">
        <v>187</v>
      </c>
      <c r="HQ20" s="56" t="s">
        <v>2</v>
      </c>
      <c r="HR20" s="54" t="s">
        <v>53</v>
      </c>
      <c r="HS20" s="56" t="s">
        <v>2</v>
      </c>
      <c r="HT20" s="54" t="s">
        <v>54</v>
      </c>
      <c r="HU20" s="54" t="s">
        <v>54</v>
      </c>
      <c r="HV20" s="54" t="s">
        <v>53</v>
      </c>
      <c r="HW20" s="54" t="s">
        <v>54</v>
      </c>
      <c r="HX20" s="56" t="s">
        <v>2</v>
      </c>
      <c r="HY20" s="58" t="s">
        <v>67</v>
      </c>
      <c r="HZ20" s="58" t="s">
        <v>67</v>
      </c>
      <c r="IA20" s="58" t="s">
        <v>67</v>
      </c>
      <c r="IB20" s="58" t="s">
        <v>67</v>
      </c>
      <c r="IC20" s="56" t="s">
        <v>2</v>
      </c>
      <c r="ID20" s="54" t="s">
        <v>51</v>
      </c>
      <c r="IE20" s="56" t="s">
        <v>2</v>
      </c>
      <c r="IF20" s="56" t="s">
        <v>2</v>
      </c>
      <c r="IG20" s="54" t="s">
        <v>128</v>
      </c>
      <c r="IH20" s="54" t="s">
        <v>128</v>
      </c>
      <c r="II20" s="54" t="s">
        <v>128</v>
      </c>
      <c r="IJ20" s="54" t="s">
        <v>128</v>
      </c>
      <c r="IK20" s="54" t="s">
        <v>128</v>
      </c>
      <c r="IL20" s="56" t="s">
        <v>2</v>
      </c>
      <c r="IM20" s="54" t="s">
        <v>128</v>
      </c>
      <c r="IN20" s="56" t="s">
        <v>2</v>
      </c>
      <c r="IO20" s="54" t="s">
        <v>128</v>
      </c>
      <c r="IP20" s="54" t="s">
        <v>128</v>
      </c>
      <c r="IQ20" s="56" t="s">
        <v>2</v>
      </c>
      <c r="IR20" s="81" t="s">
        <v>146</v>
      </c>
      <c r="IS20" s="62" t="s">
        <v>149</v>
      </c>
      <c r="IT20" s="54" t="s">
        <v>128</v>
      </c>
      <c r="IU20" s="54" t="s">
        <v>128</v>
      </c>
      <c r="IV20" s="56" t="s">
        <v>2</v>
      </c>
      <c r="IW20" s="54" t="s">
        <v>128</v>
      </c>
      <c r="IX20" s="56" t="s">
        <v>2</v>
      </c>
      <c r="IY20" s="54" t="s">
        <v>128</v>
      </c>
      <c r="IZ20" s="62" t="s">
        <v>149</v>
      </c>
      <c r="JA20" s="56" t="s">
        <v>2</v>
      </c>
      <c r="JB20" s="81" t="s">
        <v>129</v>
      </c>
      <c r="JC20" s="81" t="s">
        <v>146</v>
      </c>
      <c r="JD20" s="58" t="s">
        <v>67</v>
      </c>
      <c r="JE20" s="56" t="s">
        <v>130</v>
      </c>
      <c r="JF20" s="58" t="s">
        <v>67</v>
      </c>
      <c r="JG20" s="56" t="s">
        <v>2</v>
      </c>
      <c r="JH20" s="82" t="s">
        <v>45</v>
      </c>
      <c r="JI20" s="82" t="s">
        <v>45</v>
      </c>
      <c r="JJ20" s="81" t="s">
        <v>146</v>
      </c>
      <c r="JK20" s="81" t="s">
        <v>146</v>
      </c>
      <c r="JL20" s="55" t="s">
        <v>126</v>
      </c>
      <c r="JM20" s="56" t="s">
        <v>2</v>
      </c>
      <c r="JN20" s="56" t="s">
        <v>2</v>
      </c>
      <c r="JO20" s="102" t="s">
        <v>27</v>
      </c>
      <c r="JP20" s="102" t="s">
        <v>27</v>
      </c>
      <c r="JQ20" s="102" t="s">
        <v>27</v>
      </c>
      <c r="JR20" s="102" t="s">
        <v>27</v>
      </c>
      <c r="JS20" s="102" t="s">
        <v>27</v>
      </c>
      <c r="JT20" s="56" t="s">
        <v>2</v>
      </c>
      <c r="JU20" s="56" t="s">
        <v>2</v>
      </c>
      <c r="JV20" s="54" t="s">
        <v>128</v>
      </c>
      <c r="JW20" s="54" t="s">
        <v>128</v>
      </c>
      <c r="JX20" s="54" t="s">
        <v>128</v>
      </c>
      <c r="JY20" s="54" t="s">
        <v>128</v>
      </c>
      <c r="JZ20" s="56" t="s">
        <v>2</v>
      </c>
      <c r="KA20" s="56" t="s">
        <v>2</v>
      </c>
      <c r="KB20" s="62" t="s">
        <v>149</v>
      </c>
      <c r="KC20" s="54" t="s">
        <v>128</v>
      </c>
      <c r="KD20" s="54" t="s">
        <v>128</v>
      </c>
      <c r="KE20" s="54" t="s">
        <v>128</v>
      </c>
      <c r="KF20" s="54" t="s">
        <v>128</v>
      </c>
      <c r="KG20" s="54" t="s">
        <v>128</v>
      </c>
      <c r="KH20" s="56" t="s">
        <v>2</v>
      </c>
      <c r="KI20" s="56" t="s">
        <v>2</v>
      </c>
      <c r="KJ20" s="54" t="s">
        <v>128</v>
      </c>
      <c r="KK20" s="54" t="s">
        <v>128</v>
      </c>
      <c r="KL20" s="54" t="s">
        <v>128</v>
      </c>
      <c r="KM20" s="54" t="s">
        <v>128</v>
      </c>
      <c r="KN20" s="56" t="s">
        <v>2</v>
      </c>
      <c r="KO20" s="56" t="s">
        <v>2</v>
      </c>
      <c r="KP20" s="62" t="s">
        <v>149</v>
      </c>
      <c r="KQ20" s="131" t="s">
        <v>67</v>
      </c>
      <c r="KR20" s="54" t="s">
        <v>128</v>
      </c>
      <c r="KS20" s="54" t="s">
        <v>128</v>
      </c>
      <c r="KT20" s="56" t="s">
        <v>2</v>
      </c>
      <c r="KU20" s="56" t="s">
        <v>2</v>
      </c>
      <c r="KV20" s="82" t="s">
        <v>45</v>
      </c>
      <c r="KW20" s="80" t="s">
        <v>164</v>
      </c>
      <c r="KX20" s="58" t="s">
        <v>67</v>
      </c>
      <c r="KY20" s="58" t="s">
        <v>67</v>
      </c>
      <c r="KZ20" s="58" t="s">
        <v>67</v>
      </c>
      <c r="LA20" s="54" t="s">
        <v>128</v>
      </c>
      <c r="LB20" s="56" t="s">
        <v>2</v>
      </c>
      <c r="LC20" s="56" t="s">
        <v>2</v>
      </c>
      <c r="LD20" s="62" t="s">
        <v>149</v>
      </c>
      <c r="LE20" s="81" t="s">
        <v>129</v>
      </c>
      <c r="LF20" s="82" t="s">
        <v>45</v>
      </c>
      <c r="LG20" s="82" t="s">
        <v>45</v>
      </c>
      <c r="LH20" s="82" t="s">
        <v>45</v>
      </c>
      <c r="LI20" s="56" t="s">
        <v>2</v>
      </c>
      <c r="LJ20" s="80" t="s">
        <v>119</v>
      </c>
      <c r="LK20" s="56" t="s">
        <v>2</v>
      </c>
      <c r="LL20" s="81" t="s">
        <v>129</v>
      </c>
      <c r="LM20" s="81" t="s">
        <v>129</v>
      </c>
      <c r="LN20" s="81" t="s">
        <v>129</v>
      </c>
      <c r="LO20" s="81" t="s">
        <v>129</v>
      </c>
      <c r="LP20" s="81" t="s">
        <v>129</v>
      </c>
      <c r="LQ20" s="56" t="s">
        <v>2</v>
      </c>
      <c r="LR20" s="56" t="s">
        <v>2</v>
      </c>
      <c r="LS20" s="54" t="s">
        <v>128</v>
      </c>
      <c r="LT20" s="56" t="s">
        <v>2</v>
      </c>
      <c r="LU20" s="56" t="s">
        <v>2</v>
      </c>
      <c r="LV20" s="81" t="s">
        <v>146</v>
      </c>
      <c r="LW20" s="81" t="s">
        <v>146</v>
      </c>
      <c r="LX20" s="81" t="s">
        <v>129</v>
      </c>
      <c r="LY20" s="62" t="s">
        <v>149</v>
      </c>
    </row>
    <row r="21" spans="1:365" s="512" customFormat="1" ht="13">
      <c r="C21" s="472" t="s">
        <v>99</v>
      </c>
      <c r="D21" s="472" t="s">
        <v>100</v>
      </c>
      <c r="E21" s="472" t="s">
        <v>494</v>
      </c>
      <c r="F21" s="472" t="s">
        <v>495</v>
      </c>
      <c r="G21" s="472" t="s">
        <v>496</v>
      </c>
      <c r="H21" s="472" t="s">
        <v>497</v>
      </c>
      <c r="I21" s="472" t="s">
        <v>498</v>
      </c>
      <c r="J21" s="472" t="s">
        <v>499</v>
      </c>
      <c r="K21" s="472" t="s">
        <v>500</v>
      </c>
      <c r="L21" s="472" t="s">
        <v>506</v>
      </c>
      <c r="M21" s="472"/>
      <c r="N21" s="472" t="s">
        <v>505</v>
      </c>
      <c r="O21" s="513"/>
      <c r="P21" s="513"/>
      <c r="Q21" s="513"/>
      <c r="R21" s="513"/>
      <c r="S21" s="513"/>
      <c r="T21" s="513"/>
      <c r="U21" s="513"/>
      <c r="V21" s="513"/>
      <c r="W21" s="513"/>
      <c r="X21" s="513"/>
      <c r="Y21" s="513"/>
      <c r="Z21" s="513"/>
      <c r="AA21" s="513"/>
      <c r="AB21" s="513"/>
      <c r="AC21" s="513"/>
      <c r="AD21" s="513"/>
      <c r="AE21" s="513"/>
      <c r="AF21" s="513"/>
      <c r="AG21" s="513"/>
      <c r="AH21" s="513"/>
      <c r="AI21" s="513"/>
      <c r="AJ21" s="513"/>
      <c r="AK21" s="513"/>
      <c r="AL21" s="513"/>
      <c r="AM21" s="513"/>
      <c r="AN21" s="513"/>
      <c r="AO21" s="513"/>
      <c r="AP21" s="513"/>
      <c r="AQ21" s="513"/>
      <c r="AR21" s="513"/>
      <c r="AS21" s="513"/>
      <c r="AT21" s="513"/>
      <c r="AU21" s="513"/>
      <c r="AV21" s="513"/>
      <c r="AW21" s="513"/>
      <c r="AX21" s="513"/>
      <c r="AY21" s="513"/>
      <c r="AZ21" s="513"/>
      <c r="BA21" s="513"/>
      <c r="BB21" s="513"/>
      <c r="BC21" s="513"/>
      <c r="BD21" s="513"/>
      <c r="BE21" s="513"/>
      <c r="BF21" s="513"/>
      <c r="BG21" s="513"/>
      <c r="BH21" s="513"/>
      <c r="BI21" s="513"/>
      <c r="BJ21" s="513"/>
      <c r="BK21" s="513"/>
      <c r="BL21" s="513"/>
      <c r="BM21" s="513"/>
      <c r="BN21" s="513"/>
      <c r="BO21" s="513"/>
      <c r="BP21" s="513"/>
      <c r="BQ21" s="513"/>
      <c r="BR21" s="513"/>
      <c r="BS21" s="513"/>
      <c r="BT21" s="513"/>
      <c r="BU21" s="513"/>
      <c r="BV21" s="513"/>
      <c r="BW21" s="513"/>
      <c r="BX21" s="513"/>
      <c r="BY21" s="513"/>
      <c r="BZ21" s="513"/>
      <c r="CA21" s="513"/>
      <c r="CB21" s="513"/>
      <c r="CC21" s="513"/>
      <c r="CD21" s="513"/>
      <c r="CE21" s="513"/>
      <c r="CF21" s="513"/>
      <c r="CG21" s="513"/>
      <c r="CH21" s="513"/>
      <c r="CI21" s="513"/>
      <c r="CJ21" s="513"/>
      <c r="CK21" s="513"/>
      <c r="CL21" s="513"/>
      <c r="CM21" s="513"/>
      <c r="CN21" s="513"/>
      <c r="CO21" s="513"/>
      <c r="CP21" s="513"/>
      <c r="CQ21" s="513"/>
      <c r="CR21" s="513"/>
      <c r="CS21" s="513"/>
      <c r="CT21" s="513"/>
      <c r="CU21" s="513"/>
      <c r="CV21" s="513"/>
      <c r="CW21" s="513"/>
      <c r="CX21" s="513"/>
      <c r="CY21" s="513"/>
      <c r="CZ21" s="513"/>
      <c r="DA21" s="513"/>
      <c r="DB21" s="513"/>
      <c r="DC21" s="513"/>
      <c r="DD21" s="513"/>
      <c r="DE21" s="513"/>
      <c r="DF21" s="513"/>
      <c r="DG21" s="513"/>
      <c r="DH21" s="513"/>
      <c r="DI21" s="513"/>
      <c r="DJ21" s="513"/>
      <c r="DK21" s="513"/>
      <c r="DL21" s="513"/>
      <c r="DM21" s="513"/>
      <c r="DN21" s="513"/>
      <c r="DO21" s="513"/>
      <c r="DP21" s="513"/>
      <c r="DQ21" s="513"/>
      <c r="DR21" s="513"/>
      <c r="DS21" s="513"/>
      <c r="DT21" s="513"/>
      <c r="DU21" s="513"/>
      <c r="DV21" s="513"/>
      <c r="DW21" s="513"/>
      <c r="DX21" s="513"/>
      <c r="DY21" s="513"/>
      <c r="DZ21" s="513"/>
      <c r="EA21" s="513"/>
      <c r="EB21" s="513"/>
      <c r="EC21" s="513"/>
      <c r="ED21" s="513"/>
      <c r="EE21" s="513"/>
      <c r="EF21" s="513"/>
      <c r="EG21" s="513"/>
      <c r="EH21" s="513"/>
      <c r="EI21" s="513"/>
      <c r="EJ21" s="513"/>
      <c r="EK21" s="513"/>
      <c r="EL21" s="513"/>
      <c r="EM21" s="513"/>
      <c r="EN21" s="513"/>
      <c r="EO21" s="513"/>
      <c r="EP21" s="513"/>
      <c r="EQ21" s="513"/>
      <c r="ER21" s="513"/>
      <c r="ES21" s="513"/>
      <c r="ET21" s="513"/>
      <c r="EU21" s="513"/>
      <c r="EV21" s="513"/>
      <c r="EW21" s="513"/>
      <c r="EX21" s="513"/>
      <c r="EY21" s="513"/>
      <c r="EZ21" s="513"/>
      <c r="FA21" s="513"/>
      <c r="FB21" s="513"/>
      <c r="FC21" s="513"/>
      <c r="FD21" s="513"/>
      <c r="FE21" s="513"/>
      <c r="FF21" s="513"/>
      <c r="FG21" s="513"/>
      <c r="FH21" s="513"/>
      <c r="FI21" s="513"/>
      <c r="FJ21" s="513"/>
      <c r="FK21" s="513"/>
      <c r="FL21" s="513"/>
      <c r="FM21" s="513"/>
      <c r="FN21" s="513"/>
      <c r="FO21" s="513"/>
      <c r="FP21" s="513"/>
      <c r="FQ21" s="513"/>
      <c r="FR21" s="513"/>
      <c r="FS21" s="513"/>
      <c r="FT21" s="513"/>
      <c r="FU21" s="513"/>
      <c r="FV21" s="513"/>
      <c r="FW21" s="513"/>
      <c r="FX21" s="513"/>
      <c r="FY21" s="513"/>
      <c r="FZ21" s="513"/>
      <c r="GA21" s="513"/>
      <c r="GB21" s="513"/>
      <c r="GC21" s="513"/>
      <c r="GD21" s="513"/>
      <c r="GE21" s="513"/>
      <c r="GF21" s="513"/>
      <c r="GG21" s="513"/>
      <c r="GH21" s="513"/>
      <c r="GI21" s="513"/>
      <c r="GJ21" s="513"/>
      <c r="GK21" s="513"/>
      <c r="GL21" s="513"/>
      <c r="GM21" s="513"/>
      <c r="GN21" s="513"/>
      <c r="GO21" s="513"/>
      <c r="GP21" s="513"/>
      <c r="GQ21" s="513"/>
      <c r="GR21" s="513"/>
      <c r="GS21" s="513"/>
      <c r="GT21" s="513"/>
      <c r="GU21" s="513"/>
      <c r="GV21" s="513"/>
      <c r="GW21" s="513"/>
      <c r="GX21" s="513"/>
      <c r="GY21" s="513"/>
      <c r="GZ21" s="513"/>
      <c r="HA21" s="513"/>
      <c r="HB21" s="513"/>
      <c r="HC21" s="513"/>
      <c r="HD21" s="513"/>
      <c r="HE21" s="513"/>
      <c r="HF21" s="513"/>
      <c r="HG21" s="513"/>
      <c r="HH21" s="513"/>
      <c r="HI21" s="513"/>
      <c r="HJ21" s="513"/>
      <c r="HK21" s="513"/>
      <c r="HL21" s="513"/>
      <c r="HM21" s="513"/>
      <c r="HN21" s="513"/>
      <c r="HO21" s="513"/>
      <c r="HP21" s="513"/>
      <c r="HQ21" s="513"/>
      <c r="HR21" s="513"/>
      <c r="HS21" s="513"/>
      <c r="HT21" s="513"/>
      <c r="HU21" s="513"/>
      <c r="HV21" s="513"/>
      <c r="HW21" s="513"/>
      <c r="HX21" s="513"/>
      <c r="HY21" s="513"/>
      <c r="HZ21" s="513"/>
      <c r="IA21" s="513"/>
      <c r="IB21" s="513"/>
      <c r="IC21" s="513"/>
      <c r="ID21" s="513"/>
      <c r="IE21" s="513"/>
      <c r="IF21" s="513"/>
      <c r="IG21" s="513"/>
      <c r="IH21" s="513"/>
      <c r="II21" s="513"/>
      <c r="IJ21" s="513"/>
      <c r="IK21" s="513"/>
      <c r="IL21" s="513"/>
      <c r="IM21" s="513"/>
      <c r="IN21" s="513"/>
      <c r="IO21" s="513"/>
      <c r="IP21" s="513"/>
      <c r="IQ21" s="513"/>
      <c r="IR21" s="513"/>
      <c r="IS21" s="513"/>
      <c r="IT21" s="513"/>
      <c r="IU21" s="513"/>
      <c r="IV21" s="513"/>
      <c r="IW21" s="513"/>
      <c r="IX21" s="513"/>
      <c r="IY21" s="513"/>
      <c r="IZ21" s="513"/>
      <c r="JA21" s="513"/>
      <c r="JB21" s="513"/>
      <c r="JC21" s="513"/>
      <c r="JD21" s="513"/>
      <c r="JE21" s="513"/>
      <c r="JF21" s="513"/>
      <c r="JG21" s="513"/>
      <c r="JH21" s="513"/>
      <c r="JI21" s="513"/>
      <c r="JJ21" s="513"/>
      <c r="JK21" s="513"/>
      <c r="JL21" s="513"/>
      <c r="JM21" s="513"/>
      <c r="JN21" s="513"/>
      <c r="JO21" s="513"/>
      <c r="JP21" s="513"/>
      <c r="JQ21" s="513"/>
      <c r="JR21" s="513"/>
      <c r="JS21" s="513"/>
      <c r="JT21" s="513"/>
      <c r="JU21" s="513"/>
    </row>
    <row r="22" spans="1:365" ht="13">
      <c r="C22" s="473"/>
      <c r="D22" s="473"/>
      <c r="E22" s="508"/>
      <c r="F22" s="473"/>
      <c r="G22" s="508"/>
      <c r="H22" s="473"/>
      <c r="I22" s="473"/>
      <c r="J22" s="473"/>
      <c r="K22" s="473"/>
      <c r="L22" s="473"/>
      <c r="M22" s="472"/>
      <c r="N22" s="472">
        <v>2</v>
      </c>
      <c r="O22" s="83" t="s">
        <v>311</v>
      </c>
      <c r="P22" s="583"/>
      <c r="Q22" s="584"/>
      <c r="R22" s="584"/>
      <c r="S22" s="584"/>
      <c r="T22" s="584"/>
      <c r="U22" s="584"/>
      <c r="V22" s="585"/>
      <c r="W22" s="583"/>
      <c r="X22" s="584"/>
      <c r="Y22" s="584"/>
      <c r="Z22" s="584"/>
      <c r="AA22" s="584"/>
      <c r="AB22" s="584"/>
      <c r="AC22" s="585"/>
      <c r="AD22" s="587"/>
      <c r="AE22" s="584"/>
      <c r="AF22" s="584"/>
      <c r="AG22" s="584"/>
      <c r="AH22" s="584"/>
      <c r="AI22" s="584"/>
      <c r="AJ22" s="588"/>
      <c r="AK22" s="206" t="s">
        <v>8</v>
      </c>
      <c r="AL22" s="206" t="s">
        <v>8</v>
      </c>
      <c r="AM22" s="206" t="s">
        <v>8</v>
      </c>
      <c r="AN22" s="206" t="s">
        <v>15</v>
      </c>
      <c r="AO22" s="206" t="s">
        <v>2</v>
      </c>
      <c r="AP22" s="200" t="s">
        <v>2</v>
      </c>
      <c r="AQ22" s="144" t="s">
        <v>3</v>
      </c>
      <c r="AR22" s="206" t="s">
        <v>7</v>
      </c>
      <c r="AS22" s="206" t="s">
        <v>7</v>
      </c>
      <c r="AT22" s="206" t="s">
        <v>7</v>
      </c>
      <c r="AU22" s="206" t="s">
        <v>7</v>
      </c>
      <c r="AV22" s="206" t="s">
        <v>7</v>
      </c>
      <c r="AW22" s="200" t="s">
        <v>2</v>
      </c>
      <c r="AX22" s="200" t="s">
        <v>2</v>
      </c>
      <c r="AY22" s="206" t="s">
        <v>7</v>
      </c>
      <c r="AZ22" s="206" t="s">
        <v>7</v>
      </c>
      <c r="BA22" s="206" t="s">
        <v>7</v>
      </c>
      <c r="BB22" s="206" t="s">
        <v>7</v>
      </c>
      <c r="BC22" s="206" t="s">
        <v>7</v>
      </c>
      <c r="BD22" s="200" t="s">
        <v>2</v>
      </c>
      <c r="BE22" s="200" t="s">
        <v>2</v>
      </c>
      <c r="BF22" s="153" t="s">
        <v>7</v>
      </c>
      <c r="BG22" s="153" t="s">
        <v>7</v>
      </c>
      <c r="BH22" s="153" t="s">
        <v>7</v>
      </c>
      <c r="BI22" s="153" t="s">
        <v>7</v>
      </c>
      <c r="BJ22" s="153" t="s">
        <v>7</v>
      </c>
      <c r="BK22" s="136" t="s">
        <v>2</v>
      </c>
      <c r="BL22" s="136" t="s">
        <v>2</v>
      </c>
      <c r="BM22" s="136" t="s">
        <v>2</v>
      </c>
      <c r="BN22" s="153" t="s">
        <v>7</v>
      </c>
      <c r="BO22" s="153" t="s">
        <v>7</v>
      </c>
      <c r="BP22" s="153" t="s">
        <v>7</v>
      </c>
      <c r="BQ22" s="210" t="s">
        <v>12</v>
      </c>
      <c r="BR22" s="153" t="s">
        <v>7</v>
      </c>
      <c r="BS22" s="136" t="s">
        <v>2</v>
      </c>
      <c r="BT22" s="136" t="s">
        <v>2</v>
      </c>
      <c r="BU22" s="153" t="s">
        <v>7</v>
      </c>
      <c r="BV22" s="153" t="s">
        <v>7</v>
      </c>
      <c r="BW22" s="153" t="s">
        <v>7</v>
      </c>
      <c r="BX22" s="153" t="s">
        <v>7</v>
      </c>
      <c r="BY22" s="153" t="s">
        <v>7</v>
      </c>
      <c r="BZ22" s="136" t="s">
        <v>2</v>
      </c>
      <c r="CA22" s="153" t="s">
        <v>7</v>
      </c>
      <c r="CB22" s="153" t="s">
        <v>7</v>
      </c>
      <c r="CC22" s="153" t="s">
        <v>7</v>
      </c>
      <c r="CD22" s="153" t="s">
        <v>7</v>
      </c>
      <c r="CE22" s="153" t="s">
        <v>7</v>
      </c>
      <c r="CF22" s="136" t="s">
        <v>2</v>
      </c>
      <c r="CG22" s="136" t="s">
        <v>2</v>
      </c>
      <c r="CH22" s="136" t="s">
        <v>2</v>
      </c>
      <c r="CI22" s="153" t="s">
        <v>7</v>
      </c>
      <c r="CJ22" s="153" t="s">
        <v>7</v>
      </c>
      <c r="CK22" s="153" t="s">
        <v>7</v>
      </c>
      <c r="CL22" s="153" t="s">
        <v>7</v>
      </c>
      <c r="CM22" s="153" t="s">
        <v>7</v>
      </c>
      <c r="CN22" s="136" t="s">
        <v>2</v>
      </c>
      <c r="CO22" s="153" t="s">
        <v>7</v>
      </c>
      <c r="CP22" s="153" t="s">
        <v>7</v>
      </c>
      <c r="CQ22" s="153" t="s">
        <v>7</v>
      </c>
      <c r="CR22" s="210" t="s">
        <v>113</v>
      </c>
      <c r="CS22" s="210" t="s">
        <v>113</v>
      </c>
      <c r="CT22" s="136" t="s">
        <v>2</v>
      </c>
      <c r="CU22" s="136" t="s">
        <v>2</v>
      </c>
      <c r="CV22" s="202" t="s">
        <v>11</v>
      </c>
      <c r="CW22" s="214" t="s">
        <v>110</v>
      </c>
      <c r="CX22" s="214" t="s">
        <v>27</v>
      </c>
      <c r="CY22" s="136" t="s">
        <v>2</v>
      </c>
      <c r="CZ22" s="136" t="s">
        <v>2</v>
      </c>
      <c r="DA22" s="153" t="s">
        <v>7</v>
      </c>
      <c r="DB22" s="146" t="s">
        <v>117</v>
      </c>
      <c r="DC22" s="136" t="s">
        <v>2</v>
      </c>
      <c r="DD22" s="153" t="s">
        <v>7</v>
      </c>
      <c r="DE22" s="207" t="s">
        <v>113</v>
      </c>
      <c r="DF22" s="207" t="s">
        <v>113</v>
      </c>
      <c r="DG22" s="153" t="s">
        <v>7</v>
      </c>
      <c r="DH22" s="153" t="s">
        <v>7</v>
      </c>
      <c r="DI22" s="136" t="s">
        <v>2</v>
      </c>
      <c r="DJ22" s="207" t="s">
        <v>113</v>
      </c>
      <c r="DK22" s="207" t="s">
        <v>113</v>
      </c>
      <c r="DL22" s="207" t="s">
        <v>113</v>
      </c>
      <c r="DM22" s="207" t="s">
        <v>113</v>
      </c>
      <c r="DN22" s="136" t="s">
        <v>2</v>
      </c>
      <c r="DO22" s="136" t="s">
        <v>2</v>
      </c>
      <c r="DP22" s="146" t="s">
        <v>117</v>
      </c>
      <c r="DQ22" s="136" t="s">
        <v>2</v>
      </c>
      <c r="DR22" s="153" t="s">
        <v>7</v>
      </c>
      <c r="DS22" s="153" t="s">
        <v>7</v>
      </c>
      <c r="DT22" s="153" t="s">
        <v>7</v>
      </c>
      <c r="DU22" s="153" t="s">
        <v>7</v>
      </c>
      <c r="DV22" s="153" t="s">
        <v>7</v>
      </c>
      <c r="DW22" s="136" t="s">
        <v>2</v>
      </c>
      <c r="DX22" s="207" t="s">
        <v>113</v>
      </c>
      <c r="DY22" s="207" t="s">
        <v>113</v>
      </c>
      <c r="DZ22" s="207" t="s">
        <v>113</v>
      </c>
      <c r="EA22" s="207" t="s">
        <v>113</v>
      </c>
      <c r="EB22" s="136" t="s">
        <v>2</v>
      </c>
      <c r="EC22" s="136" t="s">
        <v>2</v>
      </c>
      <c r="ED22" s="146" t="s">
        <v>117</v>
      </c>
      <c r="EE22" s="157" t="s">
        <v>113</v>
      </c>
      <c r="EF22" s="157" t="s">
        <v>113</v>
      </c>
      <c r="EG22" s="157" t="s">
        <v>113</v>
      </c>
      <c r="EH22" s="136" t="s">
        <v>2</v>
      </c>
      <c r="EI22" s="157" t="s">
        <v>113</v>
      </c>
      <c r="EJ22" s="157" t="s">
        <v>113</v>
      </c>
      <c r="EK22" s="136" t="s">
        <v>2</v>
      </c>
      <c r="EL22" s="136" t="s">
        <v>2</v>
      </c>
      <c r="EM22" s="153" t="s">
        <v>7</v>
      </c>
      <c r="EN22" s="153" t="s">
        <v>7</v>
      </c>
      <c r="EO22" s="136" t="s">
        <v>2</v>
      </c>
      <c r="EP22" s="153" t="s">
        <v>7</v>
      </c>
      <c r="EQ22" s="153" t="s">
        <v>7</v>
      </c>
      <c r="ER22" s="153" t="s">
        <v>7</v>
      </c>
      <c r="ES22" s="153" t="s">
        <v>7</v>
      </c>
      <c r="ET22" s="155" t="s">
        <v>11</v>
      </c>
      <c r="EU22" s="220" t="s">
        <v>2</v>
      </c>
      <c r="EV22" s="220" t="s">
        <v>2</v>
      </c>
      <c r="EW22" s="207" t="s">
        <v>292</v>
      </c>
      <c r="EX22" s="153" t="s">
        <v>140</v>
      </c>
      <c r="EY22" s="146" t="s">
        <v>117</v>
      </c>
      <c r="EZ22" s="207" t="s">
        <v>113</v>
      </c>
      <c r="FA22" s="207" t="s">
        <v>113</v>
      </c>
      <c r="FB22" s="220" t="s">
        <v>2</v>
      </c>
      <c r="FC22" s="207" t="s">
        <v>113</v>
      </c>
      <c r="FD22" s="207" t="s">
        <v>113</v>
      </c>
      <c r="FE22" s="153" t="s">
        <v>7</v>
      </c>
      <c r="FF22" s="220" t="s">
        <v>2</v>
      </c>
      <c r="FG22" s="220" t="s">
        <v>2</v>
      </c>
      <c r="FH22" s="220" t="s">
        <v>2</v>
      </c>
      <c r="FI22" s="155" t="s">
        <v>11</v>
      </c>
      <c r="FJ22" s="155" t="s">
        <v>11</v>
      </c>
      <c r="FK22" s="207" t="s">
        <v>113</v>
      </c>
      <c r="FL22" s="153" t="s">
        <v>7</v>
      </c>
      <c r="FM22" s="146" t="s">
        <v>117</v>
      </c>
      <c r="FN22" s="220" t="s">
        <v>2</v>
      </c>
      <c r="FO22" s="207" t="s">
        <v>113</v>
      </c>
      <c r="FP22" s="207" t="s">
        <v>113</v>
      </c>
      <c r="FQ22" s="207" t="s">
        <v>113</v>
      </c>
      <c r="FR22" s="207" t="s">
        <v>312</v>
      </c>
      <c r="FS22" s="153" t="s">
        <v>111</v>
      </c>
      <c r="FT22" s="220" t="s">
        <v>2</v>
      </c>
      <c r="FU22" s="220" t="s">
        <v>2</v>
      </c>
      <c r="FV22" s="162" t="s">
        <v>284</v>
      </c>
      <c r="FW22" s="207" t="s">
        <v>113</v>
      </c>
      <c r="FX22" s="207" t="s">
        <v>113</v>
      </c>
      <c r="FY22" s="226" t="s">
        <v>113</v>
      </c>
      <c r="FZ22" s="220" t="s">
        <v>2</v>
      </c>
      <c r="GA22" s="227" t="s">
        <v>117</v>
      </c>
      <c r="GB22" s="207" t="s">
        <v>113</v>
      </c>
      <c r="GC22" s="207" t="s">
        <v>113</v>
      </c>
      <c r="GD22" s="207" t="s">
        <v>313</v>
      </c>
      <c r="GE22" s="207" t="s">
        <v>292</v>
      </c>
      <c r="GF22" s="220" t="s">
        <v>2</v>
      </c>
      <c r="GG22" s="220" t="s">
        <v>2</v>
      </c>
      <c r="GH22" s="146" t="s">
        <v>3</v>
      </c>
      <c r="GI22" s="228" t="s">
        <v>314</v>
      </c>
      <c r="GJ22" s="228" t="s">
        <v>314</v>
      </c>
      <c r="GK22" s="228" t="s">
        <v>315</v>
      </c>
      <c r="GL22" s="228" t="s">
        <v>315</v>
      </c>
      <c r="GM22" s="228" t="s">
        <v>315</v>
      </c>
      <c r="GN22" s="225" t="s">
        <v>2</v>
      </c>
      <c r="GO22" s="225" t="s">
        <v>2</v>
      </c>
      <c r="GP22" s="228" t="s">
        <v>315</v>
      </c>
      <c r="GQ22" s="228" t="s">
        <v>315</v>
      </c>
      <c r="GR22" s="228" t="s">
        <v>315</v>
      </c>
      <c r="GS22" s="228" t="s">
        <v>315</v>
      </c>
      <c r="GT22" s="225" t="s">
        <v>2</v>
      </c>
      <c r="GU22" s="225" t="s">
        <v>2</v>
      </c>
      <c r="GV22" s="62" t="s">
        <v>144</v>
      </c>
      <c r="GW22" s="228" t="s">
        <v>315</v>
      </c>
      <c r="GX22" s="228" t="s">
        <v>315</v>
      </c>
      <c r="GY22" s="228" t="s">
        <v>315</v>
      </c>
      <c r="GZ22" s="225" t="s">
        <v>2</v>
      </c>
      <c r="HA22" s="225" t="s">
        <v>2</v>
      </c>
      <c r="HB22" s="153" t="s">
        <v>56</v>
      </c>
      <c r="HC22" s="62" t="s">
        <v>144</v>
      </c>
      <c r="HD22" s="229" t="s">
        <v>316</v>
      </c>
      <c r="HE22" s="229" t="s">
        <v>316</v>
      </c>
      <c r="HF22" s="229" t="s">
        <v>316</v>
      </c>
      <c r="HG22" s="225" t="s">
        <v>2</v>
      </c>
      <c r="HH22" s="228" t="s">
        <v>315</v>
      </c>
      <c r="HI22" s="153" t="s">
        <v>56</v>
      </c>
      <c r="HJ22" s="225" t="s">
        <v>2</v>
      </c>
      <c r="HK22" s="230" t="s">
        <v>316</v>
      </c>
      <c r="HL22" s="117" t="s">
        <v>317</v>
      </c>
      <c r="HM22" s="230" t="s">
        <v>316</v>
      </c>
      <c r="HN22" s="231" t="s">
        <v>318</v>
      </c>
      <c r="HO22" s="231" t="s">
        <v>319</v>
      </c>
      <c r="HP22" s="56" t="s">
        <v>2</v>
      </c>
      <c r="HQ22" s="56" t="s">
        <v>2</v>
      </c>
      <c r="HR22" s="81" t="s">
        <v>129</v>
      </c>
      <c r="HS22" s="81" t="s">
        <v>129</v>
      </c>
      <c r="HT22" s="81" t="s">
        <v>129</v>
      </c>
      <c r="HU22" s="56" t="s">
        <v>2</v>
      </c>
      <c r="HV22" s="56" t="s">
        <v>2</v>
      </c>
      <c r="HW22" s="81" t="s">
        <v>129</v>
      </c>
      <c r="HX22" s="62" t="s">
        <v>149</v>
      </c>
      <c r="HY22" s="102" t="s">
        <v>27</v>
      </c>
      <c r="HZ22" s="102" t="s">
        <v>27</v>
      </c>
      <c r="IA22" s="102" t="s">
        <v>27</v>
      </c>
      <c r="IB22" s="102" t="s">
        <v>27</v>
      </c>
      <c r="IC22" s="102" t="s">
        <v>27</v>
      </c>
      <c r="ID22" s="56" t="s">
        <v>2</v>
      </c>
      <c r="IE22" s="56" t="s">
        <v>2</v>
      </c>
      <c r="IF22" s="56" t="s">
        <v>2</v>
      </c>
      <c r="IG22" s="58" t="s">
        <v>67</v>
      </c>
      <c r="IH22" s="58" t="s">
        <v>67</v>
      </c>
      <c r="II22" s="81" t="s">
        <v>146</v>
      </c>
      <c r="IJ22" s="81" t="s">
        <v>146</v>
      </c>
      <c r="IK22" s="54" t="s">
        <v>128</v>
      </c>
      <c r="IL22" s="56" t="s">
        <v>2</v>
      </c>
      <c r="IM22" s="81" t="s">
        <v>146</v>
      </c>
      <c r="IN22" s="81" t="s">
        <v>146</v>
      </c>
      <c r="IO22" s="81" t="s">
        <v>146</v>
      </c>
      <c r="IP22" s="81" t="s">
        <v>146</v>
      </c>
      <c r="IQ22" s="81" t="s">
        <v>146</v>
      </c>
      <c r="IR22" s="56" t="s">
        <v>2</v>
      </c>
      <c r="IS22" s="56" t="s">
        <v>2</v>
      </c>
      <c r="IT22" s="58" t="s">
        <v>67</v>
      </c>
      <c r="IU22" s="56" t="s">
        <v>2</v>
      </c>
      <c r="IV22" s="58" t="s">
        <v>67</v>
      </c>
      <c r="IW22" s="56" t="s">
        <v>2</v>
      </c>
      <c r="IX22" s="58" t="s">
        <v>67</v>
      </c>
      <c r="IY22" s="90" t="s">
        <v>320</v>
      </c>
      <c r="IZ22" s="62" t="s">
        <v>149</v>
      </c>
      <c r="JA22" s="81" t="s">
        <v>146</v>
      </c>
      <c r="JB22" s="81" t="s">
        <v>146</v>
      </c>
      <c r="JC22" s="56" t="s">
        <v>2</v>
      </c>
      <c r="JD22" s="56" t="s">
        <v>2</v>
      </c>
      <c r="JE22" s="56" t="s">
        <v>130</v>
      </c>
      <c r="JF22" s="54" t="s">
        <v>128</v>
      </c>
      <c r="JG22" s="62" t="s">
        <v>149</v>
      </c>
      <c r="JH22" s="81" t="s">
        <v>146</v>
      </c>
      <c r="JI22" s="81" t="s">
        <v>146</v>
      </c>
      <c r="JJ22" s="56" t="s">
        <v>2</v>
      </c>
      <c r="JK22" s="56" t="s">
        <v>2</v>
      </c>
      <c r="JL22" s="81" t="s">
        <v>146</v>
      </c>
      <c r="JM22" s="54" t="s">
        <v>128</v>
      </c>
      <c r="JN22" s="62" t="s">
        <v>149</v>
      </c>
      <c r="JO22" s="56" t="s">
        <v>2</v>
      </c>
      <c r="JP22" s="58" t="s">
        <v>67</v>
      </c>
      <c r="JQ22" s="58" t="s">
        <v>67</v>
      </c>
      <c r="JR22" s="58" t="s">
        <v>67</v>
      </c>
      <c r="JS22" s="81" t="s">
        <v>146</v>
      </c>
      <c r="JT22" s="54" t="s">
        <v>128</v>
      </c>
      <c r="JU22" s="56" t="s">
        <v>2</v>
      </c>
      <c r="JV22" s="81" t="s">
        <v>146</v>
      </c>
      <c r="JW22" s="81" t="s">
        <v>146</v>
      </c>
      <c r="JX22" s="81" t="s">
        <v>146</v>
      </c>
      <c r="JY22" s="81" t="s">
        <v>146</v>
      </c>
      <c r="JZ22" s="81" t="s">
        <v>146</v>
      </c>
      <c r="KA22" s="56" t="s">
        <v>2</v>
      </c>
      <c r="KB22" s="56" t="s">
        <v>2</v>
      </c>
      <c r="KC22" s="54" t="s">
        <v>128</v>
      </c>
      <c r="KD22" s="54" t="s">
        <v>128</v>
      </c>
      <c r="KE22" s="56" t="s">
        <v>2</v>
      </c>
      <c r="KF22" s="54" t="s">
        <v>128</v>
      </c>
      <c r="KG22" s="54" t="s">
        <v>128</v>
      </c>
      <c r="KH22" s="54" t="s">
        <v>128</v>
      </c>
      <c r="KI22" s="129" t="s">
        <v>2</v>
      </c>
      <c r="KJ22" s="209" t="s">
        <v>146</v>
      </c>
      <c r="KK22" s="209" t="s">
        <v>146</v>
      </c>
      <c r="KL22" s="209" t="s">
        <v>146</v>
      </c>
      <c r="KM22" s="209" t="s">
        <v>146</v>
      </c>
      <c r="KN22" s="209" t="s">
        <v>146</v>
      </c>
      <c r="KO22" s="129" t="s">
        <v>2</v>
      </c>
      <c r="KP22" s="129" t="s">
        <v>2</v>
      </c>
      <c r="KQ22" s="54" t="s">
        <v>128</v>
      </c>
      <c r="KR22" s="54" t="s">
        <v>128</v>
      </c>
      <c r="KS22" s="56" t="s">
        <v>2</v>
      </c>
      <c r="KT22" s="54" t="s">
        <v>128</v>
      </c>
      <c r="KU22" s="54" t="s">
        <v>128</v>
      </c>
      <c r="KV22" s="54" t="s">
        <v>128</v>
      </c>
      <c r="KW22" s="129" t="s">
        <v>2</v>
      </c>
      <c r="KX22" s="54" t="s">
        <v>128</v>
      </c>
      <c r="KY22" s="54" t="s">
        <v>128</v>
      </c>
      <c r="KZ22" s="56" t="s">
        <v>2</v>
      </c>
      <c r="LA22" s="56" t="s">
        <v>2</v>
      </c>
      <c r="LB22" s="54" t="s">
        <v>128</v>
      </c>
      <c r="LC22" s="54" t="s">
        <v>128</v>
      </c>
      <c r="LD22" s="62" t="s">
        <v>149</v>
      </c>
      <c r="LE22" s="81" t="s">
        <v>146</v>
      </c>
      <c r="LF22" s="54" t="s">
        <v>128</v>
      </c>
      <c r="LG22" s="56" t="s">
        <v>2</v>
      </c>
      <c r="LH22" s="54" t="s">
        <v>128</v>
      </c>
      <c r="LI22" s="54" t="s">
        <v>128</v>
      </c>
      <c r="LJ22" s="54" t="s">
        <v>128</v>
      </c>
      <c r="LK22" s="129" t="s">
        <v>2</v>
      </c>
      <c r="LL22" s="81" t="s">
        <v>146</v>
      </c>
      <c r="LM22" s="81" t="s">
        <v>146</v>
      </c>
      <c r="LN22" s="81" t="s">
        <v>146</v>
      </c>
      <c r="LO22" s="81" t="s">
        <v>146</v>
      </c>
      <c r="LP22" s="81" t="s">
        <v>146</v>
      </c>
      <c r="LQ22" s="56" t="s">
        <v>2</v>
      </c>
      <c r="LR22" s="56" t="s">
        <v>2</v>
      </c>
      <c r="LS22" s="54" t="s">
        <v>128</v>
      </c>
      <c r="LT22" s="54" t="s">
        <v>128</v>
      </c>
      <c r="LU22" s="54" t="s">
        <v>128</v>
      </c>
      <c r="LV22" s="56" t="s">
        <v>2</v>
      </c>
      <c r="LW22" s="56" t="s">
        <v>2</v>
      </c>
      <c r="LX22" s="54" t="s">
        <v>128</v>
      </c>
      <c r="LY22" s="62" t="s">
        <v>149</v>
      </c>
    </row>
    <row r="23" spans="1:365" ht="13">
      <c r="C23" s="508"/>
      <c r="D23" s="508"/>
      <c r="E23" s="473"/>
      <c r="F23" s="473"/>
      <c r="G23" s="473"/>
      <c r="H23" s="508"/>
      <c r="I23" s="508"/>
      <c r="J23" s="508"/>
      <c r="K23" s="473"/>
      <c r="L23" s="473"/>
      <c r="M23" s="473"/>
      <c r="N23" s="472">
        <v>3</v>
      </c>
      <c r="O23" s="48" t="s">
        <v>321</v>
      </c>
      <c r="P23" s="586"/>
      <c r="Q23" s="581"/>
      <c r="R23" s="581"/>
      <c r="S23" s="581"/>
      <c r="T23" s="581"/>
      <c r="U23" s="581"/>
      <c r="V23" s="582"/>
      <c r="W23" s="586"/>
      <c r="X23" s="581"/>
      <c r="Y23" s="581"/>
      <c r="Z23" s="581"/>
      <c r="AA23" s="581"/>
      <c r="AB23" s="581"/>
      <c r="AC23" s="582"/>
      <c r="AD23" s="589"/>
      <c r="AE23" s="580"/>
      <c r="AF23" s="580"/>
      <c r="AG23" s="580"/>
      <c r="AH23" s="580"/>
      <c r="AI23" s="580"/>
      <c r="AJ23" s="590"/>
      <c r="AK23" s="591"/>
      <c r="AL23" s="592"/>
      <c r="AM23" s="592"/>
      <c r="AN23" s="592"/>
      <c r="AO23" s="592"/>
      <c r="AP23" s="592"/>
      <c r="AQ23" s="593"/>
      <c r="AR23" s="155" t="s">
        <v>11</v>
      </c>
      <c r="AS23" s="155" t="s">
        <v>11</v>
      </c>
      <c r="AT23" s="155" t="s">
        <v>11</v>
      </c>
      <c r="AU23" s="155" t="s">
        <v>11</v>
      </c>
      <c r="AV23" s="150" t="s">
        <v>12</v>
      </c>
      <c r="AW23" s="200" t="s">
        <v>2</v>
      </c>
      <c r="AX23" s="200" t="s">
        <v>2</v>
      </c>
      <c r="AY23" s="210" t="s">
        <v>12</v>
      </c>
      <c r="AZ23" s="210" t="s">
        <v>12</v>
      </c>
      <c r="BA23" s="210" t="s">
        <v>12</v>
      </c>
      <c r="BB23" s="210" t="s">
        <v>12</v>
      </c>
      <c r="BC23" s="200" t="s">
        <v>2</v>
      </c>
      <c r="BD23" s="200" t="s">
        <v>2</v>
      </c>
      <c r="BE23" s="146" t="s">
        <v>3</v>
      </c>
      <c r="BF23" s="155" t="s">
        <v>11</v>
      </c>
      <c r="BG23" s="155" t="s">
        <v>11</v>
      </c>
      <c r="BH23" s="155" t="s">
        <v>11</v>
      </c>
      <c r="BI23" s="155" t="s">
        <v>11</v>
      </c>
      <c r="BJ23" s="210" t="s">
        <v>12</v>
      </c>
      <c r="BK23" s="136" t="s">
        <v>2</v>
      </c>
      <c r="BL23" s="136" t="s">
        <v>2</v>
      </c>
      <c r="BM23" s="155" t="s">
        <v>11</v>
      </c>
      <c r="BN23" s="155" t="s">
        <v>11</v>
      </c>
      <c r="BO23" s="155" t="s">
        <v>11</v>
      </c>
      <c r="BP23" s="155" t="s">
        <v>11</v>
      </c>
      <c r="BQ23" s="153" t="s">
        <v>7</v>
      </c>
      <c r="BR23" s="136" t="s">
        <v>2</v>
      </c>
      <c r="BS23" s="136" t="s">
        <v>2</v>
      </c>
      <c r="BT23" s="210" t="s">
        <v>12</v>
      </c>
      <c r="BU23" s="210" t="s">
        <v>12</v>
      </c>
      <c r="BV23" s="210" t="s">
        <v>12</v>
      </c>
      <c r="BW23" s="210" t="s">
        <v>12</v>
      </c>
      <c r="BX23" s="136" t="s">
        <v>2</v>
      </c>
      <c r="BY23" s="136" t="s">
        <v>2</v>
      </c>
      <c r="BZ23" s="146" t="s">
        <v>117</v>
      </c>
      <c r="CA23" s="210" t="s">
        <v>113</v>
      </c>
      <c r="CB23" s="155" t="s">
        <v>11</v>
      </c>
      <c r="CC23" s="155" t="s">
        <v>11</v>
      </c>
      <c r="CD23" s="155" t="s">
        <v>11</v>
      </c>
      <c r="CE23" s="210" t="s">
        <v>113</v>
      </c>
      <c r="CF23" s="153" t="s">
        <v>7</v>
      </c>
      <c r="CG23" s="136" t="s">
        <v>2</v>
      </c>
      <c r="CH23" s="153" t="s">
        <v>7</v>
      </c>
      <c r="CI23" s="210" t="s">
        <v>113</v>
      </c>
      <c r="CJ23" s="210" t="s">
        <v>113</v>
      </c>
      <c r="CK23" s="210" t="s">
        <v>113</v>
      </c>
      <c r="CL23" s="136" t="s">
        <v>2</v>
      </c>
      <c r="CM23" s="136" t="s">
        <v>2</v>
      </c>
      <c r="CN23" s="146" t="s">
        <v>117</v>
      </c>
      <c r="CO23" s="210" t="s">
        <v>113</v>
      </c>
      <c r="CP23" s="210" t="s">
        <v>113</v>
      </c>
      <c r="CQ23" s="136" t="s">
        <v>2</v>
      </c>
      <c r="CR23" s="153" t="s">
        <v>7</v>
      </c>
      <c r="CS23" s="153" t="s">
        <v>7</v>
      </c>
      <c r="CT23" s="153" t="s">
        <v>7</v>
      </c>
      <c r="CU23" s="136" t="s">
        <v>2</v>
      </c>
      <c r="CV23" s="153" t="s">
        <v>7</v>
      </c>
      <c r="CW23" s="210" t="s">
        <v>113</v>
      </c>
      <c r="CX23" s="210" t="s">
        <v>113</v>
      </c>
      <c r="CY23" s="210" t="s">
        <v>113</v>
      </c>
      <c r="CZ23" s="210" t="s">
        <v>113</v>
      </c>
      <c r="DA23" s="136" t="s">
        <v>2</v>
      </c>
      <c r="DB23" s="136" t="s">
        <v>2</v>
      </c>
      <c r="DC23" s="207" t="s">
        <v>113</v>
      </c>
      <c r="DD23" s="207" t="s">
        <v>113</v>
      </c>
      <c r="DE23" s="153" t="s">
        <v>7</v>
      </c>
      <c r="DF23" s="153" t="s">
        <v>7</v>
      </c>
      <c r="DG23" s="136" t="s">
        <v>2</v>
      </c>
      <c r="DH23" s="136" t="s">
        <v>2</v>
      </c>
      <c r="DI23" s="146" t="s">
        <v>117</v>
      </c>
      <c r="DJ23" s="136" t="s">
        <v>2</v>
      </c>
      <c r="DK23" s="153" t="s">
        <v>7</v>
      </c>
      <c r="DL23" s="153" t="s">
        <v>7</v>
      </c>
      <c r="DM23" s="153" t="s">
        <v>7</v>
      </c>
      <c r="DN23" s="153" t="s">
        <v>7</v>
      </c>
      <c r="DO23" s="153" t="s">
        <v>7</v>
      </c>
      <c r="DP23" s="136" t="s">
        <v>2</v>
      </c>
      <c r="DQ23" s="207" t="s">
        <v>113</v>
      </c>
      <c r="DR23" s="207" t="s">
        <v>113</v>
      </c>
      <c r="DS23" s="207" t="s">
        <v>113</v>
      </c>
      <c r="DT23" s="207" t="s">
        <v>113</v>
      </c>
      <c r="DU23" s="207" t="s">
        <v>113</v>
      </c>
      <c r="DV23" s="136" t="s">
        <v>2</v>
      </c>
      <c r="DW23" s="136" t="s">
        <v>2</v>
      </c>
      <c r="DX23" s="136" t="s">
        <v>2</v>
      </c>
      <c r="DY23" s="155" t="s">
        <v>11</v>
      </c>
      <c r="DZ23" s="155" t="s">
        <v>11</v>
      </c>
      <c r="EA23" s="155" t="s">
        <v>11</v>
      </c>
      <c r="EB23" s="207" t="s">
        <v>113</v>
      </c>
      <c r="EC23" s="153" t="s">
        <v>7</v>
      </c>
      <c r="ED23" s="136" t="s">
        <v>2</v>
      </c>
      <c r="EE23" s="155" t="s">
        <v>11</v>
      </c>
      <c r="EF23" s="155" t="s">
        <v>11</v>
      </c>
      <c r="EG23" s="155" t="s">
        <v>11</v>
      </c>
      <c r="EH23" s="146" t="s">
        <v>117</v>
      </c>
      <c r="EI23" s="155" t="s">
        <v>11</v>
      </c>
      <c r="EJ23" s="136" t="s">
        <v>2</v>
      </c>
      <c r="EK23" s="136" t="s">
        <v>2</v>
      </c>
      <c r="EL23" s="157" t="s">
        <v>113</v>
      </c>
      <c r="EM23" s="157" t="s">
        <v>113</v>
      </c>
      <c r="EN23" s="157" t="s">
        <v>113</v>
      </c>
      <c r="EO23" s="136" t="s">
        <v>2</v>
      </c>
      <c r="EP23" s="157" t="s">
        <v>113</v>
      </c>
      <c r="EQ23" s="136" t="s">
        <v>2</v>
      </c>
      <c r="ER23" s="146" t="s">
        <v>117</v>
      </c>
      <c r="ES23" s="207" t="s">
        <v>113</v>
      </c>
      <c r="ET23" s="207" t="s">
        <v>113</v>
      </c>
      <c r="EU23" s="207" t="s">
        <v>113</v>
      </c>
      <c r="EV23" s="207" t="s">
        <v>113</v>
      </c>
      <c r="EW23" s="220" t="s">
        <v>2</v>
      </c>
      <c r="EX23" s="207" t="s">
        <v>113</v>
      </c>
      <c r="EY23" s="220" t="s">
        <v>2</v>
      </c>
      <c r="EZ23" s="153" t="s">
        <v>7</v>
      </c>
      <c r="FA23" s="153" t="s">
        <v>7</v>
      </c>
      <c r="FB23" s="153" t="s">
        <v>7</v>
      </c>
      <c r="FC23" s="153" t="s">
        <v>7</v>
      </c>
      <c r="FD23" s="155" t="s">
        <v>11</v>
      </c>
      <c r="FE23" s="220" t="s">
        <v>2</v>
      </c>
      <c r="FF23" s="146" t="s">
        <v>117</v>
      </c>
      <c r="FG23" s="207" t="s">
        <v>113</v>
      </c>
      <c r="FH23" s="207" t="s">
        <v>113</v>
      </c>
      <c r="FI23" s="207" t="s">
        <v>113</v>
      </c>
      <c r="FJ23" s="207" t="s">
        <v>113</v>
      </c>
      <c r="FK23" s="155" t="s">
        <v>11</v>
      </c>
      <c r="FL23" s="220" t="s">
        <v>2</v>
      </c>
      <c r="FM23" s="220" t="s">
        <v>2</v>
      </c>
      <c r="FN23" s="207" t="s">
        <v>113</v>
      </c>
      <c r="FO23" s="153" t="s">
        <v>7</v>
      </c>
      <c r="FP23" s="153" t="s">
        <v>7</v>
      </c>
      <c r="FQ23" s="153" t="s">
        <v>7</v>
      </c>
      <c r="FR23" s="220" t="s">
        <v>2</v>
      </c>
      <c r="FS23" s="220" t="s">
        <v>2</v>
      </c>
      <c r="FT23" s="146" t="s">
        <v>117</v>
      </c>
      <c r="FU23" s="207" t="s">
        <v>113</v>
      </c>
      <c r="FV23" s="207" t="s">
        <v>113</v>
      </c>
      <c r="FW23" s="219" t="s">
        <v>11</v>
      </c>
      <c r="FX23" s="219" t="s">
        <v>11</v>
      </c>
      <c r="FY23" s="220" t="s">
        <v>2</v>
      </c>
      <c r="FZ23" s="224" t="s">
        <v>7</v>
      </c>
      <c r="GA23" s="220" t="s">
        <v>2</v>
      </c>
      <c r="GB23" s="220" t="s">
        <v>2</v>
      </c>
      <c r="GC23" s="153" t="s">
        <v>7</v>
      </c>
      <c r="GD23" s="155" t="s">
        <v>11</v>
      </c>
      <c r="GE23" s="155" t="s">
        <v>11</v>
      </c>
      <c r="GF23" s="207" t="s">
        <v>113</v>
      </c>
      <c r="GG23" s="153" t="s">
        <v>7</v>
      </c>
      <c r="GH23" s="220" t="s">
        <v>2</v>
      </c>
      <c r="GI23" s="229" t="s">
        <v>322</v>
      </c>
      <c r="GJ23" s="229" t="s">
        <v>322</v>
      </c>
      <c r="GK23" s="229" t="s">
        <v>316</v>
      </c>
      <c r="GL23" s="225" t="s">
        <v>2</v>
      </c>
      <c r="GM23" s="225" t="s">
        <v>2</v>
      </c>
      <c r="GN23" s="153" t="s">
        <v>56</v>
      </c>
      <c r="GO23" s="88" t="s">
        <v>142</v>
      </c>
      <c r="GP23" s="229" t="s">
        <v>316</v>
      </c>
      <c r="GQ23" s="229" t="s">
        <v>316</v>
      </c>
      <c r="GR23" s="229" t="s">
        <v>316</v>
      </c>
      <c r="GS23" s="225" t="s">
        <v>2</v>
      </c>
      <c r="GT23" s="228" t="s">
        <v>315</v>
      </c>
      <c r="GU23" s="153" t="s">
        <v>56</v>
      </c>
      <c r="GV23" s="225" t="s">
        <v>2</v>
      </c>
      <c r="GW23" s="229" t="s">
        <v>316</v>
      </c>
      <c r="GX23" s="229" t="s">
        <v>316</v>
      </c>
      <c r="GY23" s="229" t="s">
        <v>316</v>
      </c>
      <c r="GZ23" s="228" t="s">
        <v>315</v>
      </c>
      <c r="HA23" s="228" t="s">
        <v>315</v>
      </c>
      <c r="HB23" s="225" t="s">
        <v>2</v>
      </c>
      <c r="HC23" s="225" t="s">
        <v>2</v>
      </c>
      <c r="HD23" s="228" t="s">
        <v>315</v>
      </c>
      <c r="HE23" s="228" t="s">
        <v>315</v>
      </c>
      <c r="HF23" s="228" t="s">
        <v>315</v>
      </c>
      <c r="HG23" s="228" t="s">
        <v>315</v>
      </c>
      <c r="HH23" s="225" t="s">
        <v>2</v>
      </c>
      <c r="HI23" s="225" t="s">
        <v>2</v>
      </c>
      <c r="HJ23" s="62" t="s">
        <v>3</v>
      </c>
      <c r="HK23" s="231" t="s">
        <v>318</v>
      </c>
      <c r="HL23" s="231" t="s">
        <v>318</v>
      </c>
      <c r="HM23" s="231" t="s">
        <v>318</v>
      </c>
      <c r="HN23" s="56" t="s">
        <v>2</v>
      </c>
      <c r="HO23" s="56" t="s">
        <v>2</v>
      </c>
      <c r="HP23" s="54" t="s">
        <v>58</v>
      </c>
      <c r="HQ23" s="62" t="s">
        <v>145</v>
      </c>
      <c r="HR23" s="56" t="s">
        <v>2</v>
      </c>
      <c r="HS23" s="58" t="s">
        <v>45</v>
      </c>
      <c r="HT23" s="58" t="s">
        <v>45</v>
      </c>
      <c r="HU23" s="81" t="s">
        <v>129</v>
      </c>
      <c r="HV23" s="81" t="s">
        <v>129</v>
      </c>
      <c r="HW23" s="54" t="s">
        <v>54</v>
      </c>
      <c r="HX23" s="56" t="s">
        <v>2</v>
      </c>
      <c r="HY23" s="81" t="s">
        <v>146</v>
      </c>
      <c r="HZ23" s="81" t="s">
        <v>146</v>
      </c>
      <c r="IA23" s="81" t="s">
        <v>146</v>
      </c>
      <c r="IB23" s="81" t="s">
        <v>146</v>
      </c>
      <c r="IC23" s="81" t="s">
        <v>146</v>
      </c>
      <c r="ID23" s="56" t="s">
        <v>2</v>
      </c>
      <c r="IE23" s="56" t="s">
        <v>2</v>
      </c>
      <c r="IF23" s="81" t="s">
        <v>146</v>
      </c>
      <c r="IG23" s="81" t="s">
        <v>146</v>
      </c>
      <c r="IH23" s="81" t="s">
        <v>146</v>
      </c>
      <c r="II23" s="56" t="s">
        <v>2</v>
      </c>
      <c r="IJ23" s="56" t="s">
        <v>2</v>
      </c>
      <c r="IK23" s="81" t="s">
        <v>146</v>
      </c>
      <c r="IL23" s="62" t="s">
        <v>149</v>
      </c>
      <c r="IM23" s="56" t="s">
        <v>2</v>
      </c>
      <c r="IN23" s="58" t="s">
        <v>67</v>
      </c>
      <c r="IO23" s="58" t="s">
        <v>67</v>
      </c>
      <c r="IP23" s="58" t="s">
        <v>67</v>
      </c>
      <c r="IQ23" s="54" t="s">
        <v>323</v>
      </c>
      <c r="IR23" s="54" t="s">
        <v>128</v>
      </c>
      <c r="IS23" s="56" t="s">
        <v>2</v>
      </c>
      <c r="IT23" s="81" t="s">
        <v>146</v>
      </c>
      <c r="IU23" s="81" t="s">
        <v>146</v>
      </c>
      <c r="IV23" s="81" t="s">
        <v>146</v>
      </c>
      <c r="IW23" s="81" t="s">
        <v>319</v>
      </c>
      <c r="IX23" s="81" t="s">
        <v>319</v>
      </c>
      <c r="IY23" s="56" t="s">
        <v>2</v>
      </c>
      <c r="IZ23" s="56" t="s">
        <v>2</v>
      </c>
      <c r="JA23" s="58" t="s">
        <v>67</v>
      </c>
      <c r="JB23" s="58" t="s">
        <v>67</v>
      </c>
      <c r="JC23" s="58" t="s">
        <v>67</v>
      </c>
      <c r="JD23" s="81" t="s">
        <v>146</v>
      </c>
      <c r="JE23" s="56" t="s">
        <v>130</v>
      </c>
      <c r="JF23" s="56" t="s">
        <v>2</v>
      </c>
      <c r="JG23" s="56" t="s">
        <v>2</v>
      </c>
      <c r="JH23" s="54" t="s">
        <v>128</v>
      </c>
      <c r="JI23" s="54" t="s">
        <v>128</v>
      </c>
      <c r="JJ23" s="54" t="s">
        <v>128</v>
      </c>
      <c r="JK23" s="54" t="s">
        <v>128</v>
      </c>
      <c r="JL23" s="54" t="s">
        <v>128</v>
      </c>
      <c r="JM23" s="56" t="s">
        <v>2</v>
      </c>
      <c r="JN23" s="56" t="s">
        <v>2</v>
      </c>
      <c r="JO23" s="81" t="s">
        <v>146</v>
      </c>
      <c r="JP23" s="81" t="s">
        <v>146</v>
      </c>
      <c r="JQ23" s="81" t="s">
        <v>146</v>
      </c>
      <c r="JR23" s="81" t="s">
        <v>146</v>
      </c>
      <c r="JS23" s="58" t="s">
        <v>67</v>
      </c>
      <c r="JT23" s="56" t="s">
        <v>2</v>
      </c>
      <c r="JU23" s="56" t="s">
        <v>2</v>
      </c>
      <c r="JV23" s="54" t="s">
        <v>128</v>
      </c>
      <c r="JW23" s="54" t="s">
        <v>128</v>
      </c>
      <c r="JX23" s="56" t="s">
        <v>2</v>
      </c>
      <c r="JY23" s="54" t="s">
        <v>128</v>
      </c>
      <c r="JZ23" s="54" t="s">
        <v>128</v>
      </c>
      <c r="KA23" s="54" t="s">
        <v>128</v>
      </c>
      <c r="KB23" s="56" t="s">
        <v>2</v>
      </c>
      <c r="KC23" s="81" t="s">
        <v>146</v>
      </c>
      <c r="KD23" s="81" t="s">
        <v>146</v>
      </c>
      <c r="KE23" s="81" t="s">
        <v>146</v>
      </c>
      <c r="KF23" s="81" t="s">
        <v>146</v>
      </c>
      <c r="KG23" s="81" t="s">
        <v>146</v>
      </c>
      <c r="KH23" s="56" t="s">
        <v>2</v>
      </c>
      <c r="KI23" s="56" t="s">
        <v>2</v>
      </c>
      <c r="KJ23" s="128" t="s">
        <v>128</v>
      </c>
      <c r="KK23" s="128" t="s">
        <v>128</v>
      </c>
      <c r="KL23" s="129" t="s">
        <v>2</v>
      </c>
      <c r="KM23" s="128" t="s">
        <v>128</v>
      </c>
      <c r="KN23" s="128" t="s">
        <v>128</v>
      </c>
      <c r="KO23" s="128" t="s">
        <v>128</v>
      </c>
      <c r="KP23" s="129" t="s">
        <v>2</v>
      </c>
      <c r="KQ23" s="81" t="s">
        <v>146</v>
      </c>
      <c r="KR23" s="81" t="s">
        <v>146</v>
      </c>
      <c r="KS23" s="81" t="s">
        <v>146</v>
      </c>
      <c r="KT23" s="81" t="s">
        <v>146</v>
      </c>
      <c r="KU23" s="81" t="s">
        <v>146</v>
      </c>
      <c r="KV23" s="56" t="s">
        <v>2</v>
      </c>
      <c r="KW23" s="56" t="s">
        <v>2</v>
      </c>
      <c r="KX23" s="81" t="s">
        <v>146</v>
      </c>
      <c r="KY23" s="81" t="s">
        <v>146</v>
      </c>
      <c r="KZ23" s="81" t="s">
        <v>146</v>
      </c>
      <c r="LA23" s="81" t="s">
        <v>146</v>
      </c>
      <c r="LB23" s="81" t="s">
        <v>146</v>
      </c>
      <c r="LC23" s="56" t="s">
        <v>2</v>
      </c>
      <c r="LD23" s="56" t="s">
        <v>2</v>
      </c>
      <c r="LE23" s="54" t="s">
        <v>128</v>
      </c>
      <c r="LF23" s="81" t="s">
        <v>146</v>
      </c>
      <c r="LG23" s="81" t="s">
        <v>146</v>
      </c>
      <c r="LH23" s="81" t="s">
        <v>146</v>
      </c>
      <c r="LI23" s="81" t="s">
        <v>146</v>
      </c>
      <c r="LJ23" s="56" t="s">
        <v>2</v>
      </c>
      <c r="LK23" s="56" t="s">
        <v>2</v>
      </c>
      <c r="LL23" s="54" t="s">
        <v>128</v>
      </c>
      <c r="LM23" s="54" t="s">
        <v>128</v>
      </c>
      <c r="LN23" s="56" t="s">
        <v>2</v>
      </c>
      <c r="LO23" s="54" t="s">
        <v>128</v>
      </c>
      <c r="LP23" s="54" t="s">
        <v>128</v>
      </c>
      <c r="LQ23" s="54" t="s">
        <v>128</v>
      </c>
      <c r="LR23" s="129" t="s">
        <v>2</v>
      </c>
      <c r="LS23" s="81" t="s">
        <v>146</v>
      </c>
      <c r="LT23" s="81" t="s">
        <v>146</v>
      </c>
      <c r="LU23" s="81" t="s">
        <v>146</v>
      </c>
      <c r="LV23" s="54" t="s">
        <v>128</v>
      </c>
      <c r="LW23" s="54" t="s">
        <v>128</v>
      </c>
      <c r="LX23" s="56" t="s">
        <v>2</v>
      </c>
      <c r="LY23" s="56" t="s">
        <v>2</v>
      </c>
    </row>
    <row r="24" spans="1:365" ht="13">
      <c r="C24" s="474"/>
      <c r="D24" s="474"/>
      <c r="E24" s="474"/>
      <c r="F24" s="474"/>
      <c r="G24" s="474"/>
      <c r="H24" s="474"/>
      <c r="I24" s="474"/>
      <c r="J24" s="474"/>
      <c r="K24" s="474"/>
      <c r="L24" s="474"/>
      <c r="M24" s="474"/>
      <c r="N24" s="474"/>
      <c r="O24" s="474"/>
      <c r="P24" s="198"/>
      <c r="Q24" s="198"/>
      <c r="R24" s="198"/>
      <c r="S24" s="198"/>
      <c r="T24" s="198"/>
      <c r="U24" s="198"/>
      <c r="V24" s="198"/>
      <c r="W24" s="198"/>
      <c r="X24" s="198"/>
      <c r="Y24" s="19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  <c r="AK24" s="198"/>
      <c r="AL24" s="198"/>
      <c r="AM24" s="198"/>
      <c r="AN24" s="198"/>
      <c r="AO24" s="198"/>
      <c r="AP24" s="198"/>
      <c r="AQ24" s="198"/>
      <c r="AR24" s="198"/>
      <c r="AS24" s="198"/>
      <c r="AT24" s="198"/>
      <c r="AU24" s="198"/>
      <c r="AV24" s="198"/>
      <c r="AW24" s="198"/>
      <c r="AX24" s="198"/>
      <c r="AY24" s="198"/>
      <c r="AZ24" s="198"/>
      <c r="BA24" s="198"/>
      <c r="BB24" s="198"/>
      <c r="BC24" s="198"/>
      <c r="BD24" s="198"/>
      <c r="BE24" s="198"/>
      <c r="BF24" s="198"/>
      <c r="BG24" s="198"/>
      <c r="BH24" s="198"/>
      <c r="BI24" s="198"/>
      <c r="BJ24" s="198"/>
      <c r="BK24" s="198"/>
      <c r="BL24" s="198"/>
      <c r="BM24" s="198"/>
      <c r="BN24" s="198"/>
      <c r="BO24" s="198"/>
      <c r="BP24" s="198"/>
      <c r="BQ24" s="198"/>
      <c r="BR24" s="198"/>
      <c r="BS24" s="198"/>
      <c r="BT24" s="198"/>
      <c r="BU24" s="198"/>
      <c r="BV24" s="198"/>
      <c r="BW24" s="198"/>
      <c r="BX24" s="198"/>
      <c r="BY24" s="198"/>
      <c r="BZ24" s="198"/>
      <c r="CA24" s="198"/>
      <c r="CB24" s="198"/>
      <c r="CC24" s="198"/>
      <c r="CD24" s="198"/>
      <c r="CE24" s="198"/>
      <c r="CF24" s="198"/>
      <c r="CG24" s="198"/>
      <c r="CH24" s="198"/>
      <c r="CI24" s="198"/>
      <c r="CJ24" s="198"/>
      <c r="CK24" s="198"/>
      <c r="CL24" s="198"/>
      <c r="CM24" s="198"/>
      <c r="CN24" s="198"/>
      <c r="CO24" s="198"/>
      <c r="CP24" s="198"/>
      <c r="CQ24" s="198"/>
      <c r="CR24" s="198"/>
      <c r="CS24" s="198"/>
      <c r="CT24" s="198"/>
      <c r="CU24" s="198"/>
      <c r="CV24" s="198"/>
      <c r="CW24" s="198"/>
      <c r="CX24" s="198"/>
      <c r="CY24" s="198"/>
      <c r="CZ24" s="198"/>
      <c r="DA24" s="198"/>
      <c r="DB24" s="198"/>
      <c r="DC24" s="198"/>
      <c r="DD24" s="198"/>
      <c r="DE24" s="198"/>
      <c r="DF24" s="198"/>
      <c r="DG24" s="198"/>
      <c r="DH24" s="198"/>
      <c r="DI24" s="198"/>
      <c r="DJ24" s="198"/>
      <c r="DK24" s="198"/>
      <c r="DL24" s="198"/>
      <c r="DM24" s="198"/>
      <c r="DN24" s="198"/>
      <c r="DO24" s="198"/>
      <c r="DP24" s="198"/>
      <c r="DQ24" s="198"/>
      <c r="DR24" s="198"/>
      <c r="DS24" s="198"/>
      <c r="DT24" s="198"/>
      <c r="DU24" s="198"/>
      <c r="DV24" s="198"/>
      <c r="DW24" s="198"/>
      <c r="DX24" s="198"/>
      <c r="DY24" s="198"/>
      <c r="DZ24" s="198"/>
      <c r="EA24" s="198"/>
      <c r="EB24" s="198"/>
      <c r="EC24" s="198"/>
      <c r="ED24" s="198"/>
      <c r="EE24" s="198"/>
      <c r="EF24" s="198"/>
      <c r="EG24" s="198"/>
      <c r="EH24" s="198"/>
      <c r="EI24" s="198"/>
      <c r="EJ24" s="198"/>
      <c r="EK24" s="198"/>
      <c r="EL24" s="198"/>
      <c r="EM24" s="198"/>
      <c r="EN24" s="198"/>
      <c r="EO24" s="198"/>
      <c r="EP24" s="198"/>
      <c r="EQ24" s="198"/>
      <c r="ER24" s="198"/>
      <c r="ES24" s="198"/>
      <c r="ET24" s="198"/>
      <c r="EU24" s="198"/>
      <c r="EV24" s="198"/>
      <c r="EW24" s="198"/>
      <c r="EX24" s="198"/>
      <c r="EY24" s="198"/>
      <c r="EZ24" s="198"/>
      <c r="FA24" s="198"/>
      <c r="FB24" s="198"/>
      <c r="FC24" s="198"/>
      <c r="FD24" s="198"/>
      <c r="FE24" s="198"/>
      <c r="FF24" s="198"/>
      <c r="FG24" s="198"/>
      <c r="FH24" s="198"/>
      <c r="FI24" s="198"/>
      <c r="FJ24" s="198"/>
      <c r="FK24" s="198"/>
      <c r="FL24" s="198"/>
      <c r="FM24" s="198"/>
      <c r="FN24" s="198"/>
      <c r="FO24" s="198"/>
      <c r="FP24" s="198"/>
      <c r="FQ24" s="198"/>
      <c r="FR24" s="198"/>
      <c r="FS24" s="198"/>
      <c r="FT24" s="198"/>
      <c r="FU24" s="198"/>
      <c r="FV24" s="198"/>
      <c r="FW24" s="198"/>
      <c r="FX24" s="198"/>
      <c r="FY24" s="198"/>
      <c r="FZ24" s="198"/>
      <c r="GA24" s="198"/>
      <c r="GB24" s="198"/>
      <c r="GC24" s="198"/>
      <c r="GD24" s="198"/>
      <c r="GE24" s="198"/>
      <c r="GF24" s="198"/>
      <c r="GG24" s="198"/>
      <c r="GH24" s="198"/>
      <c r="GI24" s="198"/>
      <c r="GJ24" s="198"/>
      <c r="GK24" s="198"/>
      <c r="GL24" s="198"/>
      <c r="GM24" s="198"/>
      <c r="GN24" s="198"/>
      <c r="GO24" s="198"/>
      <c r="GP24" s="198"/>
      <c r="GQ24" s="198"/>
      <c r="GR24" s="198"/>
      <c r="GS24" s="198"/>
      <c r="GT24" s="198"/>
      <c r="GU24" s="198"/>
      <c r="GV24" s="198"/>
      <c r="GW24" s="198"/>
      <c r="GX24" s="198"/>
      <c r="GY24" s="198"/>
      <c r="GZ24" s="198"/>
      <c r="HA24" s="198"/>
      <c r="HB24" s="198"/>
      <c r="HC24" s="198"/>
      <c r="HD24" s="198"/>
      <c r="HE24" s="198"/>
      <c r="HF24" s="198"/>
      <c r="HG24" s="198"/>
      <c r="HH24" s="198"/>
      <c r="HI24" s="198"/>
      <c r="HJ24" s="198"/>
      <c r="HK24" s="198"/>
      <c r="HL24" s="198"/>
      <c r="HM24" s="198"/>
      <c r="HN24" s="198"/>
      <c r="HO24" s="198"/>
      <c r="HP24" s="198"/>
      <c r="HQ24" s="198"/>
      <c r="HR24" s="198"/>
      <c r="HS24" s="198"/>
      <c r="HT24" s="198"/>
      <c r="HU24" s="198"/>
      <c r="HV24" s="198"/>
      <c r="HW24" s="198"/>
      <c r="HX24" s="198"/>
      <c r="HY24" s="198"/>
      <c r="HZ24" s="198"/>
      <c r="IA24" s="198"/>
      <c r="IB24" s="198"/>
      <c r="IC24" s="198"/>
      <c r="ID24" s="198"/>
      <c r="IE24" s="198"/>
      <c r="IF24" s="198"/>
      <c r="IG24" s="198"/>
      <c r="IH24" s="198"/>
      <c r="II24" s="198"/>
      <c r="IJ24" s="198"/>
      <c r="IK24" s="198"/>
      <c r="IL24" s="198"/>
      <c r="IM24" s="198"/>
      <c r="IN24" s="198"/>
      <c r="IO24" s="198"/>
      <c r="IP24" s="198"/>
      <c r="IQ24" s="198"/>
      <c r="IR24" s="198"/>
      <c r="IS24" s="198"/>
      <c r="IT24" s="198"/>
      <c r="IU24" s="198"/>
      <c r="IV24" s="198"/>
      <c r="IW24" s="198"/>
      <c r="IX24" s="198"/>
      <c r="IY24" s="198"/>
      <c r="IZ24" s="198"/>
      <c r="JA24" s="198"/>
      <c r="JB24" s="198"/>
      <c r="JC24" s="198"/>
      <c r="JD24" s="198"/>
      <c r="JE24" s="198"/>
      <c r="JF24" s="198"/>
      <c r="JG24" s="198"/>
      <c r="JH24" s="198"/>
      <c r="JI24" s="198"/>
      <c r="JJ24" s="198"/>
      <c r="JK24" s="198"/>
      <c r="JL24" s="198"/>
      <c r="JM24" s="198"/>
      <c r="JN24" s="198"/>
      <c r="JO24" s="198"/>
      <c r="JP24" s="198"/>
      <c r="JQ24" s="198"/>
      <c r="JR24" s="198"/>
      <c r="JS24" s="198"/>
      <c r="JT24" s="198"/>
      <c r="JU24" s="198"/>
      <c r="JV24" s="198"/>
      <c r="JW24" s="198"/>
      <c r="JX24" s="198"/>
      <c r="JY24" s="198"/>
      <c r="JZ24" s="198"/>
      <c r="KA24" s="198"/>
      <c r="KB24" s="198"/>
      <c r="KC24" s="198"/>
      <c r="KD24" s="198"/>
      <c r="KE24" s="198"/>
      <c r="KF24" s="198"/>
      <c r="KG24" s="198"/>
      <c r="KH24" s="198"/>
      <c r="KI24" s="198"/>
      <c r="KJ24" s="198"/>
      <c r="KK24" s="198"/>
      <c r="KL24" s="198"/>
      <c r="KM24" s="198"/>
      <c r="KN24" s="198"/>
      <c r="KO24" s="198"/>
      <c r="KP24" s="198"/>
      <c r="KQ24" s="198"/>
      <c r="KR24" s="198"/>
      <c r="KS24" s="198"/>
      <c r="KT24" s="198"/>
      <c r="KU24" s="198"/>
      <c r="KV24" s="198"/>
      <c r="KW24" s="198"/>
      <c r="KX24" s="198"/>
      <c r="KY24" s="198"/>
      <c r="KZ24" s="198"/>
      <c r="LA24" s="198"/>
      <c r="LB24" s="198"/>
      <c r="LC24" s="198"/>
      <c r="LD24" s="198"/>
      <c r="LE24" s="198"/>
      <c r="LF24" s="198"/>
      <c r="LG24" s="198"/>
      <c r="LH24" s="198"/>
      <c r="LI24" s="198"/>
      <c r="LJ24" s="198"/>
      <c r="LK24" s="198"/>
      <c r="LL24" s="198"/>
      <c r="LM24" s="198"/>
      <c r="LN24" s="198"/>
      <c r="LO24" s="198"/>
      <c r="LP24" s="198"/>
      <c r="LQ24" s="198"/>
      <c r="LR24" s="198"/>
      <c r="LS24" s="198"/>
      <c r="LT24" s="198"/>
      <c r="LU24" s="198"/>
      <c r="LV24" s="198"/>
      <c r="LW24" s="198"/>
      <c r="LX24" s="198"/>
      <c r="LY24" s="198"/>
      <c r="LZ24" s="198"/>
      <c r="MA24" s="198"/>
      <c r="MB24" s="198"/>
      <c r="MC24" s="198"/>
      <c r="MD24" s="198"/>
      <c r="ME24" s="198"/>
      <c r="MF24" s="198"/>
      <c r="MG24" s="198"/>
      <c r="MH24" s="198"/>
      <c r="MI24" s="198"/>
      <c r="MJ24" s="198"/>
      <c r="MK24" s="198"/>
      <c r="ML24" s="198"/>
      <c r="MM24" s="198"/>
      <c r="MN24" s="198"/>
      <c r="MO24" s="198"/>
      <c r="MP24" s="198"/>
      <c r="MQ24" s="198"/>
      <c r="MR24" s="198"/>
      <c r="MS24" s="198"/>
      <c r="MT24" s="198"/>
      <c r="MU24" s="198"/>
      <c r="MV24" s="198"/>
      <c r="MW24" s="198"/>
      <c r="MX24" s="198"/>
      <c r="MY24" s="198"/>
      <c r="MZ24" s="198"/>
      <c r="NA24" s="198"/>
    </row>
    <row r="25" spans="1:365" ht="13.5" thickBot="1">
      <c r="C25" s="472" t="s">
        <v>99</v>
      </c>
      <c r="D25" s="472" t="s">
        <v>100</v>
      </c>
      <c r="E25" s="472" t="s">
        <v>494</v>
      </c>
      <c r="F25" s="472" t="s">
        <v>495</v>
      </c>
      <c r="G25" s="472" t="s">
        <v>496</v>
      </c>
      <c r="H25" s="472" t="s">
        <v>497</v>
      </c>
      <c r="I25" s="472" t="s">
        <v>498</v>
      </c>
      <c r="J25" s="472" t="s">
        <v>499</v>
      </c>
      <c r="K25" s="472" t="s">
        <v>500</v>
      </c>
      <c r="L25" s="472" t="s">
        <v>506</v>
      </c>
      <c r="M25" s="472" t="s">
        <v>512</v>
      </c>
      <c r="N25" s="472" t="s">
        <v>505</v>
      </c>
      <c r="O25" s="474"/>
      <c r="P25" s="198"/>
      <c r="Q25" s="198"/>
      <c r="R25" s="198"/>
      <c r="S25" s="198"/>
      <c r="T25" s="198"/>
      <c r="U25" s="198"/>
      <c r="V25" s="198"/>
      <c r="W25" s="198"/>
      <c r="X25" s="198"/>
      <c r="Y25" s="198"/>
      <c r="Z25" s="198"/>
      <c r="AA25" s="198"/>
      <c r="AB25" s="198"/>
      <c r="AC25" s="198"/>
      <c r="AD25" s="198"/>
      <c r="AE25" s="198"/>
      <c r="AF25" s="198"/>
      <c r="AG25" s="198"/>
      <c r="AH25" s="198"/>
      <c r="AI25" s="198"/>
      <c r="AJ25" s="198"/>
      <c r="AK25" s="198"/>
      <c r="AL25" s="198"/>
      <c r="AM25" s="198"/>
      <c r="AN25" s="198"/>
      <c r="AO25" s="198"/>
      <c r="AP25" s="198"/>
      <c r="AQ25" s="198"/>
      <c r="AR25" s="198"/>
      <c r="AS25" s="198"/>
      <c r="AT25" s="198"/>
      <c r="AU25" s="198"/>
      <c r="AV25" s="198"/>
      <c r="AW25" s="198"/>
      <c r="AX25" s="198"/>
      <c r="AY25" s="198"/>
      <c r="AZ25" s="198"/>
      <c r="BA25" s="198"/>
      <c r="BB25" s="198"/>
      <c r="BC25" s="198"/>
      <c r="BD25" s="198"/>
      <c r="BE25" s="198"/>
      <c r="BF25" s="198"/>
      <c r="BG25" s="198"/>
      <c r="BH25" s="198"/>
      <c r="BI25" s="198"/>
      <c r="BJ25" s="198"/>
      <c r="BK25" s="198"/>
      <c r="BL25" s="198"/>
      <c r="BM25" s="198"/>
      <c r="BN25" s="198"/>
      <c r="BO25" s="198"/>
      <c r="BP25" s="198"/>
      <c r="BQ25" s="198"/>
      <c r="BR25" s="198"/>
      <c r="BS25" s="198"/>
      <c r="BT25" s="198"/>
      <c r="BU25" s="198"/>
      <c r="BV25" s="198"/>
      <c r="BW25" s="198"/>
      <c r="BX25" s="198"/>
      <c r="BY25" s="198"/>
      <c r="BZ25" s="198"/>
      <c r="CA25" s="198"/>
      <c r="CB25" s="198"/>
      <c r="CC25" s="198"/>
      <c r="CD25" s="198"/>
      <c r="CE25" s="198"/>
      <c r="CF25" s="198"/>
      <c r="CG25" s="198"/>
      <c r="CH25" s="198"/>
      <c r="CI25" s="198"/>
      <c r="CJ25" s="198"/>
      <c r="CK25" s="198"/>
      <c r="CL25" s="198"/>
      <c r="CM25" s="198"/>
      <c r="CN25" s="198"/>
      <c r="CO25" s="198"/>
      <c r="CP25" s="198"/>
      <c r="CQ25" s="198"/>
      <c r="CR25" s="198"/>
      <c r="CS25" s="198"/>
      <c r="CT25" s="198"/>
      <c r="CU25" s="198"/>
      <c r="CV25" s="198"/>
      <c r="CW25" s="198"/>
      <c r="CX25" s="198"/>
      <c r="CY25" s="198"/>
      <c r="CZ25" s="198"/>
      <c r="DA25" s="198"/>
      <c r="DB25" s="198"/>
      <c r="DC25" s="198"/>
      <c r="DD25" s="198"/>
      <c r="DE25" s="198"/>
      <c r="DF25" s="198"/>
      <c r="DG25" s="198"/>
      <c r="DH25" s="198"/>
      <c r="DI25" s="198"/>
      <c r="DJ25" s="198"/>
      <c r="DK25" s="198"/>
      <c r="DL25" s="198"/>
      <c r="DM25" s="198"/>
      <c r="DN25" s="198"/>
      <c r="DO25" s="198"/>
      <c r="DP25" s="198"/>
      <c r="DQ25" s="198"/>
      <c r="DR25" s="198"/>
      <c r="DS25" s="198"/>
      <c r="DT25" s="198"/>
      <c r="DU25" s="198"/>
      <c r="DV25" s="198"/>
      <c r="DW25" s="198"/>
      <c r="DX25" s="198"/>
      <c r="DY25" s="198"/>
      <c r="DZ25" s="198"/>
      <c r="EA25" s="198"/>
      <c r="EB25" s="198"/>
      <c r="EC25" s="198"/>
      <c r="ED25" s="198"/>
      <c r="EE25" s="198"/>
      <c r="EF25" s="198"/>
      <c r="EG25" s="198"/>
      <c r="EH25" s="198"/>
      <c r="EI25" s="198"/>
      <c r="EJ25" s="198"/>
      <c r="EK25" s="198"/>
      <c r="EL25" s="198"/>
      <c r="EM25" s="198"/>
      <c r="EN25" s="198"/>
      <c r="EO25" s="198"/>
      <c r="EP25" s="198"/>
      <c r="EQ25" s="198"/>
      <c r="ER25" s="198"/>
      <c r="ES25" s="198"/>
      <c r="ET25" s="198"/>
      <c r="EU25" s="198"/>
      <c r="EV25" s="198"/>
      <c r="EW25" s="198"/>
      <c r="EX25" s="198"/>
      <c r="EY25" s="198"/>
      <c r="EZ25" s="198"/>
      <c r="FA25" s="198"/>
      <c r="FB25" s="198"/>
      <c r="FC25" s="198"/>
      <c r="FD25" s="198"/>
      <c r="FE25" s="198"/>
      <c r="FF25" s="198"/>
      <c r="FG25" s="198"/>
      <c r="FH25" s="198"/>
      <c r="FI25" s="198"/>
      <c r="FJ25" s="198"/>
      <c r="FK25" s="198"/>
      <c r="FL25" s="198"/>
      <c r="FM25" s="198"/>
      <c r="FN25" s="198"/>
      <c r="FO25" s="198"/>
      <c r="FP25" s="198"/>
      <c r="FQ25" s="198"/>
      <c r="FR25" s="198"/>
      <c r="FS25" s="198"/>
      <c r="FT25" s="198"/>
      <c r="FU25" s="198"/>
      <c r="FV25" s="198"/>
      <c r="FW25" s="198"/>
      <c r="FX25" s="198"/>
      <c r="FY25" s="198"/>
      <c r="FZ25" s="198"/>
      <c r="GA25" s="198"/>
      <c r="GB25" s="198"/>
      <c r="GC25" s="198"/>
      <c r="GD25" s="198"/>
      <c r="GE25" s="198"/>
      <c r="GF25" s="198"/>
      <c r="GG25" s="198"/>
      <c r="GH25" s="198"/>
      <c r="GI25" s="198"/>
      <c r="GJ25" s="198"/>
      <c r="GK25" s="198"/>
      <c r="GL25" s="198"/>
      <c r="GM25" s="198"/>
      <c r="GN25" s="198"/>
      <c r="GO25" s="198"/>
      <c r="GP25" s="198"/>
      <c r="GQ25" s="198"/>
      <c r="GR25" s="198"/>
      <c r="GS25" s="198"/>
      <c r="GT25" s="198"/>
      <c r="GU25" s="198"/>
      <c r="GV25" s="198"/>
      <c r="GW25" s="198"/>
      <c r="GX25" s="198"/>
      <c r="GY25" s="198"/>
      <c r="GZ25" s="198"/>
      <c r="HA25" s="198"/>
      <c r="HB25" s="198"/>
      <c r="HC25" s="198"/>
      <c r="HD25" s="198"/>
      <c r="HE25" s="198"/>
      <c r="HF25" s="198"/>
      <c r="HG25" s="198"/>
      <c r="HH25" s="198"/>
      <c r="HI25" s="198"/>
      <c r="HJ25" s="198"/>
      <c r="HK25" s="198"/>
      <c r="HL25" s="198"/>
      <c r="HM25" s="198"/>
      <c r="HN25" s="198"/>
      <c r="HO25" s="198"/>
      <c r="HP25" s="198"/>
      <c r="HQ25" s="198"/>
      <c r="HR25" s="198"/>
      <c r="HS25" s="198"/>
      <c r="HT25" s="198"/>
      <c r="HU25" s="198"/>
      <c r="HV25" s="198"/>
      <c r="HW25" s="198"/>
      <c r="HX25" s="198"/>
      <c r="HY25" s="198"/>
      <c r="HZ25" s="198"/>
      <c r="IA25" s="198"/>
      <c r="IB25" s="198"/>
      <c r="IC25" s="198"/>
      <c r="ID25" s="198"/>
      <c r="IE25" s="198"/>
      <c r="IF25" s="198"/>
      <c r="IG25" s="198"/>
      <c r="IH25" s="198"/>
      <c r="II25" s="198"/>
      <c r="IJ25" s="198"/>
      <c r="IK25" s="198"/>
      <c r="IL25" s="198"/>
      <c r="IM25" s="198"/>
      <c r="IN25" s="198"/>
      <c r="IO25" s="198"/>
      <c r="IP25" s="198"/>
      <c r="IQ25" s="198"/>
      <c r="IR25" s="198"/>
      <c r="IS25" s="198"/>
      <c r="IT25" s="198"/>
      <c r="IU25" s="198"/>
      <c r="IV25" s="198"/>
      <c r="IW25" s="198"/>
      <c r="IX25" s="198"/>
      <c r="IY25" s="198"/>
      <c r="IZ25" s="198"/>
      <c r="JA25" s="198"/>
      <c r="JB25" s="198"/>
      <c r="JC25" s="198"/>
      <c r="JD25" s="198"/>
      <c r="JE25" s="198"/>
      <c r="JF25" s="198"/>
      <c r="JG25" s="198"/>
      <c r="JH25" s="198"/>
      <c r="JI25" s="198"/>
      <c r="JJ25" s="198"/>
      <c r="JK25" s="198"/>
      <c r="JL25" s="198"/>
      <c r="JM25" s="198"/>
      <c r="JN25" s="198"/>
      <c r="JO25" s="198"/>
      <c r="JP25" s="198"/>
      <c r="JQ25" s="198"/>
      <c r="JR25" s="198"/>
      <c r="JS25" s="198"/>
      <c r="JT25" s="198"/>
      <c r="JU25" s="198"/>
      <c r="JV25" s="198"/>
      <c r="JW25" s="198"/>
      <c r="JX25" s="198"/>
      <c r="JY25" s="198"/>
      <c r="JZ25" s="198"/>
      <c r="KA25" s="198"/>
      <c r="KB25" s="198"/>
      <c r="KC25" s="198"/>
      <c r="KD25" s="198"/>
      <c r="KE25" s="198"/>
      <c r="KF25" s="198"/>
      <c r="KG25" s="198"/>
      <c r="KH25" s="198"/>
      <c r="KI25" s="198"/>
      <c r="KJ25" s="198"/>
      <c r="KK25" s="198"/>
      <c r="KL25" s="198"/>
      <c r="KM25" s="198"/>
      <c r="KN25" s="198"/>
      <c r="KO25" s="198"/>
      <c r="KP25" s="198"/>
      <c r="KQ25" s="198"/>
      <c r="KR25" s="198"/>
      <c r="KS25" s="198"/>
      <c r="KT25" s="198"/>
      <c r="KU25" s="198"/>
      <c r="KV25" s="198"/>
      <c r="KW25" s="198"/>
      <c r="KX25" s="198"/>
      <c r="KY25" s="198"/>
      <c r="KZ25" s="198"/>
      <c r="LA25" s="198"/>
      <c r="LB25" s="198"/>
      <c r="LC25" s="198"/>
      <c r="LD25" s="198"/>
      <c r="LE25" s="198"/>
      <c r="LF25" s="198"/>
      <c r="LG25" s="198"/>
      <c r="LH25" s="198"/>
      <c r="LI25" s="198"/>
      <c r="LJ25" s="198"/>
      <c r="LK25" s="198"/>
      <c r="LL25" s="198"/>
      <c r="LM25" s="198"/>
      <c r="LN25" s="198"/>
      <c r="LO25" s="198"/>
      <c r="LP25" s="198"/>
      <c r="LQ25" s="198"/>
      <c r="LR25" s="198"/>
      <c r="LS25" s="198"/>
      <c r="LT25" s="198"/>
      <c r="LU25" s="198"/>
      <c r="LV25" s="198"/>
      <c r="LW25" s="198"/>
      <c r="LX25" s="198"/>
      <c r="LY25" s="198"/>
      <c r="LZ25" s="198"/>
      <c r="MA25" s="198"/>
      <c r="MB25" s="198"/>
      <c r="MC25" s="198"/>
      <c r="MD25" s="198"/>
      <c r="ME25" s="198"/>
      <c r="MF25" s="198"/>
      <c r="MG25" s="198"/>
      <c r="MH25" s="198"/>
      <c r="MI25" s="198"/>
      <c r="MJ25" s="198"/>
      <c r="MK25" s="198"/>
      <c r="ML25" s="198"/>
      <c r="MM25" s="198"/>
      <c r="MN25" s="198"/>
      <c r="MO25" s="198"/>
      <c r="MP25" s="198"/>
      <c r="MQ25" s="198"/>
      <c r="MR25" s="198"/>
      <c r="MS25" s="198"/>
      <c r="MT25" s="198"/>
      <c r="MU25" s="198"/>
      <c r="MV25" s="198"/>
      <c r="MW25" s="198"/>
      <c r="MX25" s="198"/>
      <c r="MY25" s="198"/>
      <c r="MZ25" s="198"/>
      <c r="NA25" s="198"/>
    </row>
    <row r="26" spans="1:365" ht="13.5" thickBot="1">
      <c r="C26" s="473"/>
      <c r="D26" s="508"/>
      <c r="E26" s="508"/>
      <c r="F26" s="473"/>
      <c r="G26" s="495"/>
      <c r="H26" s="514"/>
      <c r="I26" s="509"/>
      <c r="J26" s="473" t="s">
        <v>507</v>
      </c>
      <c r="K26" s="473"/>
      <c r="L26" s="514"/>
      <c r="M26" s="472"/>
      <c r="N26" s="472">
        <v>4</v>
      </c>
      <c r="O26" s="232" t="s">
        <v>325</v>
      </c>
      <c r="P26" s="159" t="s">
        <v>8</v>
      </c>
      <c r="Q26" s="159" t="s">
        <v>8</v>
      </c>
      <c r="R26" s="159" t="s">
        <v>8</v>
      </c>
      <c r="S26" s="159" t="s">
        <v>8</v>
      </c>
      <c r="T26" s="159" t="s">
        <v>8</v>
      </c>
      <c r="U26" s="126" t="s">
        <v>2</v>
      </c>
      <c r="V26" s="126" t="s">
        <v>2</v>
      </c>
      <c r="W26" s="127" t="s">
        <v>12</v>
      </c>
      <c r="X26" s="127" t="s">
        <v>12</v>
      </c>
      <c r="Y26" s="126" t="s">
        <v>2</v>
      </c>
      <c r="Z26" s="143" t="s">
        <v>6</v>
      </c>
      <c r="AA26" s="143" t="s">
        <v>6</v>
      </c>
      <c r="AB26" s="148" t="s">
        <v>11</v>
      </c>
      <c r="AC26" s="126" t="s">
        <v>2</v>
      </c>
      <c r="AD26" s="200" t="s">
        <v>2</v>
      </c>
      <c r="AE26" s="202" t="s">
        <v>11</v>
      </c>
      <c r="AF26" s="202" t="s">
        <v>11</v>
      </c>
      <c r="AG26" s="202" t="s">
        <v>11</v>
      </c>
      <c r="AH26" s="202" t="s">
        <v>11</v>
      </c>
      <c r="AI26" s="201" t="s">
        <v>5</v>
      </c>
      <c r="AJ26" s="200" t="s">
        <v>2</v>
      </c>
      <c r="AK26" s="202" t="s">
        <v>11</v>
      </c>
      <c r="AL26" s="202" t="s">
        <v>11</v>
      </c>
      <c r="AM26" s="200" t="s">
        <v>2</v>
      </c>
      <c r="AN26" s="200" t="s">
        <v>2</v>
      </c>
      <c r="AO26" s="202" t="s">
        <v>11</v>
      </c>
      <c r="AP26" s="202" t="s">
        <v>11</v>
      </c>
      <c r="AQ26" s="144" t="s">
        <v>3</v>
      </c>
      <c r="AR26" s="155" t="s">
        <v>11</v>
      </c>
      <c r="AS26" s="155" t="s">
        <v>11</v>
      </c>
      <c r="AT26" s="155" t="s">
        <v>11</v>
      </c>
      <c r="AU26" s="155" t="s">
        <v>11</v>
      </c>
      <c r="AV26" s="233" t="s">
        <v>305</v>
      </c>
      <c r="AW26" s="200" t="s">
        <v>2</v>
      </c>
      <c r="AX26" s="200" t="s">
        <v>2</v>
      </c>
      <c r="AY26" s="233" t="s">
        <v>215</v>
      </c>
      <c r="AZ26" s="210" t="s">
        <v>132</v>
      </c>
      <c r="BA26" s="204" t="s">
        <v>5</v>
      </c>
      <c r="BB26" s="210" t="s">
        <v>132</v>
      </c>
      <c r="BC26" s="200" t="s">
        <v>2</v>
      </c>
      <c r="BD26" s="210" t="s">
        <v>132</v>
      </c>
      <c r="BE26" s="200" t="s">
        <v>2</v>
      </c>
      <c r="BF26" s="136" t="s">
        <v>2</v>
      </c>
      <c r="BG26" s="153" t="s">
        <v>8</v>
      </c>
      <c r="BH26" s="153" t="s">
        <v>8</v>
      </c>
      <c r="BI26" s="153" t="s">
        <v>8</v>
      </c>
      <c r="BJ26" s="153" t="s">
        <v>8</v>
      </c>
      <c r="BK26" s="153" t="s">
        <v>8</v>
      </c>
      <c r="BL26" s="136" t="s">
        <v>2</v>
      </c>
      <c r="BM26" s="153" t="s">
        <v>8</v>
      </c>
      <c r="BN26" s="135" t="s">
        <v>5</v>
      </c>
      <c r="BO26" s="136" t="s">
        <v>2</v>
      </c>
      <c r="BP26" s="135" t="s">
        <v>5</v>
      </c>
      <c r="BQ26" s="135" t="s">
        <v>5</v>
      </c>
      <c r="BR26" s="135" t="s">
        <v>5</v>
      </c>
      <c r="BS26" s="136" t="s">
        <v>2</v>
      </c>
      <c r="BT26" s="155" t="s">
        <v>11</v>
      </c>
      <c r="BU26" s="155" t="s">
        <v>11</v>
      </c>
      <c r="BV26" s="155" t="s">
        <v>11</v>
      </c>
      <c r="BW26" s="155" t="s">
        <v>11</v>
      </c>
      <c r="BX26" s="155" t="s">
        <v>11</v>
      </c>
      <c r="BY26" s="136" t="s">
        <v>2</v>
      </c>
      <c r="BZ26" s="136" t="s">
        <v>2</v>
      </c>
      <c r="CA26" s="155" t="s">
        <v>11</v>
      </c>
      <c r="CB26" s="155" t="s">
        <v>11</v>
      </c>
      <c r="CC26" s="155" t="s">
        <v>11</v>
      </c>
      <c r="CD26" s="136" t="s">
        <v>2</v>
      </c>
      <c r="CE26" s="155" t="s">
        <v>11</v>
      </c>
      <c r="CF26" s="135" t="s">
        <v>114</v>
      </c>
      <c r="CG26" s="136" t="s">
        <v>2</v>
      </c>
      <c r="CH26" s="155" t="s">
        <v>11</v>
      </c>
      <c r="CI26" s="155" t="s">
        <v>11</v>
      </c>
      <c r="CJ26" s="155" t="s">
        <v>11</v>
      </c>
      <c r="CK26" s="155" t="s">
        <v>11</v>
      </c>
      <c r="CL26" s="155" t="s">
        <v>11</v>
      </c>
      <c r="CM26" s="136" t="s">
        <v>2</v>
      </c>
      <c r="CN26" s="136" t="s">
        <v>2</v>
      </c>
      <c r="CO26" s="136" t="s">
        <v>2</v>
      </c>
      <c r="CP26" s="155" t="s">
        <v>11</v>
      </c>
      <c r="CQ26" s="155" t="s">
        <v>11</v>
      </c>
      <c r="CR26" s="155" t="s">
        <v>11</v>
      </c>
      <c r="CS26" s="155" t="s">
        <v>11</v>
      </c>
      <c r="CT26" s="153" t="s">
        <v>7</v>
      </c>
      <c r="CU26" s="136" t="s">
        <v>2</v>
      </c>
      <c r="CV26" s="155" t="s">
        <v>11</v>
      </c>
      <c r="CW26" s="155" t="s">
        <v>11</v>
      </c>
      <c r="CX26" s="155" t="s">
        <v>11</v>
      </c>
      <c r="CY26" s="155" t="s">
        <v>11</v>
      </c>
      <c r="CZ26" s="155" t="s">
        <v>11</v>
      </c>
      <c r="DA26" s="136" t="s">
        <v>2</v>
      </c>
      <c r="DB26" s="136" t="s">
        <v>2</v>
      </c>
      <c r="DC26" s="155" t="s">
        <v>11</v>
      </c>
      <c r="DD26" s="136" t="s">
        <v>2</v>
      </c>
      <c r="DE26" s="136" t="s">
        <v>2</v>
      </c>
      <c r="DF26" s="153" t="s">
        <v>7</v>
      </c>
      <c r="DG26" s="155" t="s">
        <v>11</v>
      </c>
      <c r="DH26" s="155" t="s">
        <v>11</v>
      </c>
      <c r="DI26" s="146" t="s">
        <v>117</v>
      </c>
      <c r="DJ26" s="136" t="s">
        <v>2</v>
      </c>
      <c r="DK26" s="155" t="s">
        <v>11</v>
      </c>
      <c r="DL26" s="155" t="s">
        <v>11</v>
      </c>
      <c r="DM26" s="155" t="s">
        <v>11</v>
      </c>
      <c r="DN26" s="155" t="s">
        <v>11</v>
      </c>
      <c r="DO26" s="153" t="s">
        <v>7</v>
      </c>
      <c r="DP26" s="136" t="s">
        <v>2</v>
      </c>
      <c r="DQ26" s="153" t="s">
        <v>7</v>
      </c>
      <c r="DR26" s="153" t="s">
        <v>7</v>
      </c>
      <c r="DS26" s="153" t="s">
        <v>7</v>
      </c>
      <c r="DT26" s="153" t="s">
        <v>7</v>
      </c>
      <c r="DU26" s="210" t="s">
        <v>12</v>
      </c>
      <c r="DV26" s="136" t="s">
        <v>2</v>
      </c>
      <c r="DW26" s="136" t="s">
        <v>2</v>
      </c>
      <c r="DX26" s="155" t="s">
        <v>11</v>
      </c>
      <c r="DY26" s="155" t="s">
        <v>11</v>
      </c>
      <c r="DZ26" s="155" t="s">
        <v>11</v>
      </c>
      <c r="EA26" s="162" t="s">
        <v>155</v>
      </c>
      <c r="EB26" s="155" t="s">
        <v>11</v>
      </c>
      <c r="EC26" s="136" t="s">
        <v>2</v>
      </c>
      <c r="ED26" s="136" t="s">
        <v>2</v>
      </c>
      <c r="EE26" s="155" t="s">
        <v>11</v>
      </c>
      <c r="EF26" s="155" t="s">
        <v>11</v>
      </c>
      <c r="EG26" s="155" t="s">
        <v>11</v>
      </c>
      <c r="EH26" s="136" t="s">
        <v>2</v>
      </c>
      <c r="EI26" s="155" t="s">
        <v>11</v>
      </c>
      <c r="EJ26" s="155" t="s">
        <v>11</v>
      </c>
      <c r="EK26" s="136" t="s">
        <v>2</v>
      </c>
      <c r="EL26" s="135" t="s">
        <v>114</v>
      </c>
      <c r="EM26" s="135" t="s">
        <v>114</v>
      </c>
      <c r="EN26" s="135" t="s">
        <v>114</v>
      </c>
      <c r="EO26" s="136" t="s">
        <v>2</v>
      </c>
      <c r="EP26" s="136" t="s">
        <v>2</v>
      </c>
      <c r="EQ26" s="155" t="s">
        <v>11</v>
      </c>
      <c r="ER26" s="146" t="s">
        <v>117</v>
      </c>
      <c r="ES26" s="155" t="s">
        <v>11</v>
      </c>
      <c r="ET26" s="136" t="s">
        <v>2</v>
      </c>
      <c r="EU26" s="155" t="s">
        <v>11</v>
      </c>
      <c r="EV26" s="155" t="s">
        <v>11</v>
      </c>
      <c r="EW26" s="155" t="s">
        <v>11</v>
      </c>
      <c r="EX26" s="155" t="s">
        <v>11</v>
      </c>
      <c r="EY26" s="136" t="s">
        <v>2</v>
      </c>
      <c r="EZ26" s="210" t="s">
        <v>12</v>
      </c>
      <c r="FA26" s="210" t="s">
        <v>12</v>
      </c>
      <c r="FB26" s="210" t="s">
        <v>12</v>
      </c>
      <c r="FC26" s="210" t="s">
        <v>12</v>
      </c>
      <c r="FD26" s="210" t="s">
        <v>12</v>
      </c>
      <c r="FE26" s="136" t="s">
        <v>2</v>
      </c>
      <c r="FF26" s="136" t="s">
        <v>2</v>
      </c>
      <c r="FG26" s="153" t="s">
        <v>7</v>
      </c>
      <c r="FH26" s="153" t="s">
        <v>7</v>
      </c>
      <c r="FI26" s="153" t="s">
        <v>7</v>
      </c>
      <c r="FJ26" s="153" t="s">
        <v>7</v>
      </c>
      <c r="FK26" s="153" t="s">
        <v>7</v>
      </c>
      <c r="FL26" s="136" t="s">
        <v>2</v>
      </c>
      <c r="FM26" s="136" t="s">
        <v>2</v>
      </c>
      <c r="FN26" s="136" t="s">
        <v>2</v>
      </c>
      <c r="FO26" s="155" t="s">
        <v>11</v>
      </c>
      <c r="FP26" s="155" t="s">
        <v>11</v>
      </c>
      <c r="FQ26" s="155" t="s">
        <v>11</v>
      </c>
      <c r="FR26" s="155" t="s">
        <v>11</v>
      </c>
      <c r="FS26" s="155" t="s">
        <v>11</v>
      </c>
      <c r="FT26" s="136" t="s">
        <v>2</v>
      </c>
      <c r="FU26" s="155" t="s">
        <v>11</v>
      </c>
      <c r="FV26" s="155" t="s">
        <v>11</v>
      </c>
      <c r="FW26" s="155" t="s">
        <v>11</v>
      </c>
      <c r="FX26" s="155" t="s">
        <v>11</v>
      </c>
      <c r="FY26" s="155" t="s">
        <v>11</v>
      </c>
      <c r="FZ26" s="136" t="s">
        <v>2</v>
      </c>
      <c r="GA26" s="136" t="s">
        <v>2</v>
      </c>
      <c r="GB26" s="153" t="s">
        <v>7</v>
      </c>
      <c r="GC26" s="136" t="s">
        <v>2</v>
      </c>
      <c r="GD26" s="136" t="s">
        <v>2</v>
      </c>
      <c r="GE26" s="153" t="s">
        <v>7</v>
      </c>
      <c r="GF26" s="210" t="s">
        <v>12</v>
      </c>
      <c r="GG26" s="153" t="s">
        <v>7</v>
      </c>
      <c r="GH26" s="146" t="s">
        <v>3</v>
      </c>
      <c r="GI26" s="131" t="s">
        <v>67</v>
      </c>
      <c r="GJ26" s="129" t="s">
        <v>2</v>
      </c>
      <c r="GK26" s="128" t="s">
        <v>128</v>
      </c>
      <c r="GL26" s="128" t="s">
        <v>123</v>
      </c>
      <c r="GM26" s="128" t="s">
        <v>123</v>
      </c>
      <c r="GN26" s="128" t="s">
        <v>141</v>
      </c>
      <c r="GO26" s="129" t="s">
        <v>2</v>
      </c>
      <c r="GP26" s="128" t="s">
        <v>123</v>
      </c>
      <c r="GQ26" s="128" t="s">
        <v>123</v>
      </c>
      <c r="GR26" s="212" t="s">
        <v>61</v>
      </c>
      <c r="GS26" s="209" t="s">
        <v>122</v>
      </c>
      <c r="GT26" s="131" t="s">
        <v>63</v>
      </c>
      <c r="GU26" s="129" t="s">
        <v>2</v>
      </c>
      <c r="GV26" s="129" t="s">
        <v>2</v>
      </c>
      <c r="GW26" s="141" t="s">
        <v>120</v>
      </c>
      <c r="GX26" s="141" t="s">
        <v>120</v>
      </c>
      <c r="GY26" s="209" t="s">
        <v>122</v>
      </c>
      <c r="GZ26" s="141" t="s">
        <v>120</v>
      </c>
      <c r="HA26" s="129" t="s">
        <v>2</v>
      </c>
      <c r="HB26" s="128" t="s">
        <v>123</v>
      </c>
      <c r="HC26" s="129" t="s">
        <v>2</v>
      </c>
      <c r="HD26" s="141" t="s">
        <v>120</v>
      </c>
      <c r="HE26" s="141" t="s">
        <v>120</v>
      </c>
      <c r="HF26" s="131" t="s">
        <v>63</v>
      </c>
      <c r="HG26" s="128" t="s">
        <v>123</v>
      </c>
      <c r="HH26" s="128" t="s">
        <v>123</v>
      </c>
      <c r="HI26" s="129" t="s">
        <v>2</v>
      </c>
      <c r="HJ26" s="129" t="s">
        <v>2</v>
      </c>
      <c r="HK26" s="58" t="s">
        <v>63</v>
      </c>
      <c r="HL26" s="58" t="s">
        <v>63</v>
      </c>
      <c r="HM26" s="56" t="s">
        <v>2</v>
      </c>
      <c r="HN26" s="56" t="s">
        <v>2</v>
      </c>
      <c r="HO26" s="82" t="s">
        <v>45</v>
      </c>
      <c r="HP26" s="65" t="s">
        <v>286</v>
      </c>
      <c r="HQ26" s="62" t="s">
        <v>145</v>
      </c>
      <c r="HR26" s="56" t="s">
        <v>2</v>
      </c>
      <c r="HS26" s="58" t="s">
        <v>45</v>
      </c>
      <c r="HT26" s="58" t="s">
        <v>45</v>
      </c>
      <c r="HU26" s="58" t="s">
        <v>45</v>
      </c>
      <c r="HV26" s="58" t="s">
        <v>45</v>
      </c>
      <c r="HW26" s="54" t="s">
        <v>54</v>
      </c>
      <c r="HX26" s="56" t="s">
        <v>2</v>
      </c>
      <c r="HY26" s="80" t="s">
        <v>119</v>
      </c>
      <c r="HZ26" s="80" t="s">
        <v>119</v>
      </c>
      <c r="IA26" s="80" t="s">
        <v>119</v>
      </c>
      <c r="IB26" s="81" t="s">
        <v>146</v>
      </c>
      <c r="IC26" s="54" t="s">
        <v>128</v>
      </c>
      <c r="ID26" s="56" t="s">
        <v>2</v>
      </c>
      <c r="IE26" s="56" t="s">
        <v>2</v>
      </c>
      <c r="IF26" s="54" t="s">
        <v>128</v>
      </c>
      <c r="IG26" s="54" t="s">
        <v>128</v>
      </c>
      <c r="IH26" s="54" t="s">
        <v>128</v>
      </c>
      <c r="II26" s="117" t="s">
        <v>273</v>
      </c>
      <c r="IJ26" s="54" t="s">
        <v>128</v>
      </c>
      <c r="IK26" s="56" t="s">
        <v>2</v>
      </c>
      <c r="IL26" s="56" t="s">
        <v>2</v>
      </c>
      <c r="IM26" s="117" t="s">
        <v>274</v>
      </c>
      <c r="IN26" s="58" t="s">
        <v>67</v>
      </c>
      <c r="IO26" s="58" t="s">
        <v>67</v>
      </c>
      <c r="IP26" s="56" t="s">
        <v>2</v>
      </c>
      <c r="IQ26" s="56" t="s">
        <v>2</v>
      </c>
      <c r="IR26" s="80" t="s">
        <v>119</v>
      </c>
      <c r="IS26" s="62" t="s">
        <v>149</v>
      </c>
      <c r="IT26" s="81" t="s">
        <v>146</v>
      </c>
      <c r="IU26" s="81" t="s">
        <v>146</v>
      </c>
      <c r="IV26" s="81" t="s">
        <v>146</v>
      </c>
      <c r="IW26" s="56" t="s">
        <v>2</v>
      </c>
      <c r="IX26" s="81" t="s">
        <v>146</v>
      </c>
      <c r="IY26" s="54" t="s">
        <v>128</v>
      </c>
      <c r="IZ26" s="56" t="s">
        <v>2</v>
      </c>
      <c r="JA26" s="58" t="s">
        <v>67</v>
      </c>
      <c r="JB26" s="90" t="s">
        <v>274</v>
      </c>
      <c r="JC26" s="58" t="s">
        <v>67</v>
      </c>
      <c r="JD26" s="58" t="s">
        <v>67</v>
      </c>
      <c r="JE26" s="56" t="s">
        <v>130</v>
      </c>
      <c r="JF26" s="56" t="s">
        <v>2</v>
      </c>
      <c r="JG26" s="56" t="s">
        <v>2</v>
      </c>
      <c r="JH26" s="234" t="s">
        <v>128</v>
      </c>
      <c r="JI26" s="234" t="s">
        <v>128</v>
      </c>
      <c r="JJ26" s="56" t="s">
        <v>2</v>
      </c>
      <c r="JK26" s="234" t="s">
        <v>128</v>
      </c>
      <c r="JL26" s="234" t="s">
        <v>128</v>
      </c>
      <c r="JM26" s="234" t="s">
        <v>128</v>
      </c>
      <c r="JN26" s="56" t="s">
        <v>2</v>
      </c>
      <c r="JO26" s="58" t="s">
        <v>67</v>
      </c>
      <c r="JP26" s="58" t="s">
        <v>67</v>
      </c>
      <c r="JQ26" s="58" t="s">
        <v>67</v>
      </c>
      <c r="JR26" s="58" t="s">
        <v>67</v>
      </c>
      <c r="JS26" s="58" t="s">
        <v>67</v>
      </c>
      <c r="JT26" s="56" t="s">
        <v>2</v>
      </c>
      <c r="JU26" s="56" t="s">
        <v>2</v>
      </c>
      <c r="JV26" s="238" t="s">
        <v>128</v>
      </c>
      <c r="JW26" s="238" t="s">
        <v>128</v>
      </c>
      <c r="JX26" s="56" t="s">
        <v>2</v>
      </c>
      <c r="JY26" s="238" t="s">
        <v>128</v>
      </c>
      <c r="JZ26" s="238" t="s">
        <v>128</v>
      </c>
      <c r="KA26" s="238" t="s">
        <v>128</v>
      </c>
      <c r="KB26" s="56" t="s">
        <v>2</v>
      </c>
      <c r="KC26" s="58" t="s">
        <v>67</v>
      </c>
      <c r="KD26" s="58" t="s">
        <v>67</v>
      </c>
      <c r="KE26" s="56" t="s">
        <v>2</v>
      </c>
      <c r="KF26" s="58" t="s">
        <v>67</v>
      </c>
      <c r="KG26" s="58" t="s">
        <v>67</v>
      </c>
      <c r="KH26" s="58" t="s">
        <v>67</v>
      </c>
      <c r="KI26" s="56" t="s">
        <v>2</v>
      </c>
      <c r="KJ26" s="238" t="s">
        <v>128</v>
      </c>
      <c r="KK26" s="238" t="s">
        <v>128</v>
      </c>
      <c r="KL26" s="56" t="s">
        <v>2</v>
      </c>
      <c r="KM26" s="238" t="s">
        <v>128</v>
      </c>
      <c r="KN26" s="238" t="s">
        <v>128</v>
      </c>
      <c r="KO26" s="238" t="s">
        <v>128</v>
      </c>
      <c r="KP26" s="56" t="s">
        <v>2</v>
      </c>
      <c r="KQ26" s="80" t="s">
        <v>119</v>
      </c>
      <c r="KR26" s="80" t="s">
        <v>119</v>
      </c>
      <c r="KS26" s="80" t="s">
        <v>119</v>
      </c>
      <c r="KT26" s="80" t="s">
        <v>119</v>
      </c>
      <c r="KU26" s="80" t="s">
        <v>119</v>
      </c>
      <c r="KV26" s="56" t="s">
        <v>2</v>
      </c>
      <c r="KW26" s="56" t="s">
        <v>2</v>
      </c>
      <c r="KX26" s="58" t="s">
        <v>67</v>
      </c>
      <c r="KY26" s="58" t="s">
        <v>67</v>
      </c>
      <c r="KZ26" s="56" t="s">
        <v>2</v>
      </c>
      <c r="LA26" s="58" t="s">
        <v>67</v>
      </c>
      <c r="LB26" s="58" t="s">
        <v>67</v>
      </c>
      <c r="LC26" s="58" t="s">
        <v>67</v>
      </c>
      <c r="LD26" s="56" t="s">
        <v>2</v>
      </c>
      <c r="LE26" s="238" t="s">
        <v>128</v>
      </c>
      <c r="LF26" s="238" t="s">
        <v>128</v>
      </c>
      <c r="LG26" s="238" t="s">
        <v>128</v>
      </c>
      <c r="LH26" s="56" t="s">
        <v>2</v>
      </c>
      <c r="LI26" s="56" t="s">
        <v>2</v>
      </c>
      <c r="LJ26" s="80" t="s">
        <v>119</v>
      </c>
      <c r="LK26" s="62" t="s">
        <v>149</v>
      </c>
      <c r="LL26" s="58" t="s">
        <v>67</v>
      </c>
      <c r="LM26" s="58" t="s">
        <v>67</v>
      </c>
      <c r="LN26" s="56" t="s">
        <v>2</v>
      </c>
      <c r="LO26" s="58" t="s">
        <v>67</v>
      </c>
      <c r="LP26" s="58" t="s">
        <v>67</v>
      </c>
      <c r="LQ26" s="58" t="s">
        <v>67</v>
      </c>
      <c r="LR26" s="56" t="s">
        <v>2</v>
      </c>
      <c r="LS26" s="80" t="s">
        <v>119</v>
      </c>
      <c r="LT26" s="80" t="s">
        <v>119</v>
      </c>
      <c r="LU26" s="80" t="s">
        <v>119</v>
      </c>
      <c r="LV26" s="80" t="s">
        <v>119</v>
      </c>
      <c r="LW26" s="80" t="s">
        <v>119</v>
      </c>
      <c r="LX26" s="56" t="s">
        <v>2</v>
      </c>
      <c r="LY26" s="56" t="s">
        <v>2</v>
      </c>
    </row>
    <row r="27" spans="1:365" ht="13.5" thickBot="1">
      <c r="C27" s="508"/>
      <c r="D27" s="473" t="s">
        <v>507</v>
      </c>
      <c r="E27" s="473"/>
      <c r="F27" s="473"/>
      <c r="G27" s="508"/>
      <c r="H27" s="515"/>
      <c r="I27" s="473" t="s">
        <v>507</v>
      </c>
      <c r="J27" s="473"/>
      <c r="K27" s="473"/>
      <c r="L27" s="473" t="s">
        <v>507</v>
      </c>
      <c r="M27" s="472"/>
      <c r="N27" s="472">
        <v>3</v>
      </c>
      <c r="O27" s="235" t="s">
        <v>326</v>
      </c>
      <c r="P27" s="159" t="s">
        <v>8</v>
      </c>
      <c r="Q27" s="159" t="s">
        <v>8</v>
      </c>
      <c r="R27" s="143" t="s">
        <v>5</v>
      </c>
      <c r="S27" s="126" t="s">
        <v>2</v>
      </c>
      <c r="T27" s="148" t="s">
        <v>11</v>
      </c>
      <c r="U27" s="159" t="s">
        <v>8</v>
      </c>
      <c r="V27" s="126" t="s">
        <v>2</v>
      </c>
      <c r="W27" s="148" t="s">
        <v>11</v>
      </c>
      <c r="X27" s="148" t="s">
        <v>11</v>
      </c>
      <c r="Y27" s="148" t="s">
        <v>11</v>
      </c>
      <c r="Z27" s="148" t="s">
        <v>11</v>
      </c>
      <c r="AA27" s="148" t="s">
        <v>11</v>
      </c>
      <c r="AB27" s="126" t="s">
        <v>2</v>
      </c>
      <c r="AC27" s="126" t="s">
        <v>2</v>
      </c>
      <c r="AD27" s="201" t="s">
        <v>5</v>
      </c>
      <c r="AE27" s="201" t="s">
        <v>5</v>
      </c>
      <c r="AF27" s="201" t="s">
        <v>5</v>
      </c>
      <c r="AG27" s="201" t="s">
        <v>5</v>
      </c>
      <c r="AH27" s="201" t="s">
        <v>5</v>
      </c>
      <c r="AI27" s="200" t="s">
        <v>2</v>
      </c>
      <c r="AJ27" s="200" t="s">
        <v>2</v>
      </c>
      <c r="AK27" s="200" t="s">
        <v>2</v>
      </c>
      <c r="AL27" s="233" t="s">
        <v>305</v>
      </c>
      <c r="AM27" s="233" t="s">
        <v>305</v>
      </c>
      <c r="AN27" s="202" t="s">
        <v>11</v>
      </c>
      <c r="AO27" s="202" t="s">
        <v>11</v>
      </c>
      <c r="AP27" s="201" t="s">
        <v>5</v>
      </c>
      <c r="AQ27" s="200" t="s">
        <v>2</v>
      </c>
      <c r="AR27" s="206" t="s">
        <v>8</v>
      </c>
      <c r="AS27" s="206" t="s">
        <v>8</v>
      </c>
      <c r="AT27" s="200" t="s">
        <v>2</v>
      </c>
      <c r="AU27" s="200" t="s">
        <v>2</v>
      </c>
      <c r="AV27" s="204" t="s">
        <v>17</v>
      </c>
      <c r="AW27" s="204" t="s">
        <v>17</v>
      </c>
      <c r="AX27" s="146" t="s">
        <v>3</v>
      </c>
      <c r="AY27" s="155" t="s">
        <v>11</v>
      </c>
      <c r="AZ27" s="200" t="s">
        <v>2</v>
      </c>
      <c r="BA27" s="155" t="s">
        <v>11</v>
      </c>
      <c r="BB27" s="155" t="s">
        <v>11</v>
      </c>
      <c r="BC27" s="155" t="s">
        <v>11</v>
      </c>
      <c r="BD27" s="155" t="s">
        <v>11</v>
      </c>
      <c r="BE27" s="200" t="s">
        <v>2</v>
      </c>
      <c r="BF27" s="155" t="s">
        <v>11</v>
      </c>
      <c r="BG27" s="155" t="s">
        <v>11</v>
      </c>
      <c r="BH27" s="135" t="s">
        <v>5</v>
      </c>
      <c r="BI27" s="136" t="s">
        <v>2</v>
      </c>
      <c r="BJ27" s="153" t="s">
        <v>8</v>
      </c>
      <c r="BK27" s="155" t="s">
        <v>11</v>
      </c>
      <c r="BL27" s="136" t="s">
        <v>2</v>
      </c>
      <c r="BM27" s="155" t="s">
        <v>11</v>
      </c>
      <c r="BN27" s="155" t="s">
        <v>11</v>
      </c>
      <c r="BO27" s="155" t="s">
        <v>11</v>
      </c>
      <c r="BP27" s="155" t="s">
        <v>11</v>
      </c>
      <c r="BQ27" s="155" t="s">
        <v>11</v>
      </c>
      <c r="BR27" s="136" t="s">
        <v>2</v>
      </c>
      <c r="BS27" s="136" t="s">
        <v>2</v>
      </c>
      <c r="BT27" s="155" t="s">
        <v>11</v>
      </c>
      <c r="BU27" s="155" t="s">
        <v>11</v>
      </c>
      <c r="BV27" s="135" t="s">
        <v>5</v>
      </c>
      <c r="BW27" s="136" t="s">
        <v>2</v>
      </c>
      <c r="BX27" s="153" t="s">
        <v>8</v>
      </c>
      <c r="BY27" s="155" t="s">
        <v>11</v>
      </c>
      <c r="BZ27" s="136" t="s">
        <v>2</v>
      </c>
      <c r="CA27" s="153" t="s">
        <v>7</v>
      </c>
      <c r="CB27" s="153" t="s">
        <v>7</v>
      </c>
      <c r="CC27" s="153" t="s">
        <v>7</v>
      </c>
      <c r="CD27" s="153" t="s">
        <v>7</v>
      </c>
      <c r="CE27" s="153" t="s">
        <v>7</v>
      </c>
      <c r="CF27" s="136" t="s">
        <v>2</v>
      </c>
      <c r="CG27" s="136" t="s">
        <v>2</v>
      </c>
      <c r="CH27" s="153" t="s">
        <v>7</v>
      </c>
      <c r="CI27" s="155" t="s">
        <v>11</v>
      </c>
      <c r="CJ27" s="135" t="s">
        <v>114</v>
      </c>
      <c r="CK27" s="136" t="s">
        <v>2</v>
      </c>
      <c r="CL27" s="155" t="s">
        <v>11</v>
      </c>
      <c r="CM27" s="155" t="s">
        <v>11</v>
      </c>
      <c r="CN27" s="136" t="s">
        <v>2</v>
      </c>
      <c r="CO27" s="155" t="s">
        <v>11</v>
      </c>
      <c r="CP27" s="136" t="s">
        <v>2</v>
      </c>
      <c r="CQ27" s="136" t="s">
        <v>2</v>
      </c>
      <c r="CR27" s="155" t="s">
        <v>11</v>
      </c>
      <c r="CS27" s="155" t="s">
        <v>11</v>
      </c>
      <c r="CT27" s="155" t="s">
        <v>11</v>
      </c>
      <c r="CU27" s="146" t="s">
        <v>117</v>
      </c>
      <c r="CV27" s="153" t="s">
        <v>7</v>
      </c>
      <c r="CW27" s="214" t="s">
        <v>110</v>
      </c>
      <c r="CX27" s="214" t="s">
        <v>27</v>
      </c>
      <c r="CY27" s="214" t="s">
        <v>27</v>
      </c>
      <c r="CZ27" s="214" t="s">
        <v>27</v>
      </c>
      <c r="DA27" s="136" t="s">
        <v>2</v>
      </c>
      <c r="DB27" s="136" t="s">
        <v>2</v>
      </c>
      <c r="DC27" s="155" t="s">
        <v>11</v>
      </c>
      <c r="DD27" s="155" t="s">
        <v>11</v>
      </c>
      <c r="DE27" s="155" t="s">
        <v>11</v>
      </c>
      <c r="DF27" s="135" t="s">
        <v>114</v>
      </c>
      <c r="DG27" s="136" t="s">
        <v>2</v>
      </c>
      <c r="DH27" s="153" t="s">
        <v>7</v>
      </c>
      <c r="DI27" s="136" t="s">
        <v>2</v>
      </c>
      <c r="DJ27" s="153" t="s">
        <v>7</v>
      </c>
      <c r="DK27" s="153" t="s">
        <v>7</v>
      </c>
      <c r="DL27" s="153" t="s">
        <v>7</v>
      </c>
      <c r="DM27" s="155" t="s">
        <v>11</v>
      </c>
      <c r="DN27" s="155" t="s">
        <v>11</v>
      </c>
      <c r="DO27" s="136" t="s">
        <v>2</v>
      </c>
      <c r="DP27" s="136" t="s">
        <v>2</v>
      </c>
      <c r="DQ27" s="162" t="s">
        <v>155</v>
      </c>
      <c r="DR27" s="155" t="s">
        <v>11</v>
      </c>
      <c r="DS27" s="155" t="s">
        <v>11</v>
      </c>
      <c r="DT27" s="155" t="s">
        <v>11</v>
      </c>
      <c r="DU27" s="155" t="s">
        <v>11</v>
      </c>
      <c r="DV27" s="136" t="s">
        <v>2</v>
      </c>
      <c r="DW27" s="136" t="s">
        <v>2</v>
      </c>
      <c r="DX27" s="155" t="s">
        <v>11</v>
      </c>
      <c r="DY27" s="155" t="s">
        <v>11</v>
      </c>
      <c r="DZ27" s="155" t="s">
        <v>11</v>
      </c>
      <c r="EA27" s="153" t="s">
        <v>140</v>
      </c>
      <c r="EB27" s="153" t="s">
        <v>7</v>
      </c>
      <c r="EC27" s="136" t="s">
        <v>2</v>
      </c>
      <c r="ED27" s="136" t="s">
        <v>2</v>
      </c>
      <c r="EE27" s="136" t="s">
        <v>2</v>
      </c>
      <c r="EF27" s="153" t="s">
        <v>140</v>
      </c>
      <c r="EG27" s="153" t="s">
        <v>140</v>
      </c>
      <c r="EH27" s="153" t="s">
        <v>157</v>
      </c>
      <c r="EI27" s="153" t="s">
        <v>7</v>
      </c>
      <c r="EJ27" s="153" t="s">
        <v>7</v>
      </c>
      <c r="EK27" s="136" t="s">
        <v>2</v>
      </c>
      <c r="EL27" s="155" t="s">
        <v>11</v>
      </c>
      <c r="EM27" s="155" t="s">
        <v>11</v>
      </c>
      <c r="EN27" s="155" t="s">
        <v>11</v>
      </c>
      <c r="EO27" s="136" t="s">
        <v>2</v>
      </c>
      <c r="EP27" s="155" t="s">
        <v>11</v>
      </c>
      <c r="EQ27" s="155" t="s">
        <v>11</v>
      </c>
      <c r="ER27" s="136" t="s">
        <v>2</v>
      </c>
      <c r="ES27" s="155" t="s">
        <v>11</v>
      </c>
      <c r="ET27" s="155" t="s">
        <v>11</v>
      </c>
      <c r="EU27" s="155" t="s">
        <v>11</v>
      </c>
      <c r="EV27" s="155" t="s">
        <v>11</v>
      </c>
      <c r="EW27" s="155" t="s">
        <v>11</v>
      </c>
      <c r="EX27" s="136" t="s">
        <v>2</v>
      </c>
      <c r="EY27" s="136" t="s">
        <v>2</v>
      </c>
      <c r="EZ27" s="155" t="s">
        <v>11</v>
      </c>
      <c r="FA27" s="155" t="s">
        <v>11</v>
      </c>
      <c r="FB27" s="155" t="s">
        <v>11</v>
      </c>
      <c r="FC27" s="155" t="s">
        <v>11</v>
      </c>
      <c r="FD27" s="136" t="s">
        <v>2</v>
      </c>
      <c r="FE27" s="153" t="s">
        <v>7</v>
      </c>
      <c r="FF27" s="136" t="s">
        <v>2</v>
      </c>
      <c r="FG27" s="155" t="s">
        <v>11</v>
      </c>
      <c r="FH27" s="155" t="s">
        <v>11</v>
      </c>
      <c r="FI27" s="155" t="s">
        <v>11</v>
      </c>
      <c r="FJ27" s="155" t="s">
        <v>11</v>
      </c>
      <c r="FK27" s="155" t="s">
        <v>11</v>
      </c>
      <c r="FL27" s="136" t="s">
        <v>2</v>
      </c>
      <c r="FM27" s="136" t="s">
        <v>2</v>
      </c>
      <c r="FN27" s="153" t="s">
        <v>7</v>
      </c>
      <c r="FO27" s="153" t="s">
        <v>7</v>
      </c>
      <c r="FP27" s="153" t="s">
        <v>7</v>
      </c>
      <c r="FQ27" s="136" t="s">
        <v>2</v>
      </c>
      <c r="FR27" s="136" t="s">
        <v>2</v>
      </c>
      <c r="FS27" s="153" t="s">
        <v>7</v>
      </c>
      <c r="FT27" s="146" t="s">
        <v>117</v>
      </c>
      <c r="FU27" s="136" t="s">
        <v>2</v>
      </c>
      <c r="FV27" s="153" t="s">
        <v>7</v>
      </c>
      <c r="FW27" s="153" t="s">
        <v>7</v>
      </c>
      <c r="FX27" s="155" t="s">
        <v>11</v>
      </c>
      <c r="FY27" s="155" t="s">
        <v>11</v>
      </c>
      <c r="FZ27" s="136" t="s">
        <v>2</v>
      </c>
      <c r="GA27" s="146" t="s">
        <v>117</v>
      </c>
      <c r="GB27" s="210" t="s">
        <v>12</v>
      </c>
      <c r="GC27" s="210" t="s">
        <v>12</v>
      </c>
      <c r="GD27" s="210" t="s">
        <v>12</v>
      </c>
      <c r="GE27" s="210" t="s">
        <v>12</v>
      </c>
      <c r="GF27" s="153" t="s">
        <v>7</v>
      </c>
      <c r="GG27" s="136" t="s">
        <v>2</v>
      </c>
      <c r="GH27" s="136" t="s">
        <v>2</v>
      </c>
      <c r="GI27" s="129" t="s">
        <v>2</v>
      </c>
      <c r="GJ27" s="131" t="s">
        <v>67</v>
      </c>
      <c r="GK27" s="131" t="s">
        <v>67</v>
      </c>
      <c r="GL27" s="131" t="s">
        <v>63</v>
      </c>
      <c r="GM27" s="131" t="s">
        <v>63</v>
      </c>
      <c r="GN27" s="212" t="s">
        <v>61</v>
      </c>
      <c r="GO27" s="129" t="s">
        <v>2</v>
      </c>
      <c r="GP27" s="212" t="s">
        <v>61</v>
      </c>
      <c r="GQ27" s="128" t="s">
        <v>123</v>
      </c>
      <c r="GR27" s="131" t="s">
        <v>63</v>
      </c>
      <c r="GS27" s="131" t="s">
        <v>63</v>
      </c>
      <c r="GT27" s="128" t="s">
        <v>123</v>
      </c>
      <c r="GU27" s="129" t="s">
        <v>2</v>
      </c>
      <c r="GV27" s="129" t="s">
        <v>2</v>
      </c>
      <c r="GW27" s="131" t="s">
        <v>143</v>
      </c>
      <c r="GX27" s="212" t="s">
        <v>300</v>
      </c>
      <c r="GY27" s="141" t="s">
        <v>120</v>
      </c>
      <c r="GZ27" s="129" t="s">
        <v>2</v>
      </c>
      <c r="HA27" s="129" t="s">
        <v>2</v>
      </c>
      <c r="HB27" s="141" t="s">
        <v>120</v>
      </c>
      <c r="HC27" s="62" t="s">
        <v>144</v>
      </c>
      <c r="HD27" s="129" t="s">
        <v>2</v>
      </c>
      <c r="HE27" s="209" t="s">
        <v>122</v>
      </c>
      <c r="HF27" s="128" t="s">
        <v>123</v>
      </c>
      <c r="HG27" s="212" t="s">
        <v>61</v>
      </c>
      <c r="HH27" s="131" t="s">
        <v>63</v>
      </c>
      <c r="HI27" s="209" t="s">
        <v>122</v>
      </c>
      <c r="HJ27" s="129" t="s">
        <v>2</v>
      </c>
      <c r="HK27" s="80" t="s">
        <v>120</v>
      </c>
      <c r="HL27" s="80" t="s">
        <v>120</v>
      </c>
      <c r="HM27" s="58" t="s">
        <v>63</v>
      </c>
      <c r="HN27" s="54" t="s">
        <v>169</v>
      </c>
      <c r="HO27" s="54" t="s">
        <v>286</v>
      </c>
      <c r="HP27" s="56" t="s">
        <v>2</v>
      </c>
      <c r="HQ27" s="56" t="s">
        <v>2</v>
      </c>
      <c r="HR27" s="54" t="s">
        <v>54</v>
      </c>
      <c r="HS27" s="54" t="s">
        <v>54</v>
      </c>
      <c r="HT27" s="54" t="s">
        <v>54</v>
      </c>
      <c r="HU27" s="54" t="s">
        <v>54</v>
      </c>
      <c r="HV27" s="56" t="s">
        <v>2</v>
      </c>
      <c r="HW27" s="54" t="s">
        <v>54</v>
      </c>
      <c r="HX27" s="56" t="s">
        <v>2</v>
      </c>
      <c r="HY27" s="81" t="s">
        <v>146</v>
      </c>
      <c r="HZ27" s="81" t="s">
        <v>146</v>
      </c>
      <c r="IA27" s="81" t="s">
        <v>129</v>
      </c>
      <c r="IB27" s="56" t="s">
        <v>2</v>
      </c>
      <c r="IC27" s="81" t="s">
        <v>146</v>
      </c>
      <c r="ID27" s="90" t="s">
        <v>165</v>
      </c>
      <c r="IE27" s="56" t="s">
        <v>2</v>
      </c>
      <c r="IF27" s="54" t="s">
        <v>128</v>
      </c>
      <c r="IG27" s="54" t="s">
        <v>128</v>
      </c>
      <c r="IH27" s="54" t="s">
        <v>128</v>
      </c>
      <c r="II27" s="54" t="s">
        <v>51</v>
      </c>
      <c r="IJ27" s="54" t="s">
        <v>128</v>
      </c>
      <c r="IK27" s="56" t="s">
        <v>2</v>
      </c>
      <c r="IL27" s="56" t="s">
        <v>2</v>
      </c>
      <c r="IM27" s="54" t="s">
        <v>128</v>
      </c>
      <c r="IN27" s="54" t="s">
        <v>128</v>
      </c>
      <c r="IO27" s="54" t="s">
        <v>128</v>
      </c>
      <c r="IP27" s="54" t="s">
        <v>128</v>
      </c>
      <c r="IQ27" s="56" t="s">
        <v>2</v>
      </c>
      <c r="IR27" s="90" t="s">
        <v>273</v>
      </c>
      <c r="IS27" s="56" t="s">
        <v>2</v>
      </c>
      <c r="IT27" s="56" t="s">
        <v>2</v>
      </c>
      <c r="IU27" s="82" t="s">
        <v>45</v>
      </c>
      <c r="IV27" s="82" t="s">
        <v>45</v>
      </c>
      <c r="IW27" s="82" t="s">
        <v>45</v>
      </c>
      <c r="IX27" s="56" t="s">
        <v>2</v>
      </c>
      <c r="IY27" s="82" t="s">
        <v>45</v>
      </c>
      <c r="IZ27" s="62" t="s">
        <v>149</v>
      </c>
      <c r="JA27" s="82" t="s">
        <v>45</v>
      </c>
      <c r="JB27" s="56" t="s">
        <v>2</v>
      </c>
      <c r="JC27" s="54" t="s">
        <v>128</v>
      </c>
      <c r="JD27" s="81" t="s">
        <v>146</v>
      </c>
      <c r="JE27" s="56" t="s">
        <v>130</v>
      </c>
      <c r="JF27" s="58" t="s">
        <v>67</v>
      </c>
      <c r="JG27" s="56" t="s">
        <v>2</v>
      </c>
      <c r="JH27" s="58" t="s">
        <v>67</v>
      </c>
      <c r="JI27" s="58" t="s">
        <v>67</v>
      </c>
      <c r="JJ27" s="58" t="s">
        <v>327</v>
      </c>
      <c r="JK27" s="58" t="s">
        <v>67</v>
      </c>
      <c r="JL27" s="58" t="s">
        <v>67</v>
      </c>
      <c r="JM27" s="56" t="s">
        <v>2</v>
      </c>
      <c r="JN27" s="56" t="s">
        <v>2</v>
      </c>
      <c r="JO27" s="56" t="s">
        <v>2</v>
      </c>
      <c r="JP27" s="82" t="s">
        <v>45</v>
      </c>
      <c r="JQ27" s="82" t="s">
        <v>45</v>
      </c>
      <c r="JR27" s="82" t="s">
        <v>45</v>
      </c>
      <c r="JS27" s="56" t="s">
        <v>2</v>
      </c>
      <c r="JT27" s="54" t="s">
        <v>128</v>
      </c>
      <c r="JU27" s="62" t="s">
        <v>149</v>
      </c>
      <c r="JV27" s="80" t="s">
        <v>119</v>
      </c>
      <c r="JW27" s="56" t="s">
        <v>2</v>
      </c>
      <c r="JX27" s="54" t="s">
        <v>128</v>
      </c>
      <c r="JY27" s="81" t="s">
        <v>146</v>
      </c>
      <c r="JZ27" s="81" t="s">
        <v>146</v>
      </c>
      <c r="KA27" s="81" t="s">
        <v>146</v>
      </c>
      <c r="KB27" s="56" t="s">
        <v>2</v>
      </c>
      <c r="KC27" s="475" t="s">
        <v>27</v>
      </c>
      <c r="KD27" s="475" t="s">
        <v>27</v>
      </c>
      <c r="KE27" s="475" t="s">
        <v>27</v>
      </c>
      <c r="KF27" s="475" t="s">
        <v>27</v>
      </c>
      <c r="KG27" s="475" t="s">
        <v>27</v>
      </c>
      <c r="KH27" s="56" t="s">
        <v>2</v>
      </c>
      <c r="KI27" s="56" t="s">
        <v>2</v>
      </c>
      <c r="KJ27" s="81" t="s">
        <v>146</v>
      </c>
      <c r="KK27" s="56" t="s">
        <v>2</v>
      </c>
      <c r="KL27" s="81" t="s">
        <v>146</v>
      </c>
      <c r="KM27" s="81" t="s">
        <v>146</v>
      </c>
      <c r="KN27" s="81" t="s">
        <v>146</v>
      </c>
      <c r="KO27" s="81" t="s">
        <v>146</v>
      </c>
      <c r="KP27" s="56" t="s">
        <v>2</v>
      </c>
      <c r="KQ27" s="58" t="s">
        <v>67</v>
      </c>
      <c r="KR27" s="58" t="s">
        <v>67</v>
      </c>
      <c r="KS27" s="58" t="s">
        <v>67</v>
      </c>
      <c r="KT27" s="58" t="s">
        <v>67</v>
      </c>
      <c r="KU27" s="58" t="s">
        <v>67</v>
      </c>
      <c r="KV27" s="56" t="s">
        <v>2</v>
      </c>
      <c r="KW27" s="56" t="s">
        <v>2</v>
      </c>
      <c r="KX27" s="238" t="s">
        <v>128</v>
      </c>
      <c r="KY27" s="82" t="s">
        <v>45</v>
      </c>
      <c r="KZ27" s="82" t="s">
        <v>45</v>
      </c>
      <c r="LA27" s="82" t="s">
        <v>45</v>
      </c>
      <c r="LB27" s="56" t="s">
        <v>2</v>
      </c>
      <c r="LC27" s="56" t="s">
        <v>2</v>
      </c>
      <c r="LD27" s="62" t="s">
        <v>149</v>
      </c>
      <c r="LE27" s="81" t="s">
        <v>146</v>
      </c>
      <c r="LF27" s="56" t="s">
        <v>2</v>
      </c>
      <c r="LG27" s="81" t="s">
        <v>146</v>
      </c>
      <c r="LH27" s="81" t="s">
        <v>146</v>
      </c>
      <c r="LI27" s="81" t="s">
        <v>146</v>
      </c>
      <c r="LJ27" s="81" t="s">
        <v>146</v>
      </c>
      <c r="LK27" s="56" t="s">
        <v>2</v>
      </c>
      <c r="LL27" s="238" t="s">
        <v>128</v>
      </c>
      <c r="LM27" s="238" t="s">
        <v>128</v>
      </c>
      <c r="LN27" s="56" t="s">
        <v>2</v>
      </c>
      <c r="LO27" s="238" t="s">
        <v>128</v>
      </c>
      <c r="LP27" s="238" t="s">
        <v>128</v>
      </c>
      <c r="LQ27" s="238" t="s">
        <v>128</v>
      </c>
      <c r="LR27" s="56" t="s">
        <v>2</v>
      </c>
      <c r="LS27" s="82" t="s">
        <v>45</v>
      </c>
      <c r="LT27" s="82" t="s">
        <v>45</v>
      </c>
      <c r="LU27" s="82" t="s">
        <v>45</v>
      </c>
      <c r="LV27" s="82" t="s">
        <v>45</v>
      </c>
      <c r="LW27" s="56" t="s">
        <v>2</v>
      </c>
      <c r="LX27" s="56" t="s">
        <v>2</v>
      </c>
      <c r="LY27" s="62" t="s">
        <v>149</v>
      </c>
    </row>
    <row r="28" spans="1:365" ht="13.5" thickBot="1">
      <c r="C28" s="473" t="s">
        <v>507</v>
      </c>
      <c r="D28" s="507"/>
      <c r="E28" s="473"/>
      <c r="F28" s="508"/>
      <c r="G28" s="473" t="s">
        <v>507</v>
      </c>
      <c r="H28" s="473"/>
      <c r="I28" s="514"/>
      <c r="J28" s="473"/>
      <c r="K28" s="473"/>
      <c r="L28" s="515"/>
      <c r="M28" s="472"/>
      <c r="N28" s="472">
        <v>3</v>
      </c>
      <c r="O28" s="232" t="s">
        <v>328</v>
      </c>
      <c r="P28" s="126" t="s">
        <v>2</v>
      </c>
      <c r="Q28" s="148" t="s">
        <v>11</v>
      </c>
      <c r="R28" s="148" t="s">
        <v>11</v>
      </c>
      <c r="S28" s="148" t="s">
        <v>11</v>
      </c>
      <c r="T28" s="148" t="s">
        <v>11</v>
      </c>
      <c r="U28" s="148" t="s">
        <v>11</v>
      </c>
      <c r="V28" s="126" t="s">
        <v>2</v>
      </c>
      <c r="W28" s="159" t="s">
        <v>8</v>
      </c>
      <c r="X28" s="159" t="s">
        <v>8</v>
      </c>
      <c r="Y28" s="159" t="s">
        <v>8</v>
      </c>
      <c r="Z28" s="159" t="s">
        <v>8</v>
      </c>
      <c r="AA28" s="159" t="s">
        <v>8</v>
      </c>
      <c r="AB28" s="126" t="s">
        <v>2</v>
      </c>
      <c r="AC28" s="126" t="s">
        <v>2</v>
      </c>
      <c r="AD28" s="206" t="s">
        <v>8</v>
      </c>
      <c r="AE28" s="206" t="s">
        <v>8</v>
      </c>
      <c r="AF28" s="206" t="s">
        <v>8</v>
      </c>
      <c r="AG28" s="206" t="s">
        <v>8</v>
      </c>
      <c r="AH28" s="200" t="s">
        <v>2</v>
      </c>
      <c r="AI28" s="206" t="s">
        <v>8</v>
      </c>
      <c r="AJ28" s="200" t="s">
        <v>2</v>
      </c>
      <c r="AK28" s="201" t="s">
        <v>5</v>
      </c>
      <c r="AL28" s="201" t="s">
        <v>5</v>
      </c>
      <c r="AM28" s="201" t="s">
        <v>5</v>
      </c>
      <c r="AN28" s="201" t="s">
        <v>5</v>
      </c>
      <c r="AO28" s="201" t="s">
        <v>5</v>
      </c>
      <c r="AP28" s="200" t="s">
        <v>2</v>
      </c>
      <c r="AQ28" s="200" t="s">
        <v>2</v>
      </c>
      <c r="AR28" s="200" t="s">
        <v>2</v>
      </c>
      <c r="AS28" s="206" t="s">
        <v>8</v>
      </c>
      <c r="AT28" s="206" t="s">
        <v>8</v>
      </c>
      <c r="AU28" s="206" t="s">
        <v>8</v>
      </c>
      <c r="AV28" s="215" t="s">
        <v>19</v>
      </c>
      <c r="AW28" s="206" t="s">
        <v>8</v>
      </c>
      <c r="AX28" s="200" t="s">
        <v>2</v>
      </c>
      <c r="AY28" s="204" t="s">
        <v>5</v>
      </c>
      <c r="AZ28" s="155" t="s">
        <v>11</v>
      </c>
      <c r="BA28" s="155" t="s">
        <v>11</v>
      </c>
      <c r="BB28" s="204" t="s">
        <v>5</v>
      </c>
      <c r="BC28" s="206" t="s">
        <v>8</v>
      </c>
      <c r="BD28" s="200" t="s">
        <v>2</v>
      </c>
      <c r="BE28" s="200" t="s">
        <v>2</v>
      </c>
      <c r="BF28" s="153" t="s">
        <v>8</v>
      </c>
      <c r="BG28" s="153" t="s">
        <v>8</v>
      </c>
      <c r="BH28" s="153" t="s">
        <v>8</v>
      </c>
      <c r="BI28" s="153" t="s">
        <v>8</v>
      </c>
      <c r="BJ28" s="136" t="s">
        <v>2</v>
      </c>
      <c r="BK28" s="153" t="s">
        <v>8</v>
      </c>
      <c r="BL28" s="136" t="s">
        <v>2</v>
      </c>
      <c r="BM28" s="135" t="s">
        <v>5</v>
      </c>
      <c r="BN28" s="136" t="s">
        <v>2</v>
      </c>
      <c r="BO28" s="155" t="s">
        <v>11</v>
      </c>
      <c r="BP28" s="155" t="s">
        <v>11</v>
      </c>
      <c r="BQ28" s="155" t="s">
        <v>11</v>
      </c>
      <c r="BR28" s="155" t="s">
        <v>11</v>
      </c>
      <c r="BS28" s="136" t="s">
        <v>2</v>
      </c>
      <c r="BT28" s="210" t="s">
        <v>12</v>
      </c>
      <c r="BU28" s="210" t="s">
        <v>12</v>
      </c>
      <c r="BV28" s="210" t="s">
        <v>12</v>
      </c>
      <c r="BW28" s="210" t="s">
        <v>12</v>
      </c>
      <c r="BX28" s="210" t="s">
        <v>12</v>
      </c>
      <c r="BY28" s="136" t="s">
        <v>2</v>
      </c>
      <c r="BZ28" s="136" t="s">
        <v>2</v>
      </c>
      <c r="CA28" s="136" t="s">
        <v>2</v>
      </c>
      <c r="CB28" s="155" t="s">
        <v>11</v>
      </c>
      <c r="CC28" s="215" t="s">
        <v>19</v>
      </c>
      <c r="CD28" s="155" t="s">
        <v>11</v>
      </c>
      <c r="CE28" s="155" t="s">
        <v>11</v>
      </c>
      <c r="CF28" s="153" t="s">
        <v>7</v>
      </c>
      <c r="CG28" s="136" t="s">
        <v>2</v>
      </c>
      <c r="CH28" s="153" t="s">
        <v>7</v>
      </c>
      <c r="CI28" s="153" t="s">
        <v>7</v>
      </c>
      <c r="CJ28" s="153" t="s">
        <v>7</v>
      </c>
      <c r="CK28" s="153" t="s">
        <v>7</v>
      </c>
      <c r="CL28" s="153" t="s">
        <v>7</v>
      </c>
      <c r="CM28" s="136" t="s">
        <v>2</v>
      </c>
      <c r="CN28" s="136" t="s">
        <v>2</v>
      </c>
      <c r="CO28" s="210" t="s">
        <v>12</v>
      </c>
      <c r="CP28" s="210" t="s">
        <v>12</v>
      </c>
      <c r="CQ28" s="210" t="s">
        <v>12</v>
      </c>
      <c r="CR28" s="210" t="s">
        <v>12</v>
      </c>
      <c r="CS28" s="136" t="s">
        <v>2</v>
      </c>
      <c r="CT28" s="135" t="s">
        <v>114</v>
      </c>
      <c r="CU28" s="136" t="s">
        <v>2</v>
      </c>
      <c r="CV28" s="153" t="s">
        <v>7</v>
      </c>
      <c r="CW28" s="153" t="s">
        <v>7</v>
      </c>
      <c r="CX28" s="153" t="s">
        <v>7</v>
      </c>
      <c r="CY28" s="136" t="s">
        <v>2</v>
      </c>
      <c r="CZ28" s="153" t="s">
        <v>7</v>
      </c>
      <c r="DA28" s="153" t="s">
        <v>7</v>
      </c>
      <c r="DB28" s="136" t="s">
        <v>2</v>
      </c>
      <c r="DC28" s="210" t="s">
        <v>12</v>
      </c>
      <c r="DD28" s="210" t="s">
        <v>12</v>
      </c>
      <c r="DE28" s="210" t="s">
        <v>12</v>
      </c>
      <c r="DF28" s="210" t="s">
        <v>12</v>
      </c>
      <c r="DG28" s="210" t="s">
        <v>12</v>
      </c>
      <c r="DH28" s="136" t="s">
        <v>2</v>
      </c>
      <c r="DI28" s="136" t="s">
        <v>2</v>
      </c>
      <c r="DJ28" s="155" t="s">
        <v>155</v>
      </c>
      <c r="DK28" s="155" t="s">
        <v>11</v>
      </c>
      <c r="DL28" s="155" t="s">
        <v>11</v>
      </c>
      <c r="DM28" s="155" t="s">
        <v>11</v>
      </c>
      <c r="DN28" s="210" t="s">
        <v>12</v>
      </c>
      <c r="DO28" s="136" t="s">
        <v>2</v>
      </c>
      <c r="DP28" s="136" t="s">
        <v>2</v>
      </c>
      <c r="DQ28" s="155" t="s">
        <v>11</v>
      </c>
      <c r="DR28" s="210" t="s">
        <v>12</v>
      </c>
      <c r="DS28" s="210" t="s">
        <v>12</v>
      </c>
      <c r="DT28" s="153" t="s">
        <v>7</v>
      </c>
      <c r="DU28" s="153" t="s">
        <v>7</v>
      </c>
      <c r="DV28" s="136" t="s">
        <v>2</v>
      </c>
      <c r="DW28" s="136" t="s">
        <v>2</v>
      </c>
      <c r="DX28" s="135" t="s">
        <v>114</v>
      </c>
      <c r="DY28" s="135" t="s">
        <v>114</v>
      </c>
      <c r="DZ28" s="135" t="s">
        <v>114</v>
      </c>
      <c r="EA28" s="135" t="s">
        <v>114</v>
      </c>
      <c r="EB28" s="135" t="s">
        <v>114</v>
      </c>
      <c r="EC28" s="136" t="s">
        <v>2</v>
      </c>
      <c r="ED28" s="136" t="s">
        <v>2</v>
      </c>
      <c r="EE28" s="153" t="s">
        <v>7</v>
      </c>
      <c r="EF28" s="153" t="s">
        <v>7</v>
      </c>
      <c r="EG28" s="162" t="s">
        <v>284</v>
      </c>
      <c r="EH28" s="136" t="s">
        <v>2</v>
      </c>
      <c r="EI28" s="153" t="s">
        <v>7</v>
      </c>
      <c r="EJ28" s="153" t="s">
        <v>7</v>
      </c>
      <c r="EK28" s="136" t="s">
        <v>2</v>
      </c>
      <c r="EL28" s="210" t="s">
        <v>12</v>
      </c>
      <c r="EM28" s="210" t="s">
        <v>12</v>
      </c>
      <c r="EN28" s="210" t="s">
        <v>12</v>
      </c>
      <c r="EO28" s="136" t="s">
        <v>2</v>
      </c>
      <c r="EP28" s="210" t="s">
        <v>12</v>
      </c>
      <c r="EQ28" s="210" t="s">
        <v>12</v>
      </c>
      <c r="ER28" s="136" t="s">
        <v>2</v>
      </c>
      <c r="ES28" s="153" t="s">
        <v>7</v>
      </c>
      <c r="ET28" s="153" t="s">
        <v>7</v>
      </c>
      <c r="EU28" s="153" t="s">
        <v>7</v>
      </c>
      <c r="EV28" s="153" t="s">
        <v>7</v>
      </c>
      <c r="EW28" s="153" t="s">
        <v>7</v>
      </c>
      <c r="EX28" s="136" t="s">
        <v>2</v>
      </c>
      <c r="EY28" s="136" t="s">
        <v>2</v>
      </c>
      <c r="EZ28" s="136" t="s">
        <v>2</v>
      </c>
      <c r="FA28" s="135" t="s">
        <v>114</v>
      </c>
      <c r="FB28" s="135" t="s">
        <v>114</v>
      </c>
      <c r="FC28" s="135" t="s">
        <v>114</v>
      </c>
      <c r="FD28" s="135" t="s">
        <v>114</v>
      </c>
      <c r="FE28" s="135" t="s">
        <v>114</v>
      </c>
      <c r="FF28" s="136" t="s">
        <v>2</v>
      </c>
      <c r="FG28" s="207" t="s">
        <v>113</v>
      </c>
      <c r="FH28" s="207" t="s">
        <v>113</v>
      </c>
      <c r="FI28" s="207" t="s">
        <v>113</v>
      </c>
      <c r="FJ28" s="207" t="s">
        <v>113</v>
      </c>
      <c r="FK28" s="207" t="s">
        <v>113</v>
      </c>
      <c r="FL28" s="136" t="s">
        <v>2</v>
      </c>
      <c r="FM28" s="136" t="s">
        <v>2</v>
      </c>
      <c r="FN28" s="207" t="s">
        <v>113</v>
      </c>
      <c r="FO28" s="207" t="s">
        <v>113</v>
      </c>
      <c r="FP28" s="136" t="s">
        <v>2</v>
      </c>
      <c r="FQ28" s="153" t="s">
        <v>7</v>
      </c>
      <c r="FR28" s="153" t="s">
        <v>7</v>
      </c>
      <c r="FS28" s="153" t="s">
        <v>7</v>
      </c>
      <c r="FT28" s="136" t="s">
        <v>2</v>
      </c>
      <c r="FU28" s="153" t="s">
        <v>7</v>
      </c>
      <c r="FV28" s="153" t="s">
        <v>7</v>
      </c>
      <c r="FW28" s="136" t="s">
        <v>2</v>
      </c>
      <c r="FX28" s="153" t="s">
        <v>7</v>
      </c>
      <c r="FY28" s="153" t="s">
        <v>7</v>
      </c>
      <c r="FZ28" s="153" t="s">
        <v>7</v>
      </c>
      <c r="GA28" s="136" t="s">
        <v>2</v>
      </c>
      <c r="GB28" s="153" t="s">
        <v>7</v>
      </c>
      <c r="GC28" s="153" t="s">
        <v>7</v>
      </c>
      <c r="GD28" s="153" t="s">
        <v>7</v>
      </c>
      <c r="GE28" s="153" t="s">
        <v>7</v>
      </c>
      <c r="GF28" s="153" t="s">
        <v>7</v>
      </c>
      <c r="GG28" s="136" t="s">
        <v>2</v>
      </c>
      <c r="GH28" s="136" t="s">
        <v>2</v>
      </c>
      <c r="GI28" s="131" t="s">
        <v>67</v>
      </c>
      <c r="GJ28" s="154" t="s">
        <v>329</v>
      </c>
      <c r="GK28" s="154" t="s">
        <v>329</v>
      </c>
      <c r="GL28" s="209" t="s">
        <v>122</v>
      </c>
      <c r="GM28" s="141" t="s">
        <v>120</v>
      </c>
      <c r="GN28" s="129" t="s">
        <v>2</v>
      </c>
      <c r="GO28" s="129" t="s">
        <v>2</v>
      </c>
      <c r="GP28" s="131" t="s">
        <v>63</v>
      </c>
      <c r="GQ28" s="212" t="s">
        <v>61</v>
      </c>
      <c r="GR28" s="141" t="s">
        <v>120</v>
      </c>
      <c r="GS28" s="129" t="s">
        <v>2</v>
      </c>
      <c r="GT28" s="129" t="s">
        <v>2</v>
      </c>
      <c r="GU28" s="128" t="s">
        <v>123</v>
      </c>
      <c r="GV28" s="62" t="s">
        <v>144</v>
      </c>
      <c r="GW28" s="209" t="s">
        <v>122</v>
      </c>
      <c r="GX28" s="129" t="s">
        <v>2</v>
      </c>
      <c r="GY28" s="128" t="s">
        <v>123</v>
      </c>
      <c r="GZ28" s="128" t="s">
        <v>169</v>
      </c>
      <c r="HA28" s="128" t="s">
        <v>123</v>
      </c>
      <c r="HB28" s="212" t="s">
        <v>61</v>
      </c>
      <c r="HC28" s="129" t="s">
        <v>2</v>
      </c>
      <c r="HD28" s="128" t="s">
        <v>123</v>
      </c>
      <c r="HE28" s="128" t="s">
        <v>123</v>
      </c>
      <c r="HF28" s="154" t="s">
        <v>330</v>
      </c>
      <c r="HG28" s="131" t="s">
        <v>63</v>
      </c>
      <c r="HH28" s="209" t="s">
        <v>122</v>
      </c>
      <c r="HI28" s="129" t="s">
        <v>2</v>
      </c>
      <c r="HJ28" s="129" t="s">
        <v>2</v>
      </c>
      <c r="HK28" s="56" t="s">
        <v>2</v>
      </c>
      <c r="HL28" s="81" t="s">
        <v>122</v>
      </c>
      <c r="HM28" s="54" t="s">
        <v>123</v>
      </c>
      <c r="HN28" s="82" t="s">
        <v>330</v>
      </c>
      <c r="HO28" s="80" t="s">
        <v>163</v>
      </c>
      <c r="HP28" s="82" t="s">
        <v>45</v>
      </c>
      <c r="HQ28" s="56" t="s">
        <v>2</v>
      </c>
      <c r="HR28" s="54" t="s">
        <v>54</v>
      </c>
      <c r="HS28" s="54" t="s">
        <v>54</v>
      </c>
      <c r="HT28" s="54" t="s">
        <v>54</v>
      </c>
      <c r="HU28" s="54" t="s">
        <v>54</v>
      </c>
      <c r="HV28" s="54" t="s">
        <v>53</v>
      </c>
      <c r="HW28" s="56" t="s">
        <v>2</v>
      </c>
      <c r="HX28" s="56" t="s">
        <v>2</v>
      </c>
      <c r="HY28" s="54" t="s">
        <v>128</v>
      </c>
      <c r="HZ28" s="54" t="s">
        <v>128</v>
      </c>
      <c r="IA28" s="54" t="s">
        <v>331</v>
      </c>
      <c r="IB28" s="54" t="s">
        <v>128</v>
      </c>
      <c r="IC28" s="56" t="s">
        <v>2</v>
      </c>
      <c r="ID28" s="54" t="s">
        <v>128</v>
      </c>
      <c r="IE28" s="56" t="s">
        <v>2</v>
      </c>
      <c r="IF28" s="81" t="s">
        <v>146</v>
      </c>
      <c r="IG28" s="90" t="s">
        <v>320</v>
      </c>
      <c r="IH28" s="90" t="s">
        <v>320</v>
      </c>
      <c r="II28" s="90" t="s">
        <v>320</v>
      </c>
      <c r="IJ28" s="81" t="s">
        <v>146</v>
      </c>
      <c r="IK28" s="56" t="s">
        <v>2</v>
      </c>
      <c r="IL28" s="56" t="s">
        <v>2</v>
      </c>
      <c r="IM28" s="102" t="s">
        <v>27</v>
      </c>
      <c r="IN28" s="102" t="s">
        <v>27</v>
      </c>
      <c r="IO28" s="102" t="s">
        <v>27</v>
      </c>
      <c r="IP28" s="102" t="s">
        <v>27</v>
      </c>
      <c r="IQ28" s="102" t="s">
        <v>27</v>
      </c>
      <c r="IR28" s="56" t="s">
        <v>2</v>
      </c>
      <c r="IS28" s="56" t="s">
        <v>2</v>
      </c>
      <c r="IT28" s="54" t="s">
        <v>128</v>
      </c>
      <c r="IU28" s="54" t="s">
        <v>128</v>
      </c>
      <c r="IV28" s="54" t="s">
        <v>128</v>
      </c>
      <c r="IW28" s="54" t="s">
        <v>128</v>
      </c>
      <c r="IX28" s="54" t="s">
        <v>128</v>
      </c>
      <c r="IY28" s="56" t="s">
        <v>2</v>
      </c>
      <c r="IZ28" s="56" t="s">
        <v>2</v>
      </c>
      <c r="JA28" s="58" t="s">
        <v>67</v>
      </c>
      <c r="JB28" s="81" t="s">
        <v>146</v>
      </c>
      <c r="JC28" s="90" t="s">
        <v>320</v>
      </c>
      <c r="JD28" s="56" t="s">
        <v>2</v>
      </c>
      <c r="JE28" s="56" t="s">
        <v>130</v>
      </c>
      <c r="JF28" s="81" t="s">
        <v>146</v>
      </c>
      <c r="JG28" s="56" t="s">
        <v>2</v>
      </c>
      <c r="JH28" s="56" t="s">
        <v>2</v>
      </c>
      <c r="JI28" s="82" t="s">
        <v>45</v>
      </c>
      <c r="JJ28" s="82" t="s">
        <v>45</v>
      </c>
      <c r="JK28" s="82" t="s">
        <v>45</v>
      </c>
      <c r="JL28" s="56" t="s">
        <v>2</v>
      </c>
      <c r="JM28" s="82" t="s">
        <v>67</v>
      </c>
      <c r="JN28" s="62" t="s">
        <v>149</v>
      </c>
      <c r="JO28" s="58" t="s">
        <v>67</v>
      </c>
      <c r="JP28" s="117" t="s">
        <v>67</v>
      </c>
      <c r="JQ28" s="58" t="s">
        <v>67</v>
      </c>
      <c r="JR28" s="56" t="s">
        <v>2</v>
      </c>
      <c r="JS28" s="82" t="s">
        <v>45</v>
      </c>
      <c r="JT28" s="81" t="s">
        <v>146</v>
      </c>
      <c r="JU28" s="56" t="s">
        <v>2</v>
      </c>
      <c r="JV28" s="54" t="s">
        <v>128</v>
      </c>
      <c r="JW28" s="54" t="s">
        <v>128</v>
      </c>
      <c r="JX28" s="54" t="s">
        <v>128</v>
      </c>
      <c r="JY28" s="54" t="s">
        <v>128</v>
      </c>
      <c r="JZ28" s="54" t="s">
        <v>128</v>
      </c>
      <c r="KA28" s="56" t="s">
        <v>2</v>
      </c>
      <c r="KB28" s="56" t="s">
        <v>2</v>
      </c>
      <c r="KC28" s="238" t="s">
        <v>128</v>
      </c>
      <c r="KD28" s="238" t="s">
        <v>128</v>
      </c>
      <c r="KE28" s="56" t="s">
        <v>2</v>
      </c>
      <c r="KF28" s="238" t="s">
        <v>128</v>
      </c>
      <c r="KG28" s="238" t="s">
        <v>128</v>
      </c>
      <c r="KH28" s="238" t="s">
        <v>128</v>
      </c>
      <c r="KI28" s="56" t="s">
        <v>2</v>
      </c>
      <c r="KJ28" s="82" t="s">
        <v>45</v>
      </c>
      <c r="KK28" s="82" t="s">
        <v>45</v>
      </c>
      <c r="KL28" s="82" t="s">
        <v>45</v>
      </c>
      <c r="KM28" s="82" t="s">
        <v>45</v>
      </c>
      <c r="KN28" s="56" t="s">
        <v>2</v>
      </c>
      <c r="KO28" s="56" t="s">
        <v>2</v>
      </c>
      <c r="KP28" s="62" t="s">
        <v>149</v>
      </c>
      <c r="KQ28" s="58" t="s">
        <v>67</v>
      </c>
      <c r="KR28" s="58" t="s">
        <v>67</v>
      </c>
      <c r="KS28" s="56" t="s">
        <v>2</v>
      </c>
      <c r="KT28" s="58" t="s">
        <v>67</v>
      </c>
      <c r="KU28" s="58" t="s">
        <v>67</v>
      </c>
      <c r="KV28" s="58" t="s">
        <v>67</v>
      </c>
      <c r="KW28" s="56" t="s">
        <v>2</v>
      </c>
      <c r="KX28" s="80" t="s">
        <v>119</v>
      </c>
      <c r="KY28" s="80" t="s">
        <v>119</v>
      </c>
      <c r="KZ28" s="80" t="s">
        <v>119</v>
      </c>
      <c r="LA28" s="80" t="s">
        <v>119</v>
      </c>
      <c r="LB28" s="80" t="s">
        <v>119</v>
      </c>
      <c r="LC28" s="56" t="s">
        <v>2</v>
      </c>
      <c r="LD28" s="56" t="s">
        <v>2</v>
      </c>
      <c r="LE28" s="58" t="s">
        <v>67</v>
      </c>
      <c r="LF28" s="58" t="s">
        <v>67</v>
      </c>
      <c r="LG28" s="56" t="s">
        <v>2</v>
      </c>
      <c r="LH28" s="58" t="s">
        <v>67</v>
      </c>
      <c r="LI28" s="58" t="s">
        <v>67</v>
      </c>
      <c r="LJ28" s="58" t="s">
        <v>67</v>
      </c>
      <c r="LK28" s="56" t="s">
        <v>2</v>
      </c>
      <c r="LL28" s="81" t="s">
        <v>146</v>
      </c>
      <c r="LM28" s="56" t="s">
        <v>2</v>
      </c>
      <c r="LN28" s="81" t="s">
        <v>146</v>
      </c>
      <c r="LO28" s="81" t="s">
        <v>146</v>
      </c>
      <c r="LP28" s="81" t="s">
        <v>146</v>
      </c>
      <c r="LQ28" s="81" t="s">
        <v>146</v>
      </c>
      <c r="LR28" s="56" t="s">
        <v>2</v>
      </c>
      <c r="LS28" s="58" t="s">
        <v>67</v>
      </c>
      <c r="LT28" s="58" t="s">
        <v>67</v>
      </c>
      <c r="LU28" s="58" t="s">
        <v>67</v>
      </c>
      <c r="LV28" s="58" t="s">
        <v>67</v>
      </c>
      <c r="LW28" s="58" t="s">
        <v>67</v>
      </c>
      <c r="LX28" s="56" t="s">
        <v>2</v>
      </c>
      <c r="LY28" s="56" t="s">
        <v>2</v>
      </c>
    </row>
    <row r="29" spans="1:365" ht="13.5" thickBot="1">
      <c r="C29" s="516"/>
      <c r="D29" s="514"/>
      <c r="E29" s="517"/>
      <c r="F29" s="473" t="s">
        <v>507</v>
      </c>
      <c r="G29" s="473"/>
      <c r="H29" s="473"/>
      <c r="I29" s="473" t="s">
        <v>507</v>
      </c>
      <c r="J29" s="473"/>
      <c r="K29" s="514"/>
      <c r="L29" s="473" t="s">
        <v>507</v>
      </c>
      <c r="M29" s="472"/>
      <c r="N29" s="472">
        <v>4</v>
      </c>
      <c r="O29" s="235" t="s">
        <v>332</v>
      </c>
      <c r="P29" s="148" t="s">
        <v>11</v>
      </c>
      <c r="Q29" s="126" t="s">
        <v>2</v>
      </c>
      <c r="R29" s="159" t="s">
        <v>8</v>
      </c>
      <c r="S29" s="159" t="s">
        <v>8</v>
      </c>
      <c r="T29" s="159" t="s">
        <v>8</v>
      </c>
      <c r="U29" s="159" t="s">
        <v>8</v>
      </c>
      <c r="V29" s="126" t="s">
        <v>2</v>
      </c>
      <c r="W29" s="148" t="s">
        <v>11</v>
      </c>
      <c r="X29" s="148" t="s">
        <v>11</v>
      </c>
      <c r="Y29" s="148" t="s">
        <v>11</v>
      </c>
      <c r="Z29" s="148" t="s">
        <v>11</v>
      </c>
      <c r="AA29" s="126" t="s">
        <v>2</v>
      </c>
      <c r="AB29" s="159" t="s">
        <v>8</v>
      </c>
      <c r="AC29" s="126" t="s">
        <v>2</v>
      </c>
      <c r="AD29" s="206" t="s">
        <v>9</v>
      </c>
      <c r="AE29" s="206" t="s">
        <v>9</v>
      </c>
      <c r="AF29" s="206" t="s">
        <v>9</v>
      </c>
      <c r="AG29" s="206" t="s">
        <v>9</v>
      </c>
      <c r="AH29" s="206" t="s">
        <v>9</v>
      </c>
      <c r="AI29" s="200" t="s">
        <v>2</v>
      </c>
      <c r="AJ29" s="200" t="s">
        <v>2</v>
      </c>
      <c r="AK29" s="206" t="s">
        <v>8</v>
      </c>
      <c r="AL29" s="206" t="s">
        <v>8</v>
      </c>
      <c r="AM29" s="206" t="s">
        <v>8</v>
      </c>
      <c r="AN29" s="206" t="s">
        <v>8</v>
      </c>
      <c r="AO29" s="200" t="s">
        <v>2</v>
      </c>
      <c r="AP29" s="206" t="s">
        <v>8</v>
      </c>
      <c r="AQ29" s="200" t="s">
        <v>2</v>
      </c>
      <c r="AR29" s="155" t="s">
        <v>11</v>
      </c>
      <c r="AS29" s="155" t="s">
        <v>11</v>
      </c>
      <c r="AT29" s="155" t="s">
        <v>11</v>
      </c>
      <c r="AU29" s="155" t="s">
        <v>11</v>
      </c>
      <c r="AV29" s="155" t="s">
        <v>11</v>
      </c>
      <c r="AW29" s="200" t="s">
        <v>2</v>
      </c>
      <c r="AX29" s="200" t="s">
        <v>2</v>
      </c>
      <c r="AY29" s="206" t="s">
        <v>8</v>
      </c>
      <c r="AZ29" s="206" t="s">
        <v>8</v>
      </c>
      <c r="BA29" s="206" t="s">
        <v>8</v>
      </c>
      <c r="BB29" s="206" t="s">
        <v>8</v>
      </c>
      <c r="BC29" s="200" t="s">
        <v>2</v>
      </c>
      <c r="BD29" s="206" t="s">
        <v>9</v>
      </c>
      <c r="BE29" s="200" t="s">
        <v>2</v>
      </c>
      <c r="BF29" s="153" t="s">
        <v>8</v>
      </c>
      <c r="BG29" s="135" t="s">
        <v>5</v>
      </c>
      <c r="BH29" s="136" t="s">
        <v>2</v>
      </c>
      <c r="BI29" s="135" t="s">
        <v>5</v>
      </c>
      <c r="BJ29" s="135" t="s">
        <v>5</v>
      </c>
      <c r="BK29" s="135" t="s">
        <v>5</v>
      </c>
      <c r="BL29" s="136" t="s">
        <v>2</v>
      </c>
      <c r="BM29" s="136" t="s">
        <v>2</v>
      </c>
      <c r="BN29" s="153" t="s">
        <v>8</v>
      </c>
      <c r="BO29" s="153" t="s">
        <v>8</v>
      </c>
      <c r="BP29" s="153" t="s">
        <v>8</v>
      </c>
      <c r="BQ29" s="153" t="s">
        <v>8</v>
      </c>
      <c r="BR29" s="153" t="s">
        <v>8</v>
      </c>
      <c r="BS29" s="136" t="s">
        <v>2</v>
      </c>
      <c r="BT29" s="136" t="s">
        <v>2</v>
      </c>
      <c r="BU29" s="153" t="s">
        <v>8</v>
      </c>
      <c r="BV29" s="153" t="s">
        <v>8</v>
      </c>
      <c r="BW29" s="153" t="s">
        <v>8</v>
      </c>
      <c r="BX29" s="153" t="s">
        <v>8</v>
      </c>
      <c r="BY29" s="153" t="s">
        <v>8</v>
      </c>
      <c r="BZ29" s="136" t="s">
        <v>2</v>
      </c>
      <c r="CA29" s="135" t="s">
        <v>114</v>
      </c>
      <c r="CB29" s="135" t="s">
        <v>114</v>
      </c>
      <c r="CC29" s="135" t="s">
        <v>114</v>
      </c>
      <c r="CD29" s="135" t="s">
        <v>114</v>
      </c>
      <c r="CE29" s="135" t="s">
        <v>114</v>
      </c>
      <c r="CF29" s="136" t="s">
        <v>2</v>
      </c>
      <c r="CG29" s="136" t="s">
        <v>2</v>
      </c>
      <c r="CH29" s="136" t="s">
        <v>2</v>
      </c>
      <c r="CI29" s="153" t="s">
        <v>7</v>
      </c>
      <c r="CJ29" s="153" t="s">
        <v>7</v>
      </c>
      <c r="CK29" s="153" t="s">
        <v>7</v>
      </c>
      <c r="CL29" s="153" t="s">
        <v>7</v>
      </c>
      <c r="CM29" s="153" t="s">
        <v>7</v>
      </c>
      <c r="CN29" s="136" t="s">
        <v>2</v>
      </c>
      <c r="CO29" s="153" t="s">
        <v>7</v>
      </c>
      <c r="CP29" s="153" t="s">
        <v>7</v>
      </c>
      <c r="CQ29" s="153" t="s">
        <v>7</v>
      </c>
      <c r="CR29" s="153" t="s">
        <v>7</v>
      </c>
      <c r="CS29" s="153" t="s">
        <v>7</v>
      </c>
      <c r="CT29" s="136" t="s">
        <v>2</v>
      </c>
      <c r="CU29" s="136" t="s">
        <v>2</v>
      </c>
      <c r="CV29" s="135" t="s">
        <v>114</v>
      </c>
      <c r="CW29" s="214" t="s">
        <v>110</v>
      </c>
      <c r="CX29" s="136" t="s">
        <v>2</v>
      </c>
      <c r="CY29" s="153" t="s">
        <v>7</v>
      </c>
      <c r="CZ29" s="135" t="s">
        <v>114</v>
      </c>
      <c r="DA29" s="135" t="s">
        <v>114</v>
      </c>
      <c r="DB29" s="136" t="s">
        <v>2</v>
      </c>
      <c r="DC29" s="153" t="s">
        <v>7</v>
      </c>
      <c r="DD29" s="153" t="s">
        <v>7</v>
      </c>
      <c r="DE29" s="153" t="s">
        <v>7</v>
      </c>
      <c r="DF29" s="153" t="s">
        <v>7</v>
      </c>
      <c r="DG29" s="153" t="s">
        <v>7</v>
      </c>
      <c r="DH29" s="136" t="s">
        <v>2</v>
      </c>
      <c r="DI29" s="136" t="s">
        <v>2</v>
      </c>
      <c r="DJ29" s="135" t="s">
        <v>114</v>
      </c>
      <c r="DK29" s="135" t="s">
        <v>114</v>
      </c>
      <c r="DL29" s="136" t="s">
        <v>2</v>
      </c>
      <c r="DM29" s="153" t="s">
        <v>7</v>
      </c>
      <c r="DN29" s="153" t="s">
        <v>7</v>
      </c>
      <c r="DO29" s="153" t="s">
        <v>7</v>
      </c>
      <c r="DP29" s="136" t="s">
        <v>2</v>
      </c>
      <c r="DQ29" s="135" t="s">
        <v>114</v>
      </c>
      <c r="DR29" s="135" t="s">
        <v>114</v>
      </c>
      <c r="DS29" s="135" t="s">
        <v>114</v>
      </c>
      <c r="DT29" s="135" t="s">
        <v>114</v>
      </c>
      <c r="DU29" s="135" t="s">
        <v>114</v>
      </c>
      <c r="DV29" s="136" t="s">
        <v>2</v>
      </c>
      <c r="DW29" s="136" t="s">
        <v>2</v>
      </c>
      <c r="DX29" s="153" t="s">
        <v>7</v>
      </c>
      <c r="DY29" s="153" t="s">
        <v>7</v>
      </c>
      <c r="DZ29" s="153" t="s">
        <v>7</v>
      </c>
      <c r="EA29" s="136" t="s">
        <v>2</v>
      </c>
      <c r="EB29" s="153" t="s">
        <v>7</v>
      </c>
      <c r="EC29" s="153" t="s">
        <v>7</v>
      </c>
      <c r="ED29" s="136" t="s">
        <v>2</v>
      </c>
      <c r="EE29" s="135" t="s">
        <v>114</v>
      </c>
      <c r="EF29" s="135" t="s">
        <v>114</v>
      </c>
      <c r="EG29" s="135" t="s">
        <v>114</v>
      </c>
      <c r="EH29" s="135" t="s">
        <v>116</v>
      </c>
      <c r="EI29" s="135" t="s">
        <v>138</v>
      </c>
      <c r="EJ29" s="136" t="s">
        <v>2</v>
      </c>
      <c r="EK29" s="136" t="s">
        <v>2</v>
      </c>
      <c r="EL29" s="153" t="s">
        <v>7</v>
      </c>
      <c r="EM29" s="153" t="s">
        <v>7</v>
      </c>
      <c r="EN29" s="153" t="s">
        <v>7</v>
      </c>
      <c r="EO29" s="136" t="s">
        <v>2</v>
      </c>
      <c r="EP29" s="153" t="s">
        <v>7</v>
      </c>
      <c r="EQ29" s="153" t="s">
        <v>7</v>
      </c>
      <c r="ER29" s="136" t="s">
        <v>2</v>
      </c>
      <c r="ES29" s="135" t="s">
        <v>114</v>
      </c>
      <c r="ET29" s="135" t="s">
        <v>114</v>
      </c>
      <c r="EU29" s="135" t="s">
        <v>114</v>
      </c>
      <c r="EV29" s="135" t="s">
        <v>114</v>
      </c>
      <c r="EW29" s="136" t="s">
        <v>2</v>
      </c>
      <c r="EX29" s="153" t="s">
        <v>7</v>
      </c>
      <c r="EY29" s="136" t="s">
        <v>2</v>
      </c>
      <c r="EZ29" s="153" t="s">
        <v>7</v>
      </c>
      <c r="FA29" s="153" t="s">
        <v>7</v>
      </c>
      <c r="FB29" s="153" t="s">
        <v>7</v>
      </c>
      <c r="FC29" s="153" t="s">
        <v>7</v>
      </c>
      <c r="FD29" s="153" t="s">
        <v>7</v>
      </c>
      <c r="FE29" s="136" t="s">
        <v>2</v>
      </c>
      <c r="FF29" s="136" t="s">
        <v>2</v>
      </c>
      <c r="FG29" s="136" t="s">
        <v>2</v>
      </c>
      <c r="FH29" s="153" t="s">
        <v>7</v>
      </c>
      <c r="FI29" s="153" t="s">
        <v>7</v>
      </c>
      <c r="FJ29" s="153" t="s">
        <v>7</v>
      </c>
      <c r="FK29" s="153" t="s">
        <v>7</v>
      </c>
      <c r="FL29" s="153" t="s">
        <v>7</v>
      </c>
      <c r="FM29" s="136" t="s">
        <v>2</v>
      </c>
      <c r="FN29" s="135" t="s">
        <v>114</v>
      </c>
      <c r="FO29" s="135" t="s">
        <v>114</v>
      </c>
      <c r="FP29" s="135" t="s">
        <v>114</v>
      </c>
      <c r="FQ29" s="135" t="s">
        <v>114</v>
      </c>
      <c r="FR29" s="135" t="s">
        <v>114</v>
      </c>
      <c r="FS29" s="136" t="s">
        <v>2</v>
      </c>
      <c r="FT29" s="136" t="s">
        <v>2</v>
      </c>
      <c r="FU29" s="135" t="s">
        <v>114</v>
      </c>
      <c r="FV29" s="135" t="s">
        <v>114</v>
      </c>
      <c r="FW29" s="135" t="s">
        <v>114</v>
      </c>
      <c r="FX29" s="136" t="s">
        <v>2</v>
      </c>
      <c r="FY29" s="136" t="s">
        <v>2</v>
      </c>
      <c r="FZ29" s="135" t="s">
        <v>114</v>
      </c>
      <c r="GA29" s="146" t="s">
        <v>117</v>
      </c>
      <c r="GB29" s="135" t="s">
        <v>114</v>
      </c>
      <c r="GC29" s="135" t="s">
        <v>114</v>
      </c>
      <c r="GD29" s="135" t="s">
        <v>114</v>
      </c>
      <c r="GE29" s="135" t="s">
        <v>114</v>
      </c>
      <c r="GF29" s="136" t="s">
        <v>2</v>
      </c>
      <c r="GG29" s="135" t="s">
        <v>114</v>
      </c>
      <c r="GH29" s="136" t="s">
        <v>2</v>
      </c>
      <c r="GI29" s="128" t="s">
        <v>128</v>
      </c>
      <c r="GJ29" s="128" t="s">
        <v>128</v>
      </c>
      <c r="GK29" s="128" t="s">
        <v>128</v>
      </c>
      <c r="GL29" s="128" t="s">
        <v>141</v>
      </c>
      <c r="GM29" s="128" t="s">
        <v>141</v>
      </c>
      <c r="GN29" s="129" t="s">
        <v>2</v>
      </c>
      <c r="GO29" s="129" t="s">
        <v>2</v>
      </c>
      <c r="GP29" s="128" t="s">
        <v>123</v>
      </c>
      <c r="GQ29" s="131" t="s">
        <v>63</v>
      </c>
      <c r="GR29" s="209" t="s">
        <v>122</v>
      </c>
      <c r="GS29" s="141" t="s">
        <v>120</v>
      </c>
      <c r="GT29" s="129" t="s">
        <v>2</v>
      </c>
      <c r="GU29" s="128" t="s">
        <v>169</v>
      </c>
      <c r="GV29" s="129" t="s">
        <v>2</v>
      </c>
      <c r="GW29" s="128" t="s">
        <v>169</v>
      </c>
      <c r="GX29" s="209" t="s">
        <v>122</v>
      </c>
      <c r="GY29" s="129" t="s">
        <v>2</v>
      </c>
      <c r="GZ29" s="129" t="s">
        <v>2</v>
      </c>
      <c r="HA29" s="212" t="s">
        <v>61</v>
      </c>
      <c r="HB29" s="209" t="s">
        <v>122</v>
      </c>
      <c r="HC29" s="62" t="s">
        <v>144</v>
      </c>
      <c r="HD29" s="209" t="s">
        <v>122</v>
      </c>
      <c r="HE29" s="129" t="s">
        <v>2</v>
      </c>
      <c r="HF29" s="208" t="s">
        <v>181</v>
      </c>
      <c r="HG29" s="128" t="s">
        <v>123</v>
      </c>
      <c r="HH29" s="141" t="s">
        <v>120</v>
      </c>
      <c r="HI29" s="212" t="s">
        <v>61</v>
      </c>
      <c r="HJ29" s="129" t="s">
        <v>2</v>
      </c>
      <c r="HK29" s="81" t="s">
        <v>122</v>
      </c>
      <c r="HL29" s="54" t="s">
        <v>123</v>
      </c>
      <c r="HM29" s="80" t="s">
        <v>120</v>
      </c>
      <c r="HN29" s="81" t="s">
        <v>122</v>
      </c>
      <c r="HO29" s="65" t="s">
        <v>286</v>
      </c>
      <c r="HP29" s="56" t="s">
        <v>2</v>
      </c>
      <c r="HQ29" s="56" t="s">
        <v>2</v>
      </c>
      <c r="HR29" s="58" t="s">
        <v>59</v>
      </c>
      <c r="HS29" s="82" t="s">
        <v>146</v>
      </c>
      <c r="HT29" s="56" t="s">
        <v>2</v>
      </c>
      <c r="HU29" s="80" t="s">
        <v>147</v>
      </c>
      <c r="HV29" s="80" t="s">
        <v>147</v>
      </c>
      <c r="HW29" s="82" t="s">
        <v>146</v>
      </c>
      <c r="HX29" s="56" t="s">
        <v>2</v>
      </c>
      <c r="HY29" s="56" t="s">
        <v>2</v>
      </c>
      <c r="HZ29" s="58" t="s">
        <v>67</v>
      </c>
      <c r="IA29" s="58" t="s">
        <v>187</v>
      </c>
      <c r="IB29" s="58" t="s">
        <v>187</v>
      </c>
      <c r="IC29" s="54" t="s">
        <v>51</v>
      </c>
      <c r="ID29" s="54" t="s">
        <v>128</v>
      </c>
      <c r="IE29" s="56" t="s">
        <v>2</v>
      </c>
      <c r="IF29" s="102" t="s">
        <v>27</v>
      </c>
      <c r="IG29" s="102" t="s">
        <v>27</v>
      </c>
      <c r="IH29" s="102" t="s">
        <v>27</v>
      </c>
      <c r="II29" s="102" t="s">
        <v>27</v>
      </c>
      <c r="IJ29" s="102" t="s">
        <v>27</v>
      </c>
      <c r="IK29" s="56" t="s">
        <v>2</v>
      </c>
      <c r="IL29" s="56" t="s">
        <v>2</v>
      </c>
      <c r="IM29" s="54" t="s">
        <v>128</v>
      </c>
      <c r="IN29" s="54" t="s">
        <v>128</v>
      </c>
      <c r="IO29" s="54" t="s">
        <v>128</v>
      </c>
      <c r="IP29" s="117" t="s">
        <v>273</v>
      </c>
      <c r="IQ29" s="54" t="s">
        <v>128</v>
      </c>
      <c r="IR29" s="56" t="s">
        <v>2</v>
      </c>
      <c r="IS29" s="56" t="s">
        <v>2</v>
      </c>
      <c r="IT29" s="54" t="s">
        <v>128</v>
      </c>
      <c r="IU29" s="54" t="s">
        <v>128</v>
      </c>
      <c r="IV29" s="56" t="s">
        <v>2</v>
      </c>
      <c r="IW29" s="54" t="s">
        <v>128</v>
      </c>
      <c r="IX29" s="54" t="s">
        <v>128</v>
      </c>
      <c r="IY29" s="54" t="s">
        <v>128</v>
      </c>
      <c r="IZ29" s="56" t="s">
        <v>2</v>
      </c>
      <c r="JA29" s="56" t="s">
        <v>2</v>
      </c>
      <c r="JB29" s="54" t="s">
        <v>128</v>
      </c>
      <c r="JC29" s="54" t="s">
        <v>128</v>
      </c>
      <c r="JD29" s="54" t="s">
        <v>128</v>
      </c>
      <c r="JE29" s="56" t="s">
        <v>2</v>
      </c>
      <c r="JF29" s="54" t="s">
        <v>128</v>
      </c>
      <c r="JG29" s="62" t="s">
        <v>149</v>
      </c>
      <c r="JH29" s="81" t="s">
        <v>146</v>
      </c>
      <c r="JI29" s="54" t="s">
        <v>128</v>
      </c>
      <c r="JJ29" s="54" t="s">
        <v>128</v>
      </c>
      <c r="JK29" s="102" t="s">
        <v>27</v>
      </c>
      <c r="JL29" s="102" t="s">
        <v>27</v>
      </c>
      <c r="JM29" s="56" t="s">
        <v>2</v>
      </c>
      <c r="JN29" s="56" t="s">
        <v>2</v>
      </c>
      <c r="JO29" s="80" t="s">
        <v>119</v>
      </c>
      <c r="JP29" s="80" t="s">
        <v>119</v>
      </c>
      <c r="JQ29" s="80" t="s">
        <v>119</v>
      </c>
      <c r="JR29" s="80" t="s">
        <v>119</v>
      </c>
      <c r="JS29" s="80" t="s">
        <v>119</v>
      </c>
      <c r="JT29" s="56" t="s">
        <v>2</v>
      </c>
      <c r="JU29" s="56" t="s">
        <v>2</v>
      </c>
      <c r="JV29" s="58" t="s">
        <v>67</v>
      </c>
      <c r="JW29" s="58" t="s">
        <v>67</v>
      </c>
      <c r="JX29" s="58" t="s">
        <v>67</v>
      </c>
      <c r="JY29" s="56" t="s">
        <v>2</v>
      </c>
      <c r="JZ29" s="58" t="s">
        <v>67</v>
      </c>
      <c r="KA29" s="58" t="s">
        <v>67</v>
      </c>
      <c r="KB29" s="56" t="s">
        <v>2</v>
      </c>
      <c r="KC29" s="82" t="s">
        <v>45</v>
      </c>
      <c r="KD29" s="82" t="s">
        <v>45</v>
      </c>
      <c r="KE29" s="82" t="s">
        <v>45</v>
      </c>
      <c r="KF29" s="82" t="s">
        <v>45</v>
      </c>
      <c r="KG29" s="56" t="s">
        <v>2</v>
      </c>
      <c r="KH29" s="56" t="s">
        <v>2</v>
      </c>
      <c r="KI29" s="62" t="s">
        <v>149</v>
      </c>
      <c r="KJ29" s="58" t="s">
        <v>67</v>
      </c>
      <c r="KK29" s="58" t="s">
        <v>67</v>
      </c>
      <c r="KL29" s="56" t="s">
        <v>2</v>
      </c>
      <c r="KM29" s="58" t="s">
        <v>67</v>
      </c>
      <c r="KN29" s="58" t="s">
        <v>67</v>
      </c>
      <c r="KO29" s="58" t="s">
        <v>67</v>
      </c>
      <c r="KP29" s="56" t="s">
        <v>2</v>
      </c>
      <c r="KQ29" s="238" t="s">
        <v>128</v>
      </c>
      <c r="KR29" s="238" t="s">
        <v>128</v>
      </c>
      <c r="KS29" s="56" t="s">
        <v>2</v>
      </c>
      <c r="KT29" s="238" t="s">
        <v>128</v>
      </c>
      <c r="KU29" s="238" t="s">
        <v>128</v>
      </c>
      <c r="KV29" s="238" t="s">
        <v>128</v>
      </c>
      <c r="KW29" s="56" t="s">
        <v>2</v>
      </c>
      <c r="KX29" s="58" t="s">
        <v>67</v>
      </c>
      <c r="KY29" s="58" t="s">
        <v>67</v>
      </c>
      <c r="KZ29" s="58" t="s">
        <v>67</v>
      </c>
      <c r="LA29" s="56" t="s">
        <v>2</v>
      </c>
      <c r="LB29" s="56" t="s">
        <v>2</v>
      </c>
      <c r="LC29" s="80" t="s">
        <v>119</v>
      </c>
      <c r="LD29" s="62" t="s">
        <v>149</v>
      </c>
      <c r="LE29" s="82" t="s">
        <v>45</v>
      </c>
      <c r="LF29" s="58" t="s">
        <v>67</v>
      </c>
      <c r="LG29" s="58" t="s">
        <v>67</v>
      </c>
      <c r="LH29" s="56" t="s">
        <v>2</v>
      </c>
      <c r="LI29" s="82" t="s">
        <v>45</v>
      </c>
      <c r="LJ29" s="58" t="s">
        <v>67</v>
      </c>
      <c r="LK29" s="56" t="s">
        <v>2</v>
      </c>
      <c r="LL29" s="80" t="s">
        <v>119</v>
      </c>
      <c r="LM29" s="80" t="s">
        <v>119</v>
      </c>
      <c r="LN29" s="80" t="s">
        <v>119</v>
      </c>
      <c r="LO29" s="80" t="s">
        <v>119</v>
      </c>
      <c r="LP29" s="80" t="s">
        <v>119</v>
      </c>
      <c r="LQ29" s="56" t="s">
        <v>2</v>
      </c>
      <c r="LR29" s="56" t="s">
        <v>2</v>
      </c>
      <c r="LS29" s="238" t="s">
        <v>128</v>
      </c>
      <c r="LT29" s="238" t="s">
        <v>128</v>
      </c>
      <c r="LU29" s="238" t="s">
        <v>128</v>
      </c>
      <c r="LV29" s="56" t="s">
        <v>2</v>
      </c>
      <c r="LW29" s="56" t="s">
        <v>2</v>
      </c>
      <c r="LX29" s="80" t="s">
        <v>119</v>
      </c>
      <c r="LY29" s="62" t="s">
        <v>149</v>
      </c>
    </row>
    <row r="30" spans="1:365" ht="13.5" thickBot="1">
      <c r="C30" s="511"/>
      <c r="D30" s="510"/>
      <c r="E30" s="507"/>
      <c r="F30" s="508" t="s">
        <v>507</v>
      </c>
      <c r="G30" s="507"/>
      <c r="H30" s="473"/>
      <c r="I30" s="473"/>
      <c r="J30" s="514"/>
      <c r="K30" s="473" t="s">
        <v>507</v>
      </c>
      <c r="L30" s="473"/>
      <c r="M30" s="472"/>
      <c r="N30" s="472">
        <v>3</v>
      </c>
      <c r="O30" s="232" t="s">
        <v>333</v>
      </c>
      <c r="P30" s="148" t="s">
        <v>11</v>
      </c>
      <c r="Q30" s="148" t="s">
        <v>11</v>
      </c>
      <c r="R30" s="148" t="s">
        <v>11</v>
      </c>
      <c r="S30" s="148" t="s">
        <v>11</v>
      </c>
      <c r="T30" s="126" t="s">
        <v>2</v>
      </c>
      <c r="U30" s="126" t="s">
        <v>2</v>
      </c>
      <c r="V30" s="144" t="s">
        <v>4</v>
      </c>
      <c r="W30" s="199" t="s">
        <v>9</v>
      </c>
      <c r="X30" s="199" t="s">
        <v>9</v>
      </c>
      <c r="Y30" s="199" t="s">
        <v>9</v>
      </c>
      <c r="Z30" s="199" t="s">
        <v>9</v>
      </c>
      <c r="AA30" s="199" t="s">
        <v>9</v>
      </c>
      <c r="AB30" s="126" t="s">
        <v>2</v>
      </c>
      <c r="AC30" s="126" t="s">
        <v>2</v>
      </c>
      <c r="AD30" s="202" t="s">
        <v>11</v>
      </c>
      <c r="AE30" s="200" t="s">
        <v>2</v>
      </c>
      <c r="AF30" s="202" t="s">
        <v>11</v>
      </c>
      <c r="AG30" s="202" t="s">
        <v>11</v>
      </c>
      <c r="AH30" s="206" t="s">
        <v>8</v>
      </c>
      <c r="AI30" s="206" t="s">
        <v>9</v>
      </c>
      <c r="AJ30" s="200" t="s">
        <v>2</v>
      </c>
      <c r="AK30" s="206" t="s">
        <v>9</v>
      </c>
      <c r="AL30" s="206" t="s">
        <v>9</v>
      </c>
      <c r="AM30" s="206" t="s">
        <v>9</v>
      </c>
      <c r="AN30" s="206" t="s">
        <v>9</v>
      </c>
      <c r="AO30" s="206" t="s">
        <v>9</v>
      </c>
      <c r="AP30" s="200" t="s">
        <v>2</v>
      </c>
      <c r="AQ30" s="200" t="s">
        <v>2</v>
      </c>
      <c r="AR30" s="204" t="s">
        <v>5</v>
      </c>
      <c r="AS30" s="204" t="s">
        <v>5</v>
      </c>
      <c r="AT30" s="204" t="s">
        <v>5</v>
      </c>
      <c r="AU30" s="204" t="s">
        <v>5</v>
      </c>
      <c r="AV30" s="200" t="s">
        <v>2</v>
      </c>
      <c r="AW30" s="206" t="s">
        <v>9</v>
      </c>
      <c r="AX30" s="200" t="s">
        <v>2</v>
      </c>
      <c r="AY30" s="210" t="s">
        <v>132</v>
      </c>
      <c r="AZ30" s="210" t="s">
        <v>132</v>
      </c>
      <c r="BA30" s="210" t="s">
        <v>132</v>
      </c>
      <c r="BB30" s="210" t="s">
        <v>132</v>
      </c>
      <c r="BC30" s="210" t="s">
        <v>132</v>
      </c>
      <c r="BD30" s="200" t="s">
        <v>2</v>
      </c>
      <c r="BE30" s="200" t="s">
        <v>2</v>
      </c>
      <c r="BF30" s="135" t="s">
        <v>5</v>
      </c>
      <c r="BG30" s="136" t="s">
        <v>2</v>
      </c>
      <c r="BH30" s="155" t="s">
        <v>11</v>
      </c>
      <c r="BI30" s="155" t="s">
        <v>11</v>
      </c>
      <c r="BJ30" s="155" t="s">
        <v>11</v>
      </c>
      <c r="BK30" s="155" t="s">
        <v>11</v>
      </c>
      <c r="BL30" s="136" t="s">
        <v>2</v>
      </c>
      <c r="BM30" s="155" t="s">
        <v>11</v>
      </c>
      <c r="BN30" s="155" t="s">
        <v>11</v>
      </c>
      <c r="BO30" s="135" t="s">
        <v>5</v>
      </c>
      <c r="BP30" s="136" t="s">
        <v>2</v>
      </c>
      <c r="BQ30" s="153" t="s">
        <v>8</v>
      </c>
      <c r="BR30" s="155" t="s">
        <v>11</v>
      </c>
      <c r="BS30" s="136" t="s">
        <v>2</v>
      </c>
      <c r="BT30" s="153" t="s">
        <v>8</v>
      </c>
      <c r="BU30" s="135" t="s">
        <v>5</v>
      </c>
      <c r="BV30" s="136" t="s">
        <v>2</v>
      </c>
      <c r="BW30" s="135" t="s">
        <v>5</v>
      </c>
      <c r="BX30" s="135" t="s">
        <v>5</v>
      </c>
      <c r="BY30" s="135" t="s">
        <v>5</v>
      </c>
      <c r="BZ30" s="136" t="s">
        <v>2</v>
      </c>
      <c r="CA30" s="210" t="s">
        <v>12</v>
      </c>
      <c r="CB30" s="210" t="s">
        <v>12</v>
      </c>
      <c r="CC30" s="210" t="s">
        <v>12</v>
      </c>
      <c r="CD30" s="210" t="s">
        <v>12</v>
      </c>
      <c r="CE30" s="136" t="s">
        <v>2</v>
      </c>
      <c r="CF30" s="136" t="s">
        <v>2</v>
      </c>
      <c r="CG30" s="146" t="s">
        <v>117</v>
      </c>
      <c r="CH30" s="135" t="s">
        <v>114</v>
      </c>
      <c r="CI30" s="135" t="s">
        <v>114</v>
      </c>
      <c r="CJ30" s="136" t="s">
        <v>2</v>
      </c>
      <c r="CK30" s="135" t="s">
        <v>114</v>
      </c>
      <c r="CL30" s="135" t="s">
        <v>114</v>
      </c>
      <c r="CM30" s="135" t="s">
        <v>114</v>
      </c>
      <c r="CN30" s="136" t="s">
        <v>2</v>
      </c>
      <c r="CO30" s="155" t="s">
        <v>11</v>
      </c>
      <c r="CP30" s="155" t="s">
        <v>11</v>
      </c>
      <c r="CQ30" s="155" t="s">
        <v>11</v>
      </c>
      <c r="CR30" s="155" t="s">
        <v>11</v>
      </c>
      <c r="CS30" s="162" t="s">
        <v>334</v>
      </c>
      <c r="CT30" s="136" t="s">
        <v>2</v>
      </c>
      <c r="CU30" s="136" t="s">
        <v>2</v>
      </c>
      <c r="CV30" s="136" t="s">
        <v>2</v>
      </c>
      <c r="CW30" s="135" t="s">
        <v>114</v>
      </c>
      <c r="CX30" s="135" t="s">
        <v>114</v>
      </c>
      <c r="CY30" s="135" t="s">
        <v>114</v>
      </c>
      <c r="CZ30" s="207" t="s">
        <v>113</v>
      </c>
      <c r="DA30" s="210" t="s">
        <v>12</v>
      </c>
      <c r="DB30" s="136" t="s">
        <v>2</v>
      </c>
      <c r="DC30" s="155" t="s">
        <v>11</v>
      </c>
      <c r="DD30" s="155" t="s">
        <v>11</v>
      </c>
      <c r="DE30" s="155" t="s">
        <v>11</v>
      </c>
      <c r="DF30" s="155" t="s">
        <v>11</v>
      </c>
      <c r="DG30" s="155" t="s">
        <v>11</v>
      </c>
      <c r="DH30" s="136" t="s">
        <v>2</v>
      </c>
      <c r="DI30" s="136" t="s">
        <v>2</v>
      </c>
      <c r="DJ30" s="135" t="s">
        <v>114</v>
      </c>
      <c r="DK30" s="155" t="s">
        <v>11</v>
      </c>
      <c r="DL30" s="135" t="s">
        <v>114</v>
      </c>
      <c r="DM30" s="135" t="s">
        <v>114</v>
      </c>
      <c r="DN30" s="135" t="s">
        <v>114</v>
      </c>
      <c r="DO30" s="136" t="s">
        <v>2</v>
      </c>
      <c r="DP30" s="136" t="s">
        <v>2</v>
      </c>
      <c r="DQ30" s="153" t="s">
        <v>7</v>
      </c>
      <c r="DR30" s="153" t="s">
        <v>7</v>
      </c>
      <c r="DS30" s="153" t="s">
        <v>7</v>
      </c>
      <c r="DT30" s="136" t="s">
        <v>2</v>
      </c>
      <c r="DU30" s="153" t="s">
        <v>7</v>
      </c>
      <c r="DV30" s="153" t="s">
        <v>7</v>
      </c>
      <c r="DW30" s="136" t="s">
        <v>2</v>
      </c>
      <c r="DX30" s="210" t="s">
        <v>12</v>
      </c>
      <c r="DY30" s="210" t="s">
        <v>12</v>
      </c>
      <c r="DZ30" s="210" t="s">
        <v>12</v>
      </c>
      <c r="EA30" s="210" t="s">
        <v>12</v>
      </c>
      <c r="EB30" s="136" t="s">
        <v>2</v>
      </c>
      <c r="EC30" s="135" t="s">
        <v>114</v>
      </c>
      <c r="ED30" s="136" t="s">
        <v>2</v>
      </c>
      <c r="EE30" s="155" t="s">
        <v>11</v>
      </c>
      <c r="EF30" s="155" t="s">
        <v>11</v>
      </c>
      <c r="EG30" s="155" t="s">
        <v>11</v>
      </c>
      <c r="EH30" s="136" t="s">
        <v>2</v>
      </c>
      <c r="EI30" s="136" t="s">
        <v>2</v>
      </c>
      <c r="EJ30" s="155" t="s">
        <v>11</v>
      </c>
      <c r="EK30" s="146" t="s">
        <v>117</v>
      </c>
      <c r="EL30" s="155" t="s">
        <v>11</v>
      </c>
      <c r="EM30" s="155" t="s">
        <v>11</v>
      </c>
      <c r="EN30" s="155" t="s">
        <v>11</v>
      </c>
      <c r="EO30" s="136" t="s">
        <v>2</v>
      </c>
      <c r="EP30" s="155" t="s">
        <v>11</v>
      </c>
      <c r="EQ30" s="155" t="s">
        <v>11</v>
      </c>
      <c r="ER30" s="136" t="s">
        <v>2</v>
      </c>
      <c r="ES30" s="153" t="s">
        <v>7</v>
      </c>
      <c r="ET30" s="155" t="s">
        <v>11</v>
      </c>
      <c r="EU30" s="155" t="s">
        <v>11</v>
      </c>
      <c r="EV30" s="155" t="s">
        <v>11</v>
      </c>
      <c r="EW30" s="155" t="s">
        <v>11</v>
      </c>
      <c r="EX30" s="136" t="s">
        <v>2</v>
      </c>
      <c r="EY30" s="136" t="s">
        <v>2</v>
      </c>
      <c r="EZ30" s="153" t="s">
        <v>7</v>
      </c>
      <c r="FA30" s="153" t="s">
        <v>7</v>
      </c>
      <c r="FB30" s="153" t="s">
        <v>7</v>
      </c>
      <c r="FC30" s="153" t="s">
        <v>7</v>
      </c>
      <c r="FD30" s="153" t="s">
        <v>7</v>
      </c>
      <c r="FE30" s="136" t="s">
        <v>2</v>
      </c>
      <c r="FF30" s="136" t="s">
        <v>2</v>
      </c>
      <c r="FG30" s="155" t="s">
        <v>11</v>
      </c>
      <c r="FH30" s="135" t="s">
        <v>114</v>
      </c>
      <c r="FI30" s="136" t="s">
        <v>2</v>
      </c>
      <c r="FJ30" s="210" t="s">
        <v>12</v>
      </c>
      <c r="FK30" s="155" t="s">
        <v>11</v>
      </c>
      <c r="FL30" s="155" t="s">
        <v>11</v>
      </c>
      <c r="FM30" s="136" t="s">
        <v>2</v>
      </c>
      <c r="FN30" s="210" t="s">
        <v>12</v>
      </c>
      <c r="FO30" s="136" t="s">
        <v>2</v>
      </c>
      <c r="FP30" s="210" t="s">
        <v>12</v>
      </c>
      <c r="FQ30" s="210" t="s">
        <v>12</v>
      </c>
      <c r="FR30" s="210" t="s">
        <v>12</v>
      </c>
      <c r="FS30" s="135" t="s">
        <v>114</v>
      </c>
      <c r="FT30" s="136" t="s">
        <v>2</v>
      </c>
      <c r="FU30" s="155" t="s">
        <v>11</v>
      </c>
      <c r="FV30" s="155" t="s">
        <v>11</v>
      </c>
      <c r="FW30" s="155" t="s">
        <v>11</v>
      </c>
      <c r="FX30" s="155" t="s">
        <v>11</v>
      </c>
      <c r="FY30" s="155" t="s">
        <v>11</v>
      </c>
      <c r="FZ30" s="136" t="s">
        <v>2</v>
      </c>
      <c r="GA30" s="136" t="s">
        <v>2</v>
      </c>
      <c r="GB30" s="136" t="s">
        <v>2</v>
      </c>
      <c r="GC30" s="153" t="s">
        <v>7</v>
      </c>
      <c r="GD30" s="153" t="s">
        <v>7</v>
      </c>
      <c r="GE30" s="155" t="s">
        <v>11</v>
      </c>
      <c r="GF30" s="155" t="s">
        <v>11</v>
      </c>
      <c r="GG30" s="155" t="s">
        <v>11</v>
      </c>
      <c r="GH30" s="136" t="s">
        <v>2</v>
      </c>
      <c r="GI30" s="131" t="s">
        <v>67</v>
      </c>
      <c r="GJ30" s="131" t="s">
        <v>67</v>
      </c>
      <c r="GK30" s="131" t="s">
        <v>67</v>
      </c>
      <c r="GL30" s="131" t="s">
        <v>63</v>
      </c>
      <c r="GM30" s="209" t="s">
        <v>122</v>
      </c>
      <c r="GN30" s="129" t="s">
        <v>2</v>
      </c>
      <c r="GO30" s="129" t="s">
        <v>2</v>
      </c>
      <c r="GP30" s="141" t="s">
        <v>120</v>
      </c>
      <c r="GQ30" s="141" t="s">
        <v>120</v>
      </c>
      <c r="GR30" s="129" t="s">
        <v>2</v>
      </c>
      <c r="GS30" s="129" t="s">
        <v>2</v>
      </c>
      <c r="GT30" s="212" t="s">
        <v>61</v>
      </c>
      <c r="GU30" s="209" t="s">
        <v>122</v>
      </c>
      <c r="GV30" s="62" t="s">
        <v>144</v>
      </c>
      <c r="GW30" s="212" t="s">
        <v>61</v>
      </c>
      <c r="GX30" s="128" t="s">
        <v>123</v>
      </c>
      <c r="GY30" s="131" t="s">
        <v>63</v>
      </c>
      <c r="GZ30" s="131" t="s">
        <v>63</v>
      </c>
      <c r="HA30" s="141" t="s">
        <v>120</v>
      </c>
      <c r="HB30" s="129" t="s">
        <v>2</v>
      </c>
      <c r="HC30" s="129" t="s">
        <v>2</v>
      </c>
      <c r="HD30" s="128" t="s">
        <v>123</v>
      </c>
      <c r="HE30" s="131" t="s">
        <v>63</v>
      </c>
      <c r="HF30" s="209" t="s">
        <v>122</v>
      </c>
      <c r="HG30" s="141" t="s">
        <v>120</v>
      </c>
      <c r="HH30" s="129" t="s">
        <v>2</v>
      </c>
      <c r="HI30" s="128" t="s">
        <v>123</v>
      </c>
      <c r="HJ30" s="129" t="s">
        <v>2</v>
      </c>
      <c r="HK30" s="58" t="s">
        <v>63</v>
      </c>
      <c r="HL30" s="82" t="s">
        <v>61</v>
      </c>
      <c r="HM30" s="58" t="s">
        <v>63</v>
      </c>
      <c r="HN30" s="56" t="s">
        <v>2</v>
      </c>
      <c r="HO30" s="56" t="s">
        <v>2</v>
      </c>
      <c r="HP30" s="80" t="s">
        <v>163</v>
      </c>
      <c r="HQ30" s="62" t="s">
        <v>145</v>
      </c>
      <c r="HR30" s="81" t="s">
        <v>129</v>
      </c>
      <c r="HS30" s="81" t="s">
        <v>129</v>
      </c>
      <c r="HT30" s="81" t="s">
        <v>129</v>
      </c>
      <c r="HU30" s="56" t="s">
        <v>2</v>
      </c>
      <c r="HV30" s="81" t="s">
        <v>129</v>
      </c>
      <c r="HW30" s="82" t="s">
        <v>146</v>
      </c>
      <c r="HX30" s="56" t="s">
        <v>2</v>
      </c>
      <c r="HY30" s="82" t="s">
        <v>45</v>
      </c>
      <c r="HZ30" s="82" t="s">
        <v>45</v>
      </c>
      <c r="IA30" s="82" t="s">
        <v>45</v>
      </c>
      <c r="IB30" s="80" t="s">
        <v>119</v>
      </c>
      <c r="IC30" s="80" t="s">
        <v>119</v>
      </c>
      <c r="ID30" s="56" t="s">
        <v>2</v>
      </c>
      <c r="IE30" s="56" t="s">
        <v>2</v>
      </c>
      <c r="IF30" s="58" t="s">
        <v>67</v>
      </c>
      <c r="IG30" s="58" t="s">
        <v>67</v>
      </c>
      <c r="IH30" s="58" t="s">
        <v>67</v>
      </c>
      <c r="II30" s="56" t="s">
        <v>2</v>
      </c>
      <c r="IJ30" s="56" t="s">
        <v>2</v>
      </c>
      <c r="IK30" s="80" t="s">
        <v>119</v>
      </c>
      <c r="IL30" s="62" t="s">
        <v>149</v>
      </c>
      <c r="IM30" s="82" t="s">
        <v>45</v>
      </c>
      <c r="IN30" s="56" t="s">
        <v>2</v>
      </c>
      <c r="IO30" s="56" t="s">
        <v>2</v>
      </c>
      <c r="IP30" s="58" t="s">
        <v>67</v>
      </c>
      <c r="IQ30" s="54" t="s">
        <v>128</v>
      </c>
      <c r="IR30" s="58" t="s">
        <v>67</v>
      </c>
      <c r="IS30" s="62" t="s">
        <v>149</v>
      </c>
      <c r="IT30" s="82" t="s">
        <v>45</v>
      </c>
      <c r="IU30" s="56" t="s">
        <v>2</v>
      </c>
      <c r="IV30" s="54" t="s">
        <v>128</v>
      </c>
      <c r="IW30" s="81" t="s">
        <v>146</v>
      </c>
      <c r="IX30" s="82" t="s">
        <v>45</v>
      </c>
      <c r="IY30" s="80" t="s">
        <v>119</v>
      </c>
      <c r="IZ30" s="56" t="s">
        <v>2</v>
      </c>
      <c r="JA30" s="54" t="s">
        <v>128</v>
      </c>
      <c r="JB30" s="82" t="s">
        <v>45</v>
      </c>
      <c r="JC30" s="82" t="s">
        <v>45</v>
      </c>
      <c r="JD30" s="82" t="s">
        <v>45</v>
      </c>
      <c r="JE30" s="56" t="s">
        <v>130</v>
      </c>
      <c r="JF30" s="56" t="s">
        <v>2</v>
      </c>
      <c r="JG30" s="56" t="s">
        <v>2</v>
      </c>
      <c r="JH30" s="58" t="s">
        <v>67</v>
      </c>
      <c r="JI30" s="58" t="s">
        <v>67</v>
      </c>
      <c r="JJ30" s="90" t="s">
        <v>274</v>
      </c>
      <c r="JK30" s="117" t="s">
        <v>273</v>
      </c>
      <c r="JL30" s="117" t="s">
        <v>273</v>
      </c>
      <c r="JM30" s="56" t="s">
        <v>2</v>
      </c>
      <c r="JN30" s="56" t="s">
        <v>2</v>
      </c>
      <c r="JO30" s="82" t="s">
        <v>45</v>
      </c>
      <c r="JP30" s="56" t="s">
        <v>2</v>
      </c>
      <c r="JQ30" s="54" t="s">
        <v>128</v>
      </c>
      <c r="JR30" s="81" t="s">
        <v>146</v>
      </c>
      <c r="JS30" s="81" t="s">
        <v>146</v>
      </c>
      <c r="JT30" s="58" t="s">
        <v>67</v>
      </c>
      <c r="JU30" s="56" t="s">
        <v>2</v>
      </c>
      <c r="JV30" s="58" t="s">
        <v>67</v>
      </c>
      <c r="JW30" s="58" t="s">
        <v>67</v>
      </c>
      <c r="JX30" s="58" t="s">
        <v>67</v>
      </c>
      <c r="JY30" s="58" t="s">
        <v>67</v>
      </c>
      <c r="JZ30" s="82" t="s">
        <v>45</v>
      </c>
      <c r="KA30" s="56" t="s">
        <v>2</v>
      </c>
      <c r="KB30" s="56" t="s">
        <v>2</v>
      </c>
      <c r="KC30" s="238" t="s">
        <v>128</v>
      </c>
      <c r="KD30" s="238" t="s">
        <v>128</v>
      </c>
      <c r="KE30" s="238" t="s">
        <v>128</v>
      </c>
      <c r="KF30" s="56" t="s">
        <v>2</v>
      </c>
      <c r="KG30" s="56" t="s">
        <v>2</v>
      </c>
      <c r="KH30" s="80" t="s">
        <v>119</v>
      </c>
      <c r="KI30" s="62" t="s">
        <v>149</v>
      </c>
      <c r="KJ30" s="58" t="s">
        <v>67</v>
      </c>
      <c r="KK30" s="58" t="s">
        <v>67</v>
      </c>
      <c r="KL30" s="58" t="s">
        <v>67</v>
      </c>
      <c r="KM30" s="56" t="s">
        <v>2</v>
      </c>
      <c r="KN30" s="82" t="s">
        <v>45</v>
      </c>
      <c r="KO30" s="58" t="s">
        <v>67</v>
      </c>
      <c r="KP30" s="56" t="s">
        <v>2</v>
      </c>
      <c r="KQ30" s="58" t="s">
        <v>67</v>
      </c>
      <c r="KR30" s="58" t="s">
        <v>67</v>
      </c>
      <c r="KS30" s="58" t="s">
        <v>67</v>
      </c>
      <c r="KT30" s="56" t="s">
        <v>2</v>
      </c>
      <c r="KU30" s="82" t="s">
        <v>45</v>
      </c>
      <c r="KV30" s="58" t="s">
        <v>67</v>
      </c>
      <c r="KW30" s="56" t="s">
        <v>2</v>
      </c>
      <c r="KX30" s="238" t="s">
        <v>128</v>
      </c>
      <c r="KY30" s="238" t="s">
        <v>128</v>
      </c>
      <c r="KZ30" s="56" t="s">
        <v>2</v>
      </c>
      <c r="LA30" s="238" t="s">
        <v>128</v>
      </c>
      <c r="LB30" s="238" t="s">
        <v>128</v>
      </c>
      <c r="LC30" s="238" t="s">
        <v>128</v>
      </c>
      <c r="LD30" s="56" t="s">
        <v>2</v>
      </c>
      <c r="LE30" s="80" t="s">
        <v>119</v>
      </c>
      <c r="LF30" s="80" t="s">
        <v>119</v>
      </c>
      <c r="LG30" s="80" t="s">
        <v>119</v>
      </c>
      <c r="LH30" s="80" t="s">
        <v>119</v>
      </c>
      <c r="LI30" s="80" t="s">
        <v>119</v>
      </c>
      <c r="LJ30" s="56" t="s">
        <v>2</v>
      </c>
      <c r="LK30" s="56" t="s">
        <v>2</v>
      </c>
      <c r="LL30" s="238" t="s">
        <v>128</v>
      </c>
      <c r="LM30" s="238" t="s">
        <v>128</v>
      </c>
      <c r="LN30" s="238" t="s">
        <v>128</v>
      </c>
      <c r="LO30" s="56" t="s">
        <v>2</v>
      </c>
      <c r="LP30" s="56" t="s">
        <v>2</v>
      </c>
      <c r="LQ30" s="80" t="s">
        <v>119</v>
      </c>
      <c r="LR30" s="62" t="s">
        <v>149</v>
      </c>
      <c r="LS30" s="81" t="s">
        <v>146</v>
      </c>
      <c r="LT30" s="58" t="s">
        <v>67</v>
      </c>
      <c r="LU30" s="58" t="s">
        <v>67</v>
      </c>
      <c r="LV30" s="56" t="s">
        <v>2</v>
      </c>
      <c r="LW30" s="82" t="s">
        <v>45</v>
      </c>
      <c r="LX30" s="58" t="s">
        <v>67</v>
      </c>
      <c r="LY30" s="56" t="s">
        <v>2</v>
      </c>
    </row>
    <row r="31" spans="1:365" ht="13.5" thickBot="1">
      <c r="C31" s="518" t="s">
        <v>507</v>
      </c>
      <c r="D31" s="519" t="s">
        <v>507</v>
      </c>
      <c r="E31" s="518"/>
      <c r="F31" s="520"/>
      <c r="G31" s="518"/>
      <c r="H31" s="509" t="s">
        <v>507</v>
      </c>
      <c r="I31" s="473"/>
      <c r="J31" s="473" t="s">
        <v>507</v>
      </c>
      <c r="K31" s="515"/>
      <c r="L31" s="473"/>
      <c r="M31" s="472"/>
      <c r="N31" s="472">
        <v>2</v>
      </c>
      <c r="O31" s="235" t="s">
        <v>335</v>
      </c>
      <c r="P31" s="143" t="s">
        <v>5</v>
      </c>
      <c r="Q31" s="143" t="s">
        <v>5</v>
      </c>
      <c r="R31" s="126" t="s">
        <v>2</v>
      </c>
      <c r="S31" s="143" t="s">
        <v>5</v>
      </c>
      <c r="T31" s="143" t="s">
        <v>5</v>
      </c>
      <c r="U31" s="143" t="s">
        <v>5</v>
      </c>
      <c r="V31" s="126" t="s">
        <v>2</v>
      </c>
      <c r="W31" s="126" t="s">
        <v>2</v>
      </c>
      <c r="X31" s="126" t="s">
        <v>2</v>
      </c>
      <c r="Y31" s="159" t="s">
        <v>8</v>
      </c>
      <c r="Z31" s="159" t="s">
        <v>8</v>
      </c>
      <c r="AA31" s="159" t="s">
        <v>8</v>
      </c>
      <c r="AB31" s="199" t="s">
        <v>9</v>
      </c>
      <c r="AC31" s="144" t="s">
        <v>4</v>
      </c>
      <c r="AD31" s="202" t="s">
        <v>11</v>
      </c>
      <c r="AE31" s="202" t="s">
        <v>11</v>
      </c>
      <c r="AF31" s="200" t="s">
        <v>2</v>
      </c>
      <c r="AG31" s="200" t="s">
        <v>2</v>
      </c>
      <c r="AH31" s="202" t="s">
        <v>11</v>
      </c>
      <c r="AI31" s="202" t="s">
        <v>11</v>
      </c>
      <c r="AJ31" s="144" t="s">
        <v>3</v>
      </c>
      <c r="AK31" s="202" t="s">
        <v>11</v>
      </c>
      <c r="AL31" s="200" t="s">
        <v>2</v>
      </c>
      <c r="AM31" s="202" t="s">
        <v>11</v>
      </c>
      <c r="AN31" s="202" t="s">
        <v>11</v>
      </c>
      <c r="AO31" s="202" t="s">
        <v>11</v>
      </c>
      <c r="AP31" s="206" t="s">
        <v>9</v>
      </c>
      <c r="AQ31" s="200" t="s">
        <v>2</v>
      </c>
      <c r="AR31" s="206" t="s">
        <v>8</v>
      </c>
      <c r="AS31" s="200" t="s">
        <v>2</v>
      </c>
      <c r="AT31" s="206" t="s">
        <v>8</v>
      </c>
      <c r="AU31" s="206" t="s">
        <v>8</v>
      </c>
      <c r="AV31" s="206" t="s">
        <v>8</v>
      </c>
      <c r="AW31" s="155" t="s">
        <v>11</v>
      </c>
      <c r="AX31" s="200" t="s">
        <v>2</v>
      </c>
      <c r="AY31" s="204" t="s">
        <v>5</v>
      </c>
      <c r="AZ31" s="204" t="s">
        <v>5</v>
      </c>
      <c r="BA31" s="200" t="s">
        <v>2</v>
      </c>
      <c r="BB31" s="155" t="s">
        <v>11</v>
      </c>
      <c r="BC31" s="204" t="s">
        <v>5</v>
      </c>
      <c r="BD31" s="204" t="s">
        <v>5</v>
      </c>
      <c r="BE31" s="200" t="s">
        <v>2</v>
      </c>
      <c r="BF31" s="155" t="s">
        <v>11</v>
      </c>
      <c r="BG31" s="155" t="s">
        <v>11</v>
      </c>
      <c r="BH31" s="155" t="s">
        <v>11</v>
      </c>
      <c r="BI31" s="155" t="s">
        <v>11</v>
      </c>
      <c r="BJ31" s="155" t="s">
        <v>11</v>
      </c>
      <c r="BK31" s="136" t="s">
        <v>2</v>
      </c>
      <c r="BL31" s="136" t="s">
        <v>2</v>
      </c>
      <c r="BM31" s="153" t="s">
        <v>8</v>
      </c>
      <c r="BN31" s="153" t="s">
        <v>8</v>
      </c>
      <c r="BO31" s="153" t="s">
        <v>8</v>
      </c>
      <c r="BP31" s="153" t="s">
        <v>8</v>
      </c>
      <c r="BQ31" s="136" t="s">
        <v>2</v>
      </c>
      <c r="BR31" s="153" t="s">
        <v>8</v>
      </c>
      <c r="BS31" s="136" t="s">
        <v>2</v>
      </c>
      <c r="BT31" s="135" t="s">
        <v>5</v>
      </c>
      <c r="BU31" s="136" t="s">
        <v>2</v>
      </c>
      <c r="BV31" s="136" t="s">
        <v>2</v>
      </c>
      <c r="BW31" s="155" t="s">
        <v>11</v>
      </c>
      <c r="BX31" s="155" t="s">
        <v>11</v>
      </c>
      <c r="BY31" s="155" t="s">
        <v>11</v>
      </c>
      <c r="BZ31" s="146" t="s">
        <v>117</v>
      </c>
      <c r="CA31" s="153" t="s">
        <v>7</v>
      </c>
      <c r="CB31" s="136" t="s">
        <v>2</v>
      </c>
      <c r="CC31" s="153" t="s">
        <v>7</v>
      </c>
      <c r="CD31" s="153" t="s">
        <v>7</v>
      </c>
      <c r="CE31" s="153" t="s">
        <v>7</v>
      </c>
      <c r="CF31" s="153" t="s">
        <v>7</v>
      </c>
      <c r="CG31" s="136" t="s">
        <v>2</v>
      </c>
      <c r="CH31" s="155" t="s">
        <v>11</v>
      </c>
      <c r="CI31" s="155" t="s">
        <v>11</v>
      </c>
      <c r="CJ31" s="155" t="s">
        <v>11</v>
      </c>
      <c r="CK31" s="155" t="s">
        <v>11</v>
      </c>
      <c r="CL31" s="155" t="s">
        <v>11</v>
      </c>
      <c r="CM31" s="136" t="s">
        <v>2</v>
      </c>
      <c r="CN31" s="136" t="s">
        <v>2</v>
      </c>
      <c r="CO31" s="162" t="s">
        <v>334</v>
      </c>
      <c r="CP31" s="146" t="s">
        <v>117</v>
      </c>
      <c r="CQ31" s="155" t="s">
        <v>11</v>
      </c>
      <c r="CR31" s="214" t="s">
        <v>27</v>
      </c>
      <c r="CS31" s="214" t="s">
        <v>27</v>
      </c>
      <c r="CT31" s="136" t="s">
        <v>2</v>
      </c>
      <c r="CU31" s="136" t="s">
        <v>2</v>
      </c>
      <c r="CV31" s="136" t="s">
        <v>2</v>
      </c>
      <c r="CW31" s="155" t="s">
        <v>11</v>
      </c>
      <c r="CX31" s="155" t="s">
        <v>11</v>
      </c>
      <c r="CY31" s="136" t="s">
        <v>2</v>
      </c>
      <c r="CZ31" s="155" t="s">
        <v>11</v>
      </c>
      <c r="DA31" s="155" t="s">
        <v>11</v>
      </c>
      <c r="DB31" s="146" t="s">
        <v>117</v>
      </c>
      <c r="DC31" s="135" t="s">
        <v>114</v>
      </c>
      <c r="DD31" s="135" t="s">
        <v>114</v>
      </c>
      <c r="DE31" s="135" t="s">
        <v>114</v>
      </c>
      <c r="DF31" s="136" t="s">
        <v>2</v>
      </c>
      <c r="DG31" s="135" t="s">
        <v>114</v>
      </c>
      <c r="DH31" s="135" t="s">
        <v>114</v>
      </c>
      <c r="DI31" s="136" t="s">
        <v>2</v>
      </c>
      <c r="DJ31" s="153" t="s">
        <v>140</v>
      </c>
      <c r="DK31" s="153" t="s">
        <v>140</v>
      </c>
      <c r="DL31" s="162" t="s">
        <v>284</v>
      </c>
      <c r="DM31" s="153" t="s">
        <v>140</v>
      </c>
      <c r="DN31" s="153" t="s">
        <v>140</v>
      </c>
      <c r="DO31" s="136" t="s">
        <v>2</v>
      </c>
      <c r="DP31" s="136" t="s">
        <v>2</v>
      </c>
      <c r="DQ31" s="210" t="s">
        <v>12</v>
      </c>
      <c r="DR31" s="155" t="s">
        <v>11</v>
      </c>
      <c r="DS31" s="155" t="s">
        <v>11</v>
      </c>
      <c r="DT31" s="210" t="s">
        <v>12</v>
      </c>
      <c r="DU31" s="136" t="s">
        <v>2</v>
      </c>
      <c r="DV31" s="135" t="s">
        <v>114</v>
      </c>
      <c r="DW31" s="136" t="s">
        <v>2</v>
      </c>
      <c r="DX31" s="155" t="s">
        <v>11</v>
      </c>
      <c r="DY31" s="136" t="s">
        <v>2</v>
      </c>
      <c r="DZ31" s="136" t="s">
        <v>2</v>
      </c>
      <c r="EA31" s="155" t="s">
        <v>11</v>
      </c>
      <c r="EB31" s="155" t="s">
        <v>11</v>
      </c>
      <c r="EC31" s="155" t="s">
        <v>11</v>
      </c>
      <c r="ED31" s="146" t="s">
        <v>117</v>
      </c>
      <c r="EE31" s="167" t="s">
        <v>12</v>
      </c>
      <c r="EF31" s="167" t="s">
        <v>12</v>
      </c>
      <c r="EG31" s="236" t="s">
        <v>2</v>
      </c>
      <c r="EH31" s="236" t="s">
        <v>2</v>
      </c>
      <c r="EI31" s="167" t="s">
        <v>12</v>
      </c>
      <c r="EJ31" s="236" t="s">
        <v>114</v>
      </c>
      <c r="EK31" s="167" t="s">
        <v>117</v>
      </c>
      <c r="EL31" s="167" t="s">
        <v>113</v>
      </c>
      <c r="EM31" s="167" t="s">
        <v>113</v>
      </c>
      <c r="EN31" s="236" t="s">
        <v>2</v>
      </c>
      <c r="EO31" s="236" t="s">
        <v>2</v>
      </c>
      <c r="EP31" s="236" t="s">
        <v>114</v>
      </c>
      <c r="EQ31" s="236" t="s">
        <v>114</v>
      </c>
      <c r="ER31" s="167" t="s">
        <v>117</v>
      </c>
      <c r="ES31" s="236" t="s">
        <v>2</v>
      </c>
      <c r="ET31" s="236" t="s">
        <v>140</v>
      </c>
      <c r="EU31" s="236" t="s">
        <v>140</v>
      </c>
      <c r="EV31" s="236" t="s">
        <v>140</v>
      </c>
      <c r="EW31" s="236" t="s">
        <v>140</v>
      </c>
      <c r="EX31" s="236" t="s">
        <v>140</v>
      </c>
      <c r="EY31" s="236" t="s">
        <v>2</v>
      </c>
      <c r="EZ31" s="167" t="s">
        <v>11</v>
      </c>
      <c r="FA31" s="167" t="s">
        <v>11</v>
      </c>
      <c r="FB31" s="167" t="s">
        <v>11</v>
      </c>
      <c r="FC31" s="167" t="s">
        <v>11</v>
      </c>
      <c r="FD31" s="167" t="s">
        <v>11</v>
      </c>
      <c r="FE31" s="236" t="s">
        <v>2</v>
      </c>
      <c r="FF31" s="236" t="s">
        <v>2</v>
      </c>
      <c r="FG31" s="167" t="s">
        <v>12</v>
      </c>
      <c r="FH31" s="167" t="s">
        <v>12</v>
      </c>
      <c r="FI31" s="167" t="s">
        <v>12</v>
      </c>
      <c r="FJ31" s="236" t="s">
        <v>2</v>
      </c>
      <c r="FK31" s="236" t="s">
        <v>2</v>
      </c>
      <c r="FL31" s="236" t="s">
        <v>140</v>
      </c>
      <c r="FM31" s="167" t="s">
        <v>117</v>
      </c>
      <c r="FN31" s="236" t="s">
        <v>140</v>
      </c>
      <c r="FO31" s="236" t="s">
        <v>140</v>
      </c>
      <c r="FP31" s="236" t="s">
        <v>140</v>
      </c>
      <c r="FQ31" s="236" t="s">
        <v>140</v>
      </c>
      <c r="FR31" s="236" t="s">
        <v>140</v>
      </c>
      <c r="FS31" s="236" t="s">
        <v>2</v>
      </c>
      <c r="FT31" s="236" t="s">
        <v>2</v>
      </c>
      <c r="FU31" s="167" t="s">
        <v>11</v>
      </c>
      <c r="FV31" s="167" t="s">
        <v>11</v>
      </c>
      <c r="FW31" s="167" t="s">
        <v>11</v>
      </c>
      <c r="FX31" s="236" t="s">
        <v>114</v>
      </c>
      <c r="FY31" s="236" t="s">
        <v>2</v>
      </c>
      <c r="FZ31" s="162" t="s">
        <v>336</v>
      </c>
      <c r="GA31" s="236" t="s">
        <v>2</v>
      </c>
      <c r="GB31" s="167" t="s">
        <v>11</v>
      </c>
      <c r="GC31" s="167" t="s">
        <v>177</v>
      </c>
      <c r="GD31" s="162" t="s">
        <v>155</v>
      </c>
      <c r="GE31" s="167" t="s">
        <v>11</v>
      </c>
      <c r="GF31" s="167" t="s">
        <v>11</v>
      </c>
      <c r="GG31" s="236" t="s">
        <v>2</v>
      </c>
      <c r="GH31" s="236" t="s">
        <v>2</v>
      </c>
      <c r="GI31" s="128" t="s">
        <v>51</v>
      </c>
      <c r="GJ31" s="128" t="s">
        <v>51</v>
      </c>
      <c r="GK31" s="129" t="s">
        <v>2</v>
      </c>
      <c r="GL31" s="129" t="s">
        <v>2</v>
      </c>
      <c r="GM31" s="154" t="s">
        <v>337</v>
      </c>
      <c r="GN31" s="209" t="s">
        <v>122</v>
      </c>
      <c r="GO31" s="88" t="s">
        <v>142</v>
      </c>
      <c r="GP31" s="209" t="s">
        <v>122</v>
      </c>
      <c r="GQ31" s="129" t="s">
        <v>2</v>
      </c>
      <c r="GR31" s="128" t="s">
        <v>123</v>
      </c>
      <c r="GS31" s="208" t="s">
        <v>338</v>
      </c>
      <c r="GT31" s="128" t="s">
        <v>123</v>
      </c>
      <c r="GU31" s="212" t="s">
        <v>61</v>
      </c>
      <c r="GV31" s="129" t="s">
        <v>2</v>
      </c>
      <c r="GW31" s="131" t="s">
        <v>339</v>
      </c>
      <c r="GX31" s="154" t="s">
        <v>340</v>
      </c>
      <c r="GY31" s="154" t="s">
        <v>341</v>
      </c>
      <c r="GZ31" s="128" t="s">
        <v>123</v>
      </c>
      <c r="HA31" s="154" t="s">
        <v>342</v>
      </c>
      <c r="HB31" s="129" t="s">
        <v>2</v>
      </c>
      <c r="HC31" s="129" t="s">
        <v>2</v>
      </c>
      <c r="HD31" s="131" t="s">
        <v>343</v>
      </c>
      <c r="HE31" s="154" t="s">
        <v>294</v>
      </c>
      <c r="HF31" s="129" t="s">
        <v>2</v>
      </c>
      <c r="HG31" s="129" t="s">
        <v>2</v>
      </c>
      <c r="HH31" s="154" t="s">
        <v>330</v>
      </c>
      <c r="HI31" s="128" t="s">
        <v>123</v>
      </c>
      <c r="HJ31" s="62" t="s">
        <v>144</v>
      </c>
      <c r="HK31" s="90" t="s">
        <v>158</v>
      </c>
      <c r="HL31" s="56" t="s">
        <v>2</v>
      </c>
      <c r="HM31" s="54" t="s">
        <v>123</v>
      </c>
      <c r="HN31" s="54" t="s">
        <v>123</v>
      </c>
      <c r="HO31" s="90" t="s">
        <v>310</v>
      </c>
      <c r="HP31" s="82" t="s">
        <v>45</v>
      </c>
      <c r="HQ31" s="56" t="s">
        <v>2</v>
      </c>
      <c r="HR31" s="90" t="s">
        <v>161</v>
      </c>
      <c r="HS31" s="56" t="s">
        <v>2</v>
      </c>
      <c r="HT31" s="82" t="s">
        <v>146</v>
      </c>
      <c r="HU31" s="82" t="s">
        <v>146</v>
      </c>
      <c r="HV31" s="82" t="s">
        <v>146</v>
      </c>
      <c r="HW31" s="56" t="s">
        <v>2</v>
      </c>
      <c r="HX31" s="62" t="s">
        <v>149</v>
      </c>
      <c r="HY31" s="54" t="s">
        <v>128</v>
      </c>
      <c r="HZ31" s="54" t="s">
        <v>128</v>
      </c>
      <c r="IA31" s="54" t="s">
        <v>128</v>
      </c>
      <c r="IB31" s="117" t="s">
        <v>273</v>
      </c>
      <c r="IC31" s="58" t="s">
        <v>67</v>
      </c>
      <c r="ID31" s="56" t="s">
        <v>2</v>
      </c>
      <c r="IE31" s="117" t="s">
        <v>344</v>
      </c>
      <c r="IF31" s="56" t="s">
        <v>2</v>
      </c>
      <c r="IG31" s="80" t="s">
        <v>119</v>
      </c>
      <c r="IH31" s="80" t="s">
        <v>119</v>
      </c>
      <c r="II31" s="80" t="s">
        <v>119</v>
      </c>
      <c r="IJ31" s="56" t="s">
        <v>2</v>
      </c>
      <c r="IK31" s="54" t="s">
        <v>128</v>
      </c>
      <c r="IL31" s="56" t="s">
        <v>2</v>
      </c>
      <c r="IM31" s="117" t="s">
        <v>320</v>
      </c>
      <c r="IN31" s="117" t="s">
        <v>320</v>
      </c>
      <c r="IO31" s="117" t="s">
        <v>320</v>
      </c>
      <c r="IP31" s="56" t="s">
        <v>2</v>
      </c>
      <c r="IQ31" s="90" t="s">
        <v>146</v>
      </c>
      <c r="IR31" s="81" t="s">
        <v>146</v>
      </c>
      <c r="IS31" s="56" t="s">
        <v>2</v>
      </c>
      <c r="IT31" s="58" t="s">
        <v>67</v>
      </c>
      <c r="IU31" s="90" t="s">
        <v>327</v>
      </c>
      <c r="IV31" s="58" t="s">
        <v>67</v>
      </c>
      <c r="IW31" s="58" t="s">
        <v>67</v>
      </c>
      <c r="IX31" s="58" t="s">
        <v>67</v>
      </c>
      <c r="IY31" s="56" t="s">
        <v>2</v>
      </c>
      <c r="IZ31" s="56" t="s">
        <v>2</v>
      </c>
      <c r="JA31" s="80" t="s">
        <v>119</v>
      </c>
      <c r="JB31" s="80" t="s">
        <v>119</v>
      </c>
      <c r="JC31" s="80" t="s">
        <v>119</v>
      </c>
      <c r="JD31" s="80" t="s">
        <v>119</v>
      </c>
      <c r="JE31" s="56" t="s">
        <v>130</v>
      </c>
      <c r="JF31" s="56" t="s">
        <v>2</v>
      </c>
      <c r="JG31" s="56" t="s">
        <v>2</v>
      </c>
      <c r="JH31" s="80" t="s">
        <v>119</v>
      </c>
      <c r="JI31" s="80" t="s">
        <v>119</v>
      </c>
      <c r="JJ31" s="80" t="s">
        <v>119</v>
      </c>
      <c r="JK31" s="56" t="s">
        <v>2</v>
      </c>
      <c r="JL31" s="56" t="s">
        <v>2</v>
      </c>
      <c r="JM31" s="80" t="s">
        <v>119</v>
      </c>
      <c r="JN31" s="62" t="s">
        <v>149</v>
      </c>
      <c r="JO31" s="90" t="s">
        <v>161</v>
      </c>
      <c r="JP31" s="90" t="s">
        <v>320</v>
      </c>
      <c r="JQ31" s="81" t="s">
        <v>146</v>
      </c>
      <c r="JR31" s="56" t="s">
        <v>2</v>
      </c>
      <c r="JS31" s="56" t="s">
        <v>2</v>
      </c>
      <c r="JT31" s="80" t="s">
        <v>119</v>
      </c>
      <c r="JU31" s="62" t="s">
        <v>149</v>
      </c>
      <c r="JV31" s="56" t="s">
        <v>2</v>
      </c>
      <c r="JW31" s="80" t="s">
        <v>119</v>
      </c>
      <c r="JX31" s="80" t="s">
        <v>119</v>
      </c>
      <c r="JY31" s="80" t="s">
        <v>119</v>
      </c>
      <c r="JZ31" s="80" t="s">
        <v>119</v>
      </c>
      <c r="KA31" s="80" t="s">
        <v>119</v>
      </c>
      <c r="KB31" s="56" t="s">
        <v>2</v>
      </c>
      <c r="KC31" s="58" t="s">
        <v>67</v>
      </c>
      <c r="KD31" s="58" t="s">
        <v>67</v>
      </c>
      <c r="KE31" s="58" t="s">
        <v>67</v>
      </c>
      <c r="KF31" s="56" t="s">
        <v>2</v>
      </c>
      <c r="KG31" s="82" t="s">
        <v>45</v>
      </c>
      <c r="KH31" s="58" t="s">
        <v>67</v>
      </c>
      <c r="KI31" s="56" t="s">
        <v>2</v>
      </c>
      <c r="KJ31" s="80" t="s">
        <v>119</v>
      </c>
      <c r="KK31" s="80" t="s">
        <v>119</v>
      </c>
      <c r="KL31" s="80" t="s">
        <v>119</v>
      </c>
      <c r="KM31" s="80" t="s">
        <v>119</v>
      </c>
      <c r="KN31" s="80" t="s">
        <v>119</v>
      </c>
      <c r="KO31" s="56" t="s">
        <v>2</v>
      </c>
      <c r="KP31" s="56" t="s">
        <v>2</v>
      </c>
      <c r="KQ31" s="238" t="s">
        <v>128</v>
      </c>
      <c r="KR31" s="238" t="s">
        <v>128</v>
      </c>
      <c r="KS31" s="238" t="s">
        <v>128</v>
      </c>
      <c r="KT31" s="56" t="s">
        <v>2</v>
      </c>
      <c r="KU31" s="56" t="s">
        <v>2</v>
      </c>
      <c r="KV31" s="80" t="s">
        <v>119</v>
      </c>
      <c r="KW31" s="62" t="s">
        <v>149</v>
      </c>
      <c r="KX31" s="81" t="s">
        <v>146</v>
      </c>
      <c r="KY31" s="56" t="s">
        <v>2</v>
      </c>
      <c r="KZ31" s="81" t="s">
        <v>146</v>
      </c>
      <c r="LA31" s="81" t="s">
        <v>146</v>
      </c>
      <c r="LB31" s="81" t="s">
        <v>146</v>
      </c>
      <c r="LC31" s="81" t="s">
        <v>146</v>
      </c>
      <c r="LD31" s="56" t="s">
        <v>2</v>
      </c>
      <c r="LE31" s="58" t="s">
        <v>67</v>
      </c>
      <c r="LF31" s="82" t="s">
        <v>45</v>
      </c>
      <c r="LG31" s="82" t="s">
        <v>45</v>
      </c>
      <c r="LH31" s="82" t="s">
        <v>45</v>
      </c>
      <c r="LI31" s="56" t="s">
        <v>2</v>
      </c>
      <c r="LJ31" s="56" t="s">
        <v>2</v>
      </c>
      <c r="LK31" s="62" t="s">
        <v>149</v>
      </c>
      <c r="LL31" s="58" t="s">
        <v>67</v>
      </c>
      <c r="LM31" s="58" t="s">
        <v>67</v>
      </c>
      <c r="LN31" s="58" t="s">
        <v>67</v>
      </c>
      <c r="LO31" s="58" t="s">
        <v>67</v>
      </c>
      <c r="LP31" s="82" t="s">
        <v>45</v>
      </c>
      <c r="LQ31" s="56" t="s">
        <v>2</v>
      </c>
      <c r="LR31" s="56" t="s">
        <v>2</v>
      </c>
      <c r="LS31" s="58" t="s">
        <v>67</v>
      </c>
      <c r="LT31" s="56" t="s">
        <v>2</v>
      </c>
      <c r="LU31" s="81" t="s">
        <v>146</v>
      </c>
      <c r="LV31" s="81" t="s">
        <v>146</v>
      </c>
      <c r="LW31" s="81" t="s">
        <v>146</v>
      </c>
      <c r="LX31" s="81" t="s">
        <v>146</v>
      </c>
      <c r="LY31" s="56" t="s">
        <v>2</v>
      </c>
    </row>
    <row r="32" spans="1:365" ht="13.5" thickBot="1">
      <c r="C32" s="510"/>
      <c r="D32" s="473"/>
      <c r="E32" s="521" t="s">
        <v>507</v>
      </c>
      <c r="F32" s="518"/>
      <c r="G32" s="522" t="s">
        <v>507</v>
      </c>
      <c r="H32" s="473"/>
      <c r="I32" s="473"/>
      <c r="J32" s="515"/>
      <c r="K32" s="473" t="s">
        <v>507</v>
      </c>
      <c r="L32" s="473"/>
      <c r="M32" s="472"/>
      <c r="N32" s="472">
        <v>2</v>
      </c>
      <c r="O32" s="48" t="s">
        <v>345</v>
      </c>
      <c r="P32" s="535"/>
      <c r="Q32" s="572"/>
      <c r="R32" s="572"/>
      <c r="S32" s="572"/>
      <c r="T32" s="572"/>
      <c r="U32" s="572"/>
      <c r="V32" s="573"/>
      <c r="W32" s="535"/>
      <c r="X32" s="572"/>
      <c r="Y32" s="577"/>
      <c r="Z32" s="577"/>
      <c r="AA32" s="577"/>
      <c r="AB32" s="578"/>
      <c r="AC32" s="579"/>
      <c r="AD32" s="535"/>
      <c r="AE32" s="572"/>
      <c r="AF32" s="572"/>
      <c r="AG32" s="572"/>
      <c r="AH32" s="572"/>
      <c r="AI32" s="572"/>
      <c r="AJ32" s="573"/>
      <c r="AK32" s="535"/>
      <c r="AL32" s="572"/>
      <c r="AM32" s="572"/>
      <c r="AN32" s="572"/>
      <c r="AO32" s="572"/>
      <c r="AP32" s="572"/>
      <c r="AQ32" s="573"/>
      <c r="AR32" s="535"/>
      <c r="AS32" s="572"/>
      <c r="AT32" s="572"/>
      <c r="AU32" s="572"/>
      <c r="AV32" s="572"/>
      <c r="AW32" s="572"/>
      <c r="AX32" s="573"/>
      <c r="AY32" s="535"/>
      <c r="AZ32" s="572"/>
      <c r="BA32" s="572"/>
      <c r="BB32" s="572"/>
      <c r="BC32" s="572"/>
      <c r="BD32" s="572"/>
      <c r="BE32" s="573"/>
      <c r="BF32" s="155" t="s">
        <v>11</v>
      </c>
      <c r="BG32" s="155" t="s">
        <v>11</v>
      </c>
      <c r="BH32" s="155" t="s">
        <v>11</v>
      </c>
      <c r="BI32" s="155" t="s">
        <v>11</v>
      </c>
      <c r="BJ32" s="155" t="s">
        <v>11</v>
      </c>
      <c r="BK32" s="136" t="s">
        <v>2</v>
      </c>
      <c r="BL32" s="136" t="s">
        <v>2</v>
      </c>
      <c r="BM32" s="155" t="s">
        <v>11</v>
      </c>
      <c r="BN32" s="155" t="s">
        <v>11</v>
      </c>
      <c r="BO32" s="155" t="s">
        <v>11</v>
      </c>
      <c r="BP32" s="155" t="s">
        <v>11</v>
      </c>
      <c r="BQ32" s="155" t="s">
        <v>11</v>
      </c>
      <c r="BR32" s="136" t="s">
        <v>2</v>
      </c>
      <c r="BS32" s="136" t="s">
        <v>2</v>
      </c>
      <c r="BT32" s="153" t="s">
        <v>8</v>
      </c>
      <c r="BU32" s="153" t="s">
        <v>8</v>
      </c>
      <c r="BV32" s="153" t="s">
        <v>8</v>
      </c>
      <c r="BW32" s="153" t="s">
        <v>8</v>
      </c>
      <c r="BX32" s="136" t="s">
        <v>2</v>
      </c>
      <c r="BY32" s="153" t="s">
        <v>8</v>
      </c>
      <c r="BZ32" s="136" t="s">
        <v>2</v>
      </c>
      <c r="CA32" s="210" t="s">
        <v>12</v>
      </c>
      <c r="CB32" s="210" t="s">
        <v>12</v>
      </c>
      <c r="CC32" s="136" t="s">
        <v>2</v>
      </c>
      <c r="CD32" s="210" t="s">
        <v>12</v>
      </c>
      <c r="CE32" s="210" t="s">
        <v>12</v>
      </c>
      <c r="CF32" s="146" t="s">
        <v>117</v>
      </c>
      <c r="CG32" s="136" t="s">
        <v>2</v>
      </c>
      <c r="CH32" s="155" t="s">
        <v>11</v>
      </c>
      <c r="CI32" s="155" t="s">
        <v>11</v>
      </c>
      <c r="CJ32" s="155" t="s">
        <v>11</v>
      </c>
      <c r="CK32" s="155" t="s">
        <v>11</v>
      </c>
      <c r="CL32" s="136" t="s">
        <v>2</v>
      </c>
      <c r="CM32" s="136" t="s">
        <v>2</v>
      </c>
      <c r="CN32" s="146" t="s">
        <v>117</v>
      </c>
      <c r="CO32" s="153" t="s">
        <v>7</v>
      </c>
      <c r="CP32" s="153" t="s">
        <v>7</v>
      </c>
      <c r="CQ32" s="162" t="s">
        <v>346</v>
      </c>
      <c r="CR32" s="136" t="s">
        <v>2</v>
      </c>
      <c r="CS32" s="153" t="s">
        <v>7</v>
      </c>
      <c r="CT32" s="153" t="s">
        <v>7</v>
      </c>
      <c r="CU32" s="136" t="s">
        <v>2</v>
      </c>
      <c r="CV32" s="210" t="s">
        <v>12</v>
      </c>
      <c r="CW32" s="210" t="s">
        <v>12</v>
      </c>
      <c r="CX32" s="210" t="s">
        <v>12</v>
      </c>
      <c r="CY32" s="210" t="s">
        <v>12</v>
      </c>
      <c r="CZ32" s="210" t="s">
        <v>12</v>
      </c>
      <c r="DA32" s="136" t="s">
        <v>2</v>
      </c>
      <c r="DB32" s="136" t="s">
        <v>2</v>
      </c>
      <c r="DC32" s="153" t="s">
        <v>7</v>
      </c>
      <c r="DD32" s="153" t="s">
        <v>7</v>
      </c>
      <c r="DE32" s="153" t="s">
        <v>7</v>
      </c>
      <c r="DF32" s="136" t="s">
        <v>2</v>
      </c>
      <c r="DG32" s="153" t="s">
        <v>7</v>
      </c>
      <c r="DH32" s="153" t="s">
        <v>7</v>
      </c>
      <c r="DI32" s="136" t="s">
        <v>2</v>
      </c>
      <c r="DJ32" s="210" t="s">
        <v>12</v>
      </c>
      <c r="DK32" s="210" t="s">
        <v>12</v>
      </c>
      <c r="DL32" s="210" t="s">
        <v>12</v>
      </c>
      <c r="DM32" s="210" t="s">
        <v>12</v>
      </c>
      <c r="DN32" s="136" t="s">
        <v>2</v>
      </c>
      <c r="DO32" s="135" t="s">
        <v>114</v>
      </c>
      <c r="DP32" s="136" t="s">
        <v>2</v>
      </c>
      <c r="DQ32" s="155" t="s">
        <v>11</v>
      </c>
      <c r="DR32" s="136" t="s">
        <v>2</v>
      </c>
      <c r="DS32" s="136" t="s">
        <v>2</v>
      </c>
      <c r="DT32" s="155" t="s">
        <v>11</v>
      </c>
      <c r="DU32" s="155" t="s">
        <v>11</v>
      </c>
      <c r="DV32" s="155" t="s">
        <v>11</v>
      </c>
      <c r="DW32" s="146" t="s">
        <v>117</v>
      </c>
      <c r="DX32" s="136" t="s">
        <v>2</v>
      </c>
      <c r="DY32" s="155" t="s">
        <v>11</v>
      </c>
      <c r="DZ32" s="155" t="s">
        <v>11</v>
      </c>
      <c r="EA32" s="155" t="s">
        <v>11</v>
      </c>
      <c r="EB32" s="155" t="s">
        <v>11</v>
      </c>
      <c r="EC32" s="153" t="s">
        <v>7</v>
      </c>
      <c r="ED32" s="136" t="s">
        <v>2</v>
      </c>
      <c r="EE32" s="221" t="s">
        <v>11</v>
      </c>
      <c r="EF32" s="221" t="s">
        <v>11</v>
      </c>
      <c r="EG32" s="221" t="s">
        <v>11</v>
      </c>
      <c r="EH32" s="221" t="s">
        <v>117</v>
      </c>
      <c r="EI32" s="221" t="s">
        <v>11</v>
      </c>
      <c r="EJ32" s="223" t="s">
        <v>2</v>
      </c>
      <c r="EK32" s="223" t="s">
        <v>2</v>
      </c>
      <c r="EL32" s="223" t="s">
        <v>7</v>
      </c>
      <c r="EM32" s="223" t="s">
        <v>7</v>
      </c>
      <c r="EN32" s="223" t="s">
        <v>7</v>
      </c>
      <c r="EO32" s="223" t="s">
        <v>2</v>
      </c>
      <c r="EP32" s="223" t="s">
        <v>7</v>
      </c>
      <c r="EQ32" s="223" t="s">
        <v>7</v>
      </c>
      <c r="ER32" s="223" t="s">
        <v>2</v>
      </c>
      <c r="ES32" s="221" t="s">
        <v>12</v>
      </c>
      <c r="ET32" s="221" t="s">
        <v>12</v>
      </c>
      <c r="EU32" s="221" t="s">
        <v>12</v>
      </c>
      <c r="EV32" s="223" t="s">
        <v>2</v>
      </c>
      <c r="EW32" s="223" t="s">
        <v>2</v>
      </c>
      <c r="EX32" s="223" t="s">
        <v>114</v>
      </c>
      <c r="EY32" s="221" t="s">
        <v>117</v>
      </c>
      <c r="EZ32" s="223" t="s">
        <v>114</v>
      </c>
      <c r="FA32" s="223" t="s">
        <v>2</v>
      </c>
      <c r="FB32" s="221" t="s">
        <v>11</v>
      </c>
      <c r="FC32" s="221" t="s">
        <v>11</v>
      </c>
      <c r="FD32" s="221" t="s">
        <v>11</v>
      </c>
      <c r="FE32" s="223" t="s">
        <v>7</v>
      </c>
      <c r="FF32" s="223" t="s">
        <v>2</v>
      </c>
      <c r="FG32" s="223" t="s">
        <v>7</v>
      </c>
      <c r="FH32" s="221" t="s">
        <v>11</v>
      </c>
      <c r="FI32" s="221" t="s">
        <v>11</v>
      </c>
      <c r="FJ32" s="221" t="s">
        <v>11</v>
      </c>
      <c r="FK32" s="221" t="s">
        <v>11</v>
      </c>
      <c r="FL32" s="223" t="s">
        <v>2</v>
      </c>
      <c r="FM32" s="223" t="s">
        <v>2</v>
      </c>
      <c r="FN32" s="221" t="s">
        <v>11</v>
      </c>
      <c r="FO32" s="162" t="s">
        <v>155</v>
      </c>
      <c r="FP32" s="221" t="s">
        <v>11</v>
      </c>
      <c r="FQ32" s="221" t="s">
        <v>11</v>
      </c>
      <c r="FR32" s="221" t="s">
        <v>11</v>
      </c>
      <c r="FS32" s="223" t="s">
        <v>2</v>
      </c>
      <c r="FT32" s="223" t="s">
        <v>2</v>
      </c>
      <c r="FU32" s="223" t="s">
        <v>7</v>
      </c>
      <c r="FV32" s="223" t="s">
        <v>2</v>
      </c>
      <c r="FW32" s="223" t="s">
        <v>7</v>
      </c>
      <c r="FX32" s="223" t="s">
        <v>7</v>
      </c>
      <c r="FY32" s="223" t="s">
        <v>7</v>
      </c>
      <c r="FZ32" s="223" t="s">
        <v>7</v>
      </c>
      <c r="GA32" s="223" t="s">
        <v>2</v>
      </c>
      <c r="GB32" s="221" t="s">
        <v>11</v>
      </c>
      <c r="GC32" s="221" t="s">
        <v>11</v>
      </c>
      <c r="GD32" s="221" t="s">
        <v>11</v>
      </c>
      <c r="GE32" s="221" t="s">
        <v>11</v>
      </c>
      <c r="GF32" s="223" t="s">
        <v>114</v>
      </c>
      <c r="GG32" s="223" t="s">
        <v>2</v>
      </c>
      <c r="GH32" s="223" t="s">
        <v>2</v>
      </c>
      <c r="GI32" s="212" t="s">
        <v>45</v>
      </c>
      <c r="GJ32" s="212" t="s">
        <v>45</v>
      </c>
      <c r="GK32" s="212" t="s">
        <v>45</v>
      </c>
      <c r="GL32" s="129" t="s">
        <v>2</v>
      </c>
      <c r="GM32" s="129" t="s">
        <v>2</v>
      </c>
      <c r="GN32" s="141" t="s">
        <v>120</v>
      </c>
      <c r="GO32" s="88" t="s">
        <v>142</v>
      </c>
      <c r="GP32" s="129" t="s">
        <v>2</v>
      </c>
      <c r="GQ32" s="209" t="s">
        <v>122</v>
      </c>
      <c r="GR32" s="128" t="s">
        <v>123</v>
      </c>
      <c r="GS32" s="212" t="s">
        <v>61</v>
      </c>
      <c r="GT32" s="237" t="s">
        <v>347</v>
      </c>
      <c r="GU32" s="141" t="s">
        <v>120</v>
      </c>
      <c r="GV32" s="129" t="s">
        <v>2</v>
      </c>
      <c r="GW32" s="128" t="s">
        <v>123</v>
      </c>
      <c r="GX32" s="128" t="s">
        <v>123</v>
      </c>
      <c r="GY32" s="154" t="s">
        <v>348</v>
      </c>
      <c r="GZ32" s="209" t="s">
        <v>122</v>
      </c>
      <c r="HA32" s="209" t="s">
        <v>122</v>
      </c>
      <c r="HB32" s="129" t="s">
        <v>2</v>
      </c>
      <c r="HC32" s="129" t="s">
        <v>2</v>
      </c>
      <c r="HD32" s="131" t="s">
        <v>63</v>
      </c>
      <c r="HE32" s="212" t="s">
        <v>61</v>
      </c>
      <c r="HF32" s="154" t="s">
        <v>294</v>
      </c>
      <c r="HG32" s="129" t="s">
        <v>2</v>
      </c>
      <c r="HH32" s="129" t="s">
        <v>2</v>
      </c>
      <c r="HI32" s="141" t="s">
        <v>120</v>
      </c>
      <c r="HJ32" s="62" t="s">
        <v>144</v>
      </c>
      <c r="HK32" s="54" t="s">
        <v>123</v>
      </c>
      <c r="HL32" s="54" t="s">
        <v>123</v>
      </c>
      <c r="HM32" s="82" t="s">
        <v>61</v>
      </c>
      <c r="HN32" s="58" t="s">
        <v>63</v>
      </c>
      <c r="HO32" s="81" t="s">
        <v>194</v>
      </c>
      <c r="HP32" s="56" t="s">
        <v>2</v>
      </c>
      <c r="HQ32" s="56" t="s">
        <v>2</v>
      </c>
      <c r="HR32" s="58" t="s">
        <v>45</v>
      </c>
      <c r="HS32" s="58" t="s">
        <v>45</v>
      </c>
      <c r="HT32" s="90" t="s">
        <v>153</v>
      </c>
      <c r="HU32" s="56" t="s">
        <v>2</v>
      </c>
      <c r="HV32" s="56" t="s">
        <v>2</v>
      </c>
      <c r="HW32" s="80" t="s">
        <v>119</v>
      </c>
      <c r="HX32" s="62" t="s">
        <v>149</v>
      </c>
      <c r="HY32" s="58" t="s">
        <v>67</v>
      </c>
      <c r="HZ32" s="56" t="s">
        <v>2</v>
      </c>
      <c r="IA32" s="56" t="s">
        <v>2</v>
      </c>
      <c r="IB32" s="82" t="s">
        <v>45</v>
      </c>
      <c r="IC32" s="82" t="s">
        <v>45</v>
      </c>
      <c r="ID32" s="82" t="s">
        <v>59</v>
      </c>
      <c r="IE32" s="56" t="s">
        <v>2</v>
      </c>
      <c r="IF32" s="62" t="s">
        <v>150</v>
      </c>
      <c r="IG32" s="58" t="s">
        <v>67</v>
      </c>
      <c r="IH32" s="58" t="s">
        <v>67</v>
      </c>
      <c r="II32" s="90" t="s">
        <v>327</v>
      </c>
      <c r="IJ32" s="58" t="s">
        <v>67</v>
      </c>
      <c r="IK32" s="54" t="s">
        <v>128</v>
      </c>
      <c r="IL32" s="56" t="s">
        <v>2</v>
      </c>
      <c r="IM32" s="80" t="s">
        <v>119</v>
      </c>
      <c r="IN32" s="80" t="s">
        <v>119</v>
      </c>
      <c r="IO32" s="80" t="s">
        <v>119</v>
      </c>
      <c r="IP32" s="80" t="s">
        <v>119</v>
      </c>
      <c r="IQ32" s="80" t="s">
        <v>119</v>
      </c>
      <c r="IR32" s="56" t="s">
        <v>2</v>
      </c>
      <c r="IS32" s="56" t="s">
        <v>2</v>
      </c>
      <c r="IT32" s="58" t="s">
        <v>67</v>
      </c>
      <c r="IU32" s="90" t="s">
        <v>327</v>
      </c>
      <c r="IV32" s="58" t="s">
        <v>67</v>
      </c>
      <c r="IW32" s="56" t="s">
        <v>2</v>
      </c>
      <c r="IX32" s="56" t="s">
        <v>2</v>
      </c>
      <c r="IY32" s="80" t="s">
        <v>119</v>
      </c>
      <c r="IZ32" s="62" t="s">
        <v>149</v>
      </c>
      <c r="JA32" s="81" t="s">
        <v>146</v>
      </c>
      <c r="JB32" s="54" t="s">
        <v>128</v>
      </c>
      <c r="JC32" s="56" t="s">
        <v>2</v>
      </c>
      <c r="JD32" s="54" t="s">
        <v>128</v>
      </c>
      <c r="JE32" s="56" t="s">
        <v>130</v>
      </c>
      <c r="JF32" s="54" t="s">
        <v>128</v>
      </c>
      <c r="JG32" s="56" t="s">
        <v>2</v>
      </c>
      <c r="JH32" s="54" t="s">
        <v>128</v>
      </c>
      <c r="JI32" s="81" t="s">
        <v>146</v>
      </c>
      <c r="JJ32" s="81" t="s">
        <v>146</v>
      </c>
      <c r="JK32" s="56" t="s">
        <v>2</v>
      </c>
      <c r="JL32" s="80" t="s">
        <v>119</v>
      </c>
      <c r="JM32" s="81" t="s">
        <v>146</v>
      </c>
      <c r="JN32" s="56" t="s">
        <v>2</v>
      </c>
      <c r="JO32" s="238" t="s">
        <v>128</v>
      </c>
      <c r="JP32" s="238" t="s">
        <v>128</v>
      </c>
      <c r="JQ32" s="56" t="s">
        <v>2</v>
      </c>
      <c r="JR32" s="238" t="s">
        <v>128</v>
      </c>
      <c r="JS32" s="238" t="s">
        <v>128</v>
      </c>
      <c r="JT32" s="238" t="s">
        <v>128</v>
      </c>
      <c r="JU32" s="56" t="s">
        <v>2</v>
      </c>
      <c r="JV32" s="82" t="s">
        <v>45</v>
      </c>
      <c r="JW32" s="82" t="s">
        <v>45</v>
      </c>
      <c r="JX32" s="82" t="s">
        <v>45</v>
      </c>
      <c r="JY32" s="82" t="s">
        <v>45</v>
      </c>
      <c r="JZ32" s="56" t="s">
        <v>2</v>
      </c>
      <c r="KA32" s="56" t="s">
        <v>2</v>
      </c>
      <c r="KB32" s="62" t="s">
        <v>149</v>
      </c>
      <c r="KC32" s="80" t="s">
        <v>119</v>
      </c>
      <c r="KD32" s="80" t="s">
        <v>119</v>
      </c>
      <c r="KE32" s="80" t="s">
        <v>119</v>
      </c>
      <c r="KF32" s="80" t="s">
        <v>119</v>
      </c>
      <c r="KG32" s="80" t="s">
        <v>119</v>
      </c>
      <c r="KH32" s="56" t="s">
        <v>2</v>
      </c>
      <c r="KI32" s="56" t="s">
        <v>2</v>
      </c>
      <c r="KJ32" s="238" t="s">
        <v>128</v>
      </c>
      <c r="KK32" s="238" t="s">
        <v>128</v>
      </c>
      <c r="KL32" s="238" t="s">
        <v>128</v>
      </c>
      <c r="KM32" s="56" t="s">
        <v>2</v>
      </c>
      <c r="KN32" s="56" t="s">
        <v>2</v>
      </c>
      <c r="KO32" s="80" t="s">
        <v>119</v>
      </c>
      <c r="KP32" s="62" t="s">
        <v>149</v>
      </c>
      <c r="KQ32" s="81" t="s">
        <v>146</v>
      </c>
      <c r="KR32" s="56" t="s">
        <v>2</v>
      </c>
      <c r="KS32" s="81" t="s">
        <v>146</v>
      </c>
      <c r="KT32" s="81" t="s">
        <v>146</v>
      </c>
      <c r="KU32" s="81" t="s">
        <v>146</v>
      </c>
      <c r="KV32" s="81" t="s">
        <v>146</v>
      </c>
      <c r="KW32" s="56" t="s">
        <v>2</v>
      </c>
      <c r="KX32" s="58" t="s">
        <v>67</v>
      </c>
      <c r="KY32" s="238" t="s">
        <v>128</v>
      </c>
      <c r="KZ32" s="238" t="s">
        <v>128</v>
      </c>
      <c r="LA32" s="56" t="s">
        <v>2</v>
      </c>
      <c r="LB32" s="82" t="s">
        <v>45</v>
      </c>
      <c r="LC32" s="58" t="s">
        <v>67</v>
      </c>
      <c r="LD32" s="56" t="s">
        <v>2</v>
      </c>
      <c r="LE32" s="58" t="s">
        <v>67</v>
      </c>
      <c r="LF32" s="58" t="s">
        <v>67</v>
      </c>
      <c r="LG32" s="58" t="s">
        <v>67</v>
      </c>
      <c r="LH32" s="58" t="s">
        <v>67</v>
      </c>
      <c r="LI32" s="58" t="s">
        <v>67</v>
      </c>
      <c r="LJ32" s="56" t="s">
        <v>2</v>
      </c>
      <c r="LK32" s="56" t="s">
        <v>2</v>
      </c>
      <c r="LL32" s="82" t="s">
        <v>45</v>
      </c>
      <c r="LM32" s="82" t="s">
        <v>45</v>
      </c>
      <c r="LN32" s="82" t="s">
        <v>45</v>
      </c>
      <c r="LO32" s="82" t="s">
        <v>45</v>
      </c>
      <c r="LP32" s="56" t="s">
        <v>2</v>
      </c>
      <c r="LQ32" s="56" t="s">
        <v>2</v>
      </c>
      <c r="LR32" s="62" t="s">
        <v>149</v>
      </c>
      <c r="LS32" s="58" t="s">
        <v>67</v>
      </c>
      <c r="LT32" s="58" t="s">
        <v>67</v>
      </c>
      <c r="LU32" s="56" t="s">
        <v>2</v>
      </c>
      <c r="LV32" s="58" t="s">
        <v>67</v>
      </c>
      <c r="LW32" s="58" t="s">
        <v>67</v>
      </c>
      <c r="LX32" s="58" t="s">
        <v>67</v>
      </c>
      <c r="LY32" s="56" t="s">
        <v>2</v>
      </c>
    </row>
    <row r="33" spans="3:344" ht="13">
      <c r="C33" s="473"/>
      <c r="D33" s="508"/>
      <c r="E33" s="508" t="s">
        <v>507</v>
      </c>
      <c r="F33" s="510"/>
      <c r="G33" s="473"/>
      <c r="H33" s="473" t="s">
        <v>507</v>
      </c>
      <c r="I33" s="522"/>
      <c r="J33" s="473"/>
      <c r="K33" s="473"/>
      <c r="L33" s="473"/>
      <c r="M33" s="473"/>
      <c r="N33" s="472">
        <v>3</v>
      </c>
      <c r="O33" s="83" t="s">
        <v>349</v>
      </c>
      <c r="P33" s="574"/>
      <c r="Q33" s="575"/>
      <c r="R33" s="575"/>
      <c r="S33" s="575"/>
      <c r="T33" s="575"/>
      <c r="U33" s="575"/>
      <c r="V33" s="576"/>
      <c r="W33" s="574"/>
      <c r="X33" s="575"/>
      <c r="Y33" s="580"/>
      <c r="Z33" s="580"/>
      <c r="AA33" s="580"/>
      <c r="AB33" s="581"/>
      <c r="AC33" s="582"/>
      <c r="AD33" s="574"/>
      <c r="AE33" s="575"/>
      <c r="AF33" s="575"/>
      <c r="AG33" s="575"/>
      <c r="AH33" s="575"/>
      <c r="AI33" s="575"/>
      <c r="AJ33" s="576"/>
      <c r="AK33" s="574"/>
      <c r="AL33" s="575"/>
      <c r="AM33" s="575"/>
      <c r="AN33" s="575"/>
      <c r="AO33" s="575"/>
      <c r="AP33" s="575"/>
      <c r="AQ33" s="576"/>
      <c r="AR33" s="574"/>
      <c r="AS33" s="575"/>
      <c r="AT33" s="575"/>
      <c r="AU33" s="575"/>
      <c r="AV33" s="575"/>
      <c r="AW33" s="575"/>
      <c r="AX33" s="576"/>
      <c r="AY33" s="574"/>
      <c r="AZ33" s="575"/>
      <c r="BA33" s="575"/>
      <c r="BB33" s="575"/>
      <c r="BC33" s="575"/>
      <c r="BD33" s="575"/>
      <c r="BE33" s="576"/>
      <c r="BF33" s="591"/>
      <c r="BG33" s="594"/>
      <c r="BH33" s="594"/>
      <c r="BI33" s="594"/>
      <c r="BJ33" s="594"/>
      <c r="BK33" s="592"/>
      <c r="BL33" s="593"/>
      <c r="BM33" s="155" t="s">
        <v>11</v>
      </c>
      <c r="BN33" s="155" t="s">
        <v>11</v>
      </c>
      <c r="BO33" s="155" t="s">
        <v>11</v>
      </c>
      <c r="BP33" s="155" t="s">
        <v>11</v>
      </c>
      <c r="BQ33" s="155" t="s">
        <v>11</v>
      </c>
      <c r="BR33" s="136" t="s">
        <v>2</v>
      </c>
      <c r="BS33" s="136" t="s">
        <v>2</v>
      </c>
      <c r="BT33" s="155" t="s">
        <v>11</v>
      </c>
      <c r="BU33" s="155" t="s">
        <v>11</v>
      </c>
      <c r="BV33" s="155" t="s">
        <v>11</v>
      </c>
      <c r="BW33" s="155" t="s">
        <v>11</v>
      </c>
      <c r="BX33" s="155" t="s">
        <v>11</v>
      </c>
      <c r="BY33" s="136" t="s">
        <v>2</v>
      </c>
      <c r="BZ33" s="136" t="s">
        <v>2</v>
      </c>
      <c r="CA33" s="155" t="s">
        <v>11</v>
      </c>
      <c r="CB33" s="155" t="s">
        <v>11</v>
      </c>
      <c r="CC33" s="155" t="s">
        <v>11</v>
      </c>
      <c r="CD33" s="155" t="s">
        <v>11</v>
      </c>
      <c r="CE33" s="155" t="s">
        <v>11</v>
      </c>
      <c r="CF33" s="136" t="s">
        <v>2</v>
      </c>
      <c r="CG33" s="136" t="s">
        <v>2</v>
      </c>
      <c r="CH33" s="210" t="s">
        <v>12</v>
      </c>
      <c r="CI33" s="136" t="s">
        <v>2</v>
      </c>
      <c r="CJ33" s="210" t="s">
        <v>12</v>
      </c>
      <c r="CK33" s="210" t="s">
        <v>12</v>
      </c>
      <c r="CL33" s="210" t="s">
        <v>12</v>
      </c>
      <c r="CM33" s="210" t="s">
        <v>12</v>
      </c>
      <c r="CN33" s="136" t="s">
        <v>2</v>
      </c>
      <c r="CO33" s="135" t="s">
        <v>114</v>
      </c>
      <c r="CP33" s="135" t="s">
        <v>114</v>
      </c>
      <c r="CQ33" s="135" t="s">
        <v>114</v>
      </c>
      <c r="CR33" s="135" t="s">
        <v>114</v>
      </c>
      <c r="CS33" s="135" t="s">
        <v>114</v>
      </c>
      <c r="CT33" s="136" t="s">
        <v>2</v>
      </c>
      <c r="CU33" s="136" t="s">
        <v>2</v>
      </c>
      <c r="CV33" s="210" t="s">
        <v>12</v>
      </c>
      <c r="CW33" s="153" t="s">
        <v>7</v>
      </c>
      <c r="CX33" s="136" t="s">
        <v>2</v>
      </c>
      <c r="CY33" s="153" t="s">
        <v>7</v>
      </c>
      <c r="CZ33" s="153" t="s">
        <v>7</v>
      </c>
      <c r="DA33" s="153" t="s">
        <v>7</v>
      </c>
      <c r="DB33" s="136" t="s">
        <v>2</v>
      </c>
      <c r="DC33" s="136" t="s">
        <v>2</v>
      </c>
      <c r="DD33" s="155" t="s">
        <v>11</v>
      </c>
      <c r="DE33" s="155" t="s">
        <v>11</v>
      </c>
      <c r="DF33" s="155" t="s">
        <v>11</v>
      </c>
      <c r="DG33" s="155" t="s">
        <v>11</v>
      </c>
      <c r="DH33" s="155" t="s">
        <v>11</v>
      </c>
      <c r="DI33" s="136" t="s">
        <v>2</v>
      </c>
      <c r="DJ33" s="155" t="s">
        <v>11</v>
      </c>
      <c r="DK33" s="136" t="s">
        <v>2</v>
      </c>
      <c r="DL33" s="136" t="s">
        <v>2</v>
      </c>
      <c r="DM33" s="155" t="s">
        <v>11</v>
      </c>
      <c r="DN33" s="155" t="s">
        <v>11</v>
      </c>
      <c r="DO33" s="155" t="s">
        <v>11</v>
      </c>
      <c r="DP33" s="146" t="s">
        <v>117</v>
      </c>
      <c r="DQ33" s="136" t="s">
        <v>2</v>
      </c>
      <c r="DR33" s="155" t="s">
        <v>11</v>
      </c>
      <c r="DS33" s="155" t="s">
        <v>11</v>
      </c>
      <c r="DT33" s="155" t="s">
        <v>11</v>
      </c>
      <c r="DU33" s="155" t="s">
        <v>11</v>
      </c>
      <c r="DV33" s="153" t="s">
        <v>7</v>
      </c>
      <c r="DW33" s="136" t="s">
        <v>2</v>
      </c>
      <c r="DX33" s="153" t="s">
        <v>7</v>
      </c>
      <c r="DY33" s="153" t="s">
        <v>7</v>
      </c>
      <c r="DZ33" s="153" t="s">
        <v>7</v>
      </c>
      <c r="EA33" s="153" t="s">
        <v>140</v>
      </c>
      <c r="EB33" s="210" t="s">
        <v>12</v>
      </c>
      <c r="EC33" s="136" t="s">
        <v>2</v>
      </c>
      <c r="ED33" s="136" t="s">
        <v>2</v>
      </c>
      <c r="EE33" s="167" t="s">
        <v>11</v>
      </c>
      <c r="EF33" s="167" t="s">
        <v>11</v>
      </c>
      <c r="EG33" s="167" t="s">
        <v>11</v>
      </c>
      <c r="EH33" s="236" t="s">
        <v>2</v>
      </c>
      <c r="EI33" s="236" t="s">
        <v>2</v>
      </c>
      <c r="EJ33" s="167" t="s">
        <v>11</v>
      </c>
      <c r="EK33" s="167" t="s">
        <v>117</v>
      </c>
      <c r="EL33" s="167" t="s">
        <v>11</v>
      </c>
      <c r="EM33" s="167" t="s">
        <v>11</v>
      </c>
      <c r="EN33" s="167" t="s">
        <v>11</v>
      </c>
      <c r="EO33" s="236" t="s">
        <v>2</v>
      </c>
      <c r="EP33" s="167" t="s">
        <v>11</v>
      </c>
      <c r="EQ33" s="167" t="s">
        <v>11</v>
      </c>
      <c r="ER33" s="236" t="s">
        <v>2</v>
      </c>
      <c r="ES33" s="167" t="s">
        <v>11</v>
      </c>
      <c r="ET33" s="167" t="s">
        <v>11</v>
      </c>
      <c r="EU33" s="167" t="s">
        <v>11</v>
      </c>
      <c r="EV33" s="167" t="s">
        <v>11</v>
      </c>
      <c r="EW33" s="236" t="s">
        <v>114</v>
      </c>
      <c r="EX33" s="236" t="s">
        <v>2</v>
      </c>
      <c r="EY33" s="236" t="s">
        <v>2</v>
      </c>
      <c r="EZ33" s="167" t="s">
        <v>11</v>
      </c>
      <c r="FA33" s="167" t="s">
        <v>11</v>
      </c>
      <c r="FB33" s="236" t="s">
        <v>2</v>
      </c>
      <c r="FC33" s="236" t="s">
        <v>2</v>
      </c>
      <c r="FD33" s="167" t="s">
        <v>11</v>
      </c>
      <c r="FE33" s="167" t="s">
        <v>11</v>
      </c>
      <c r="FF33" s="167" t="s">
        <v>117</v>
      </c>
      <c r="FG33" s="236" t="s">
        <v>114</v>
      </c>
      <c r="FH33" s="236" t="s">
        <v>2</v>
      </c>
      <c r="FI33" s="236" t="s">
        <v>114</v>
      </c>
      <c r="FJ33" s="236" t="s">
        <v>114</v>
      </c>
      <c r="FK33" s="236" t="s">
        <v>114</v>
      </c>
      <c r="FL33" s="236" t="s">
        <v>114</v>
      </c>
      <c r="FM33" s="236" t="s">
        <v>2</v>
      </c>
      <c r="FN33" s="167" t="s">
        <v>11</v>
      </c>
      <c r="FO33" s="167" t="s">
        <v>11</v>
      </c>
      <c r="FP33" s="167" t="s">
        <v>11</v>
      </c>
      <c r="FQ33" s="167" t="s">
        <v>11</v>
      </c>
      <c r="FR33" s="167" t="s">
        <v>11</v>
      </c>
      <c r="FS33" s="236" t="s">
        <v>2</v>
      </c>
      <c r="FT33" s="236" t="s">
        <v>2</v>
      </c>
      <c r="FU33" s="167" t="s">
        <v>12</v>
      </c>
      <c r="FV33" s="167" t="s">
        <v>12</v>
      </c>
      <c r="FW33" s="167" t="s">
        <v>12</v>
      </c>
      <c r="FX33" s="167" t="s">
        <v>12</v>
      </c>
      <c r="FY33" s="236" t="s">
        <v>114</v>
      </c>
      <c r="FZ33" s="236" t="s">
        <v>2</v>
      </c>
      <c r="GA33" s="236" t="s">
        <v>2</v>
      </c>
      <c r="GB33" s="167" t="s">
        <v>11</v>
      </c>
      <c r="GC33" s="167" t="s">
        <v>11</v>
      </c>
      <c r="GD33" s="167" t="s">
        <v>11</v>
      </c>
      <c r="GE33" s="236" t="s">
        <v>2</v>
      </c>
      <c r="GF33" s="236" t="s">
        <v>2</v>
      </c>
      <c r="GG33" s="236" t="s">
        <v>7</v>
      </c>
      <c r="GH33" s="146" t="s">
        <v>3</v>
      </c>
      <c r="GI33" s="141" t="s">
        <v>119</v>
      </c>
      <c r="GJ33" s="141" t="s">
        <v>119</v>
      </c>
      <c r="GK33" s="141" t="s">
        <v>119</v>
      </c>
      <c r="GL33" s="141" t="s">
        <v>120</v>
      </c>
      <c r="GM33" s="129" t="s">
        <v>2</v>
      </c>
      <c r="GN33" s="128" t="s">
        <v>123</v>
      </c>
      <c r="GO33" s="129" t="s">
        <v>2</v>
      </c>
      <c r="GP33" s="131" t="s">
        <v>63</v>
      </c>
      <c r="GQ33" s="131" t="s">
        <v>63</v>
      </c>
      <c r="GR33" s="131" t="s">
        <v>63</v>
      </c>
      <c r="GS33" s="128" t="s">
        <v>123</v>
      </c>
      <c r="GT33" s="141" t="s">
        <v>120</v>
      </c>
      <c r="GU33" s="129" t="s">
        <v>2</v>
      </c>
      <c r="GV33" s="129" t="s">
        <v>2</v>
      </c>
      <c r="GW33" s="129" t="s">
        <v>2</v>
      </c>
      <c r="GX33" s="131" t="s">
        <v>63</v>
      </c>
      <c r="GY33" s="128" t="s">
        <v>123</v>
      </c>
      <c r="GZ33" s="212" t="s">
        <v>61</v>
      </c>
      <c r="HA33" s="153" t="s">
        <v>56</v>
      </c>
      <c r="HB33" s="128" t="s">
        <v>123</v>
      </c>
      <c r="HC33" s="129" t="s">
        <v>2</v>
      </c>
      <c r="HD33" s="212" t="s">
        <v>61</v>
      </c>
      <c r="HE33" s="128" t="s">
        <v>123</v>
      </c>
      <c r="HF33" s="141" t="s">
        <v>120</v>
      </c>
      <c r="HG33" s="209" t="s">
        <v>122</v>
      </c>
      <c r="HH33" s="128" t="s">
        <v>123</v>
      </c>
      <c r="HI33" s="129" t="s">
        <v>2</v>
      </c>
      <c r="HJ33" s="129" t="s">
        <v>2</v>
      </c>
      <c r="HK33" s="54" t="s">
        <v>123</v>
      </c>
      <c r="HL33" s="58" t="s">
        <v>63</v>
      </c>
      <c r="HM33" s="81" t="s">
        <v>122</v>
      </c>
      <c r="HN33" s="80" t="s">
        <v>350</v>
      </c>
      <c r="HO33" s="56" t="s">
        <v>2</v>
      </c>
      <c r="HP33" s="65" t="s">
        <v>286</v>
      </c>
      <c r="HQ33" s="56" t="s">
        <v>2</v>
      </c>
      <c r="HR33" s="80" t="s">
        <v>147</v>
      </c>
      <c r="HS33" s="80" t="s">
        <v>147</v>
      </c>
      <c r="HT33" s="80" t="s">
        <v>147</v>
      </c>
      <c r="HU33" s="81" t="s">
        <v>129</v>
      </c>
      <c r="HV33" s="54" t="s">
        <v>54</v>
      </c>
      <c r="HW33" s="56" t="s">
        <v>2</v>
      </c>
      <c r="HX33" s="56" t="s">
        <v>2</v>
      </c>
      <c r="HY33" s="58" t="s">
        <v>67</v>
      </c>
      <c r="HZ33" s="58" t="s">
        <v>67</v>
      </c>
      <c r="IA33" s="58" t="s">
        <v>67</v>
      </c>
      <c r="IB33" s="56" t="s">
        <v>2</v>
      </c>
      <c r="IC33" s="56" t="s">
        <v>2</v>
      </c>
      <c r="ID33" s="80" t="s">
        <v>152</v>
      </c>
      <c r="IE33" s="62" t="s">
        <v>149</v>
      </c>
      <c r="IF33" s="80" t="s">
        <v>119</v>
      </c>
      <c r="IG33" s="56" t="s">
        <v>2</v>
      </c>
      <c r="IH33" s="56" t="s">
        <v>2</v>
      </c>
      <c r="II33" s="54" t="s">
        <v>51</v>
      </c>
      <c r="IJ33" s="80" t="s">
        <v>119</v>
      </c>
      <c r="IK33" s="58" t="s">
        <v>67</v>
      </c>
      <c r="IL33" s="62" t="s">
        <v>149</v>
      </c>
      <c r="IM33" s="56" t="s">
        <v>2</v>
      </c>
      <c r="IN33" s="82" t="s">
        <v>45</v>
      </c>
      <c r="IO33" s="82" t="s">
        <v>45</v>
      </c>
      <c r="IP33" s="81" t="s">
        <v>146</v>
      </c>
      <c r="IQ33" s="58" t="s">
        <v>67</v>
      </c>
      <c r="IR33" s="54" t="s">
        <v>128</v>
      </c>
      <c r="IS33" s="56" t="s">
        <v>2</v>
      </c>
      <c r="IT33" s="80" t="s">
        <v>119</v>
      </c>
      <c r="IU33" s="80" t="s">
        <v>119</v>
      </c>
      <c r="IV33" s="80" t="s">
        <v>119</v>
      </c>
      <c r="IW33" s="80" t="s">
        <v>119</v>
      </c>
      <c r="IX33" s="80" t="s">
        <v>119</v>
      </c>
      <c r="IY33" s="56" t="s">
        <v>2</v>
      </c>
      <c r="IZ33" s="56" t="s">
        <v>2</v>
      </c>
      <c r="JA33" s="54" t="s">
        <v>128</v>
      </c>
      <c r="JB33" s="58" t="s">
        <v>67</v>
      </c>
      <c r="JC33" s="90" t="s">
        <v>351</v>
      </c>
      <c r="JD33" s="56" t="s">
        <v>2</v>
      </c>
      <c r="JE33" s="56" t="s">
        <v>2</v>
      </c>
      <c r="JF33" s="80" t="s">
        <v>119</v>
      </c>
      <c r="JG33" s="62" t="s">
        <v>149</v>
      </c>
      <c r="JH33" s="82" t="s">
        <v>45</v>
      </c>
      <c r="JI33" s="56" t="s">
        <v>2</v>
      </c>
      <c r="JJ33" s="54" t="s">
        <v>128</v>
      </c>
      <c r="JK33" s="80" t="s">
        <v>119</v>
      </c>
      <c r="JL33" s="82" t="s">
        <v>45</v>
      </c>
      <c r="JM33" s="54" t="s">
        <v>128</v>
      </c>
      <c r="JN33" s="56" t="s">
        <v>2</v>
      </c>
      <c r="JO33" s="54" t="s">
        <v>128</v>
      </c>
      <c r="JP33" s="54" t="s">
        <v>128</v>
      </c>
      <c r="JQ33" s="54" t="s">
        <v>128</v>
      </c>
      <c r="JR33" s="54" t="s">
        <v>128</v>
      </c>
      <c r="JS33" s="54" t="s">
        <v>128</v>
      </c>
      <c r="JT33" s="56" t="s">
        <v>2</v>
      </c>
      <c r="JU33" s="56" t="s">
        <v>2</v>
      </c>
      <c r="JV33" s="81" t="s">
        <v>146</v>
      </c>
      <c r="JW33" s="81" t="s">
        <v>146</v>
      </c>
      <c r="JX33" s="81" t="s">
        <v>146</v>
      </c>
      <c r="JY33" s="56" t="s">
        <v>2</v>
      </c>
      <c r="JZ33" s="56" t="s">
        <v>2</v>
      </c>
      <c r="KA33" s="238" t="s">
        <v>128</v>
      </c>
      <c r="KB33" s="62" t="s">
        <v>149</v>
      </c>
      <c r="KC33" s="81" t="s">
        <v>146</v>
      </c>
      <c r="KD33" s="56" t="s">
        <v>2</v>
      </c>
      <c r="KE33" s="81" t="s">
        <v>146</v>
      </c>
      <c r="KF33" s="81" t="s">
        <v>146</v>
      </c>
      <c r="KG33" s="81" t="s">
        <v>146</v>
      </c>
      <c r="KH33" s="81" t="s">
        <v>146</v>
      </c>
      <c r="KI33" s="56" t="s">
        <v>2</v>
      </c>
      <c r="KJ33" s="58" t="s">
        <v>67</v>
      </c>
      <c r="KK33" s="58" t="s">
        <v>67</v>
      </c>
      <c r="KL33" s="58" t="s">
        <v>67</v>
      </c>
      <c r="KM33" s="58" t="s">
        <v>67</v>
      </c>
      <c r="KN33" s="58" t="s">
        <v>67</v>
      </c>
      <c r="KO33" s="56" t="s">
        <v>2</v>
      </c>
      <c r="KP33" s="56" t="s">
        <v>2</v>
      </c>
      <c r="KQ33" s="82" t="s">
        <v>45</v>
      </c>
      <c r="KR33" s="82" t="s">
        <v>45</v>
      </c>
      <c r="KS33" s="82" t="s">
        <v>45</v>
      </c>
      <c r="KT33" s="82" t="s">
        <v>45</v>
      </c>
      <c r="KU33" s="56" t="s">
        <v>2</v>
      </c>
      <c r="KV33" s="56" t="s">
        <v>2</v>
      </c>
      <c r="KW33" s="62" t="s">
        <v>149</v>
      </c>
      <c r="KX33" s="82" t="s">
        <v>45</v>
      </c>
      <c r="KY33" s="58" t="s">
        <v>67</v>
      </c>
      <c r="KZ33" s="58" t="s">
        <v>67</v>
      </c>
      <c r="LA33" s="58" t="s">
        <v>67</v>
      </c>
      <c r="LB33" s="58" t="s">
        <v>67</v>
      </c>
      <c r="LC33" s="56" t="s">
        <v>2</v>
      </c>
      <c r="LD33" s="56" t="s">
        <v>2</v>
      </c>
      <c r="LE33" s="238" t="s">
        <v>128</v>
      </c>
      <c r="LF33" s="238" t="s">
        <v>128</v>
      </c>
      <c r="LG33" s="56" t="s">
        <v>2</v>
      </c>
      <c r="LH33" s="238" t="s">
        <v>128</v>
      </c>
      <c r="LI33" s="238" t="s">
        <v>128</v>
      </c>
      <c r="LJ33" s="238" t="s">
        <v>128</v>
      </c>
      <c r="LK33" s="56" t="s">
        <v>2</v>
      </c>
      <c r="LL33" s="58" t="s">
        <v>67</v>
      </c>
      <c r="LM33" s="58" t="s">
        <v>67</v>
      </c>
      <c r="LN33" s="58" t="s">
        <v>67</v>
      </c>
      <c r="LO33" s="56" t="s">
        <v>2</v>
      </c>
      <c r="LP33" s="58" t="s">
        <v>67</v>
      </c>
      <c r="LQ33" s="58" t="s">
        <v>67</v>
      </c>
      <c r="LR33" s="56" t="s">
        <v>2</v>
      </c>
      <c r="LS33" s="238" t="s">
        <v>128</v>
      </c>
      <c r="LT33" s="238" t="s">
        <v>128</v>
      </c>
      <c r="LU33" s="56" t="s">
        <v>2</v>
      </c>
      <c r="LV33" s="238" t="s">
        <v>128</v>
      </c>
      <c r="LW33" s="238" t="s">
        <v>128</v>
      </c>
      <c r="LX33" s="238" t="s">
        <v>128</v>
      </c>
      <c r="LY33" s="56" t="s">
        <v>2</v>
      </c>
    </row>
    <row r="34" spans="3:344" ht="13">
      <c r="LZ34" s="80" t="s">
        <v>119</v>
      </c>
      <c r="MA34" s="80" t="s">
        <v>119</v>
      </c>
      <c r="MB34" s="80" t="s">
        <v>119</v>
      </c>
      <c r="MC34" s="80" t="s">
        <v>119</v>
      </c>
      <c r="MD34" s="80" t="s">
        <v>119</v>
      </c>
      <c r="ME34" s="56" t="s">
        <v>2</v>
      </c>
      <c r="MF34" s="56" t="s">
        <v>2</v>
      </c>
    </row>
    <row r="35" spans="3:344" ht="13">
      <c r="LZ35" s="82" t="s">
        <v>45</v>
      </c>
      <c r="MA35" s="82" t="s">
        <v>45</v>
      </c>
      <c r="MB35" s="82" t="s">
        <v>45</v>
      </c>
      <c r="MC35" s="82" t="s">
        <v>45</v>
      </c>
      <c r="MD35" s="56" t="s">
        <v>2</v>
      </c>
      <c r="ME35" s="56" t="s">
        <v>2</v>
      </c>
      <c r="MF35" s="62" t="s">
        <v>149</v>
      </c>
    </row>
    <row r="36" spans="3:344" ht="13">
      <c r="P36" s="604"/>
      <c r="Q36" s="572"/>
      <c r="R36" s="572"/>
      <c r="S36" s="572"/>
      <c r="T36" s="572"/>
      <c r="U36" s="572"/>
      <c r="V36" s="573"/>
      <c r="W36" s="604"/>
      <c r="X36" s="578"/>
      <c r="Y36" s="578"/>
      <c r="Z36" s="578"/>
      <c r="AA36" s="578"/>
      <c r="AB36" s="578"/>
      <c r="AC36" s="579"/>
      <c r="AD36" s="604"/>
      <c r="AE36" s="578"/>
      <c r="AF36" s="578"/>
      <c r="AG36" s="578"/>
      <c r="AH36" s="578"/>
      <c r="AI36" s="578"/>
      <c r="AJ36" s="579"/>
      <c r="AK36" s="604"/>
      <c r="AL36" s="578"/>
      <c r="AM36" s="578"/>
      <c r="AN36" s="578"/>
      <c r="AO36" s="578"/>
      <c r="AP36" s="578"/>
      <c r="AQ36" s="579"/>
      <c r="AR36" s="204"/>
      <c r="AS36" s="200" t="s">
        <v>200</v>
      </c>
      <c r="AT36" s="200" t="s">
        <v>200</v>
      </c>
      <c r="AU36" s="204" t="s">
        <v>2</v>
      </c>
      <c r="AV36" s="204" t="s">
        <v>2</v>
      </c>
      <c r="AW36" s="204" t="s">
        <v>198</v>
      </c>
      <c r="AX36" s="146" t="s">
        <v>199</v>
      </c>
      <c r="AY36" s="604"/>
      <c r="AZ36" s="578"/>
      <c r="BA36" s="578"/>
      <c r="BB36" s="578"/>
      <c r="BC36" s="578"/>
      <c r="BD36" s="578"/>
      <c r="BE36" s="579"/>
      <c r="BF36" s="200" t="s">
        <v>2</v>
      </c>
      <c r="BG36" s="206" t="s">
        <v>199</v>
      </c>
      <c r="BH36" s="206" t="s">
        <v>198</v>
      </c>
      <c r="BI36" s="206" t="s">
        <v>199</v>
      </c>
      <c r="BJ36" s="206" t="s">
        <v>198</v>
      </c>
      <c r="BK36" s="239" t="s">
        <v>200</v>
      </c>
      <c r="BL36" s="200" t="s">
        <v>2</v>
      </c>
      <c r="BM36" s="148" t="s">
        <v>203</v>
      </c>
      <c r="BN36" s="148" t="s">
        <v>203</v>
      </c>
      <c r="BO36" s="148" t="s">
        <v>203</v>
      </c>
      <c r="BP36" s="148" t="s">
        <v>203</v>
      </c>
      <c r="BQ36" s="148" t="s">
        <v>203</v>
      </c>
      <c r="BR36" s="200" t="s">
        <v>2</v>
      </c>
      <c r="BS36" s="200" t="s">
        <v>2</v>
      </c>
      <c r="BT36" s="239" t="s">
        <v>200</v>
      </c>
      <c r="BU36" s="200" t="s">
        <v>2</v>
      </c>
      <c r="BV36" s="148" t="s">
        <v>203</v>
      </c>
      <c r="BW36" s="148" t="s">
        <v>203</v>
      </c>
      <c r="BX36" s="148" t="s">
        <v>203</v>
      </c>
      <c r="BY36" s="148" t="s">
        <v>203</v>
      </c>
      <c r="BZ36" s="200" t="s">
        <v>2</v>
      </c>
      <c r="CA36" s="148" t="s">
        <v>203</v>
      </c>
      <c r="CB36" s="148" t="s">
        <v>203</v>
      </c>
      <c r="CC36" s="148" t="s">
        <v>203</v>
      </c>
      <c r="CD36" s="148" t="s">
        <v>203</v>
      </c>
      <c r="CE36" s="136" t="s">
        <v>2</v>
      </c>
      <c r="CF36" s="136" t="s">
        <v>2</v>
      </c>
      <c r="CG36" s="200"/>
      <c r="CH36" s="239" t="s">
        <v>200</v>
      </c>
      <c r="CI36" s="239" t="s">
        <v>200</v>
      </c>
      <c r="CJ36" s="239" t="s">
        <v>200</v>
      </c>
      <c r="CK36" s="239" t="s">
        <v>200</v>
      </c>
      <c r="CL36" s="136"/>
      <c r="CM36" s="136" t="s">
        <v>2</v>
      </c>
      <c r="CN36" s="136" t="s">
        <v>2</v>
      </c>
      <c r="CO36" s="148" t="s">
        <v>203</v>
      </c>
      <c r="CP36" s="136" t="s">
        <v>2</v>
      </c>
      <c r="CQ36" s="148" t="s">
        <v>203</v>
      </c>
      <c r="CR36" s="148" t="s">
        <v>196</v>
      </c>
      <c r="CS36" s="148" t="s">
        <v>196</v>
      </c>
      <c r="CT36" s="148" t="s">
        <v>196</v>
      </c>
      <c r="CU36" s="136" t="s">
        <v>2</v>
      </c>
      <c r="CV36" s="148" t="s">
        <v>203</v>
      </c>
      <c r="CW36" s="148" t="s">
        <v>203</v>
      </c>
      <c r="CX36" s="148" t="s">
        <v>203</v>
      </c>
      <c r="CY36" s="148" t="s">
        <v>203</v>
      </c>
      <c r="CZ36" s="148" t="s">
        <v>203</v>
      </c>
      <c r="DA36" s="136" t="s">
        <v>2</v>
      </c>
      <c r="DB36" s="136" t="s">
        <v>2</v>
      </c>
      <c r="DC36" s="153" t="s">
        <v>202</v>
      </c>
      <c r="DD36" s="153"/>
      <c r="DE36" s="153" t="s">
        <v>227</v>
      </c>
      <c r="DF36" s="136" t="s">
        <v>2</v>
      </c>
      <c r="DG36" s="136" t="s">
        <v>2</v>
      </c>
      <c r="DH36" s="150"/>
      <c r="DI36" s="146"/>
      <c r="DJ36" s="595"/>
      <c r="DK36" s="577"/>
      <c r="DL36" s="577"/>
      <c r="DM36" s="577"/>
      <c r="DN36" s="577"/>
      <c r="DO36" s="577"/>
      <c r="DP36" s="601"/>
      <c r="DQ36" s="595"/>
      <c r="DR36" s="577"/>
      <c r="DS36" s="577"/>
      <c r="DT36" s="577"/>
      <c r="DU36" s="577"/>
      <c r="DV36" s="577"/>
      <c r="DW36" s="601"/>
      <c r="DX36" s="595"/>
      <c r="DY36" s="577"/>
      <c r="DZ36" s="577"/>
      <c r="EA36" s="577"/>
      <c r="EB36" s="577"/>
      <c r="EC36" s="577"/>
      <c r="ED36" s="601"/>
      <c r="EE36" s="223" t="s">
        <v>114</v>
      </c>
      <c r="EF36" s="223" t="s">
        <v>114</v>
      </c>
      <c r="EG36" s="204" t="s">
        <v>223</v>
      </c>
      <c r="EH36" s="223" t="s">
        <v>2</v>
      </c>
      <c r="EI36" s="223" t="s">
        <v>114</v>
      </c>
      <c r="EJ36" s="223" t="s">
        <v>114</v>
      </c>
      <c r="EK36" s="223" t="s">
        <v>2</v>
      </c>
      <c r="EL36" s="221" t="s">
        <v>11</v>
      </c>
      <c r="EM36" s="155" t="s">
        <v>220</v>
      </c>
      <c r="EN36" s="155" t="s">
        <v>220</v>
      </c>
      <c r="EO36" s="155" t="s">
        <v>220</v>
      </c>
      <c r="EP36" s="155" t="s">
        <v>220</v>
      </c>
      <c r="EQ36" s="200" t="s">
        <v>2</v>
      </c>
      <c r="ER36" s="200" t="s">
        <v>2</v>
      </c>
      <c r="ES36" s="595"/>
      <c r="ET36" s="577"/>
      <c r="EU36" s="577"/>
      <c r="EV36" s="577"/>
      <c r="EW36" s="577"/>
      <c r="EX36" s="577"/>
      <c r="EY36" s="601"/>
      <c r="EZ36" s="129" t="s">
        <v>2</v>
      </c>
      <c r="FA36" s="132" t="s">
        <v>352</v>
      </c>
      <c r="FB36" s="132" t="s">
        <v>353</v>
      </c>
      <c r="FC36" s="132" t="s">
        <v>352</v>
      </c>
      <c r="FD36" s="132" t="s">
        <v>352</v>
      </c>
      <c r="FE36" s="132" t="s">
        <v>2</v>
      </c>
      <c r="FF36" s="129"/>
      <c r="FG36" s="131" t="s">
        <v>2</v>
      </c>
      <c r="FH36" s="129" t="s">
        <v>354</v>
      </c>
      <c r="FI36" s="128" t="s">
        <v>354</v>
      </c>
      <c r="FJ36" s="128" t="s">
        <v>354</v>
      </c>
      <c r="FK36" s="128" t="s">
        <v>354</v>
      </c>
      <c r="FL36" s="129" t="s">
        <v>354</v>
      </c>
      <c r="FM36" s="88"/>
      <c r="FN36" s="158" t="s">
        <v>353</v>
      </c>
      <c r="FO36" s="132" t="s">
        <v>2</v>
      </c>
      <c r="FP36" s="132" t="s">
        <v>352</v>
      </c>
      <c r="FQ36" s="129" t="s">
        <v>352</v>
      </c>
      <c r="FR36" s="128" t="s">
        <v>353</v>
      </c>
      <c r="FS36" s="128" t="s">
        <v>2</v>
      </c>
      <c r="FT36" s="129"/>
      <c r="FU36" s="128" t="s">
        <v>352</v>
      </c>
      <c r="FV36" s="128" t="s">
        <v>354</v>
      </c>
      <c r="FW36" s="128" t="s">
        <v>354</v>
      </c>
      <c r="FX36" s="128" t="s">
        <v>2</v>
      </c>
      <c r="FY36" s="128" t="s">
        <v>353</v>
      </c>
      <c r="FZ36" s="129" t="s">
        <v>353</v>
      </c>
      <c r="GA36" s="129"/>
      <c r="GB36" s="128">
        <v>0</v>
      </c>
      <c r="GC36" s="128" t="s">
        <v>353</v>
      </c>
      <c r="GD36" s="128" t="s">
        <v>353</v>
      </c>
      <c r="GE36" s="128" t="s">
        <v>353</v>
      </c>
      <c r="GF36" s="128" t="s">
        <v>353</v>
      </c>
      <c r="GG36" s="129" t="s">
        <v>2</v>
      </c>
      <c r="GH36" s="129"/>
      <c r="GI36" s="128" t="s">
        <v>355</v>
      </c>
      <c r="GJ36" s="128" t="s">
        <v>355</v>
      </c>
      <c r="GK36" s="162" t="s">
        <v>19</v>
      </c>
      <c r="GL36" s="595"/>
      <c r="GM36" s="578"/>
      <c r="GN36" s="578"/>
      <c r="GO36" s="579"/>
      <c r="GP36" s="595"/>
      <c r="GQ36" s="578"/>
      <c r="GR36" s="578"/>
      <c r="GS36" s="578"/>
      <c r="GT36" s="578"/>
      <c r="GU36" s="578"/>
      <c r="GV36" s="579"/>
      <c r="GW36" s="595"/>
      <c r="GX36" s="578"/>
      <c r="GY36" s="578"/>
      <c r="GZ36" s="578"/>
      <c r="HA36" s="578"/>
      <c r="HB36" s="578"/>
      <c r="HC36" s="579"/>
      <c r="HD36" s="595"/>
      <c r="HE36" s="578"/>
      <c r="HF36" s="578"/>
      <c r="HG36" s="578"/>
      <c r="HH36" s="578"/>
      <c r="HI36" s="578"/>
      <c r="HJ36" s="579"/>
      <c r="HK36" s="595"/>
      <c r="HL36" s="578"/>
      <c r="HM36" s="578"/>
      <c r="HN36" s="578"/>
      <c r="HO36" s="578"/>
      <c r="HP36" s="578"/>
      <c r="HQ36" s="579"/>
      <c r="HR36" s="595"/>
      <c r="HS36" s="578"/>
      <c r="HT36" s="578"/>
      <c r="HU36" s="578"/>
      <c r="HV36" s="579"/>
      <c r="HW36" s="56" t="s">
        <v>2</v>
      </c>
      <c r="HX36" s="596" t="s">
        <v>214</v>
      </c>
      <c r="HY36" s="82" t="s">
        <v>356</v>
      </c>
      <c r="HZ36" s="82" t="s">
        <v>356</v>
      </c>
      <c r="IA36" s="82" t="s">
        <v>220</v>
      </c>
      <c r="IB36" s="82" t="s">
        <v>219</v>
      </c>
      <c r="IC36" s="82" t="s">
        <v>219</v>
      </c>
      <c r="ID36" s="56" t="s">
        <v>2</v>
      </c>
      <c r="IE36" s="596" t="s">
        <v>214</v>
      </c>
      <c r="IF36" s="600" t="s">
        <v>214</v>
      </c>
      <c r="IG36" s="577"/>
      <c r="IH36" s="577"/>
      <c r="II36" s="577"/>
      <c r="IJ36" s="577"/>
      <c r="IK36" s="577"/>
      <c r="IL36" s="601"/>
      <c r="IM36" s="595"/>
      <c r="IN36" s="578"/>
      <c r="IO36" s="578"/>
      <c r="IP36" s="578"/>
      <c r="IQ36" s="579"/>
      <c r="IR36" s="90" t="s">
        <v>19</v>
      </c>
      <c r="IS36" s="596" t="s">
        <v>214</v>
      </c>
      <c r="IT36" s="58" t="s">
        <v>227</v>
      </c>
      <c r="IU36" s="58" t="s">
        <v>227</v>
      </c>
      <c r="IV36" s="81" t="s">
        <v>219</v>
      </c>
      <c r="IW36" s="56" t="s">
        <v>2</v>
      </c>
      <c r="IX36" s="56" t="s">
        <v>2</v>
      </c>
      <c r="IY36" s="81" t="s">
        <v>219</v>
      </c>
      <c r="IZ36" s="596" t="s">
        <v>214</v>
      </c>
      <c r="JA36" s="56" t="s">
        <v>2</v>
      </c>
      <c r="JB36" s="54" t="s">
        <v>233</v>
      </c>
      <c r="JC36" s="240"/>
      <c r="JD36" s="240"/>
      <c r="JF36" s="240"/>
      <c r="JG36" s="240"/>
      <c r="JH36" s="56" t="s">
        <v>2</v>
      </c>
      <c r="JI36" s="81" t="s">
        <v>226</v>
      </c>
      <c r="JJ36" s="240"/>
      <c r="JK36" s="240"/>
      <c r="JL36" s="54" t="s">
        <v>357</v>
      </c>
      <c r="JM36" s="240"/>
      <c r="JN36" s="240"/>
      <c r="JO36" s="80" t="s">
        <v>210</v>
      </c>
      <c r="JP36" s="80" t="s">
        <v>210</v>
      </c>
      <c r="JQ36" s="240"/>
      <c r="JR36" s="240"/>
      <c r="JS36" s="240"/>
      <c r="JT36" s="240"/>
      <c r="JU36" s="240"/>
      <c r="LZ36" s="58" t="s">
        <v>67</v>
      </c>
      <c r="MA36" s="58" t="s">
        <v>67</v>
      </c>
      <c r="MB36" s="58" t="s">
        <v>67</v>
      </c>
      <c r="MC36" s="58" t="s">
        <v>67</v>
      </c>
      <c r="MD36" s="58" t="s">
        <v>67</v>
      </c>
      <c r="ME36" s="56" t="s">
        <v>2</v>
      </c>
      <c r="MF36" s="56" t="s">
        <v>2</v>
      </c>
    </row>
    <row r="37" spans="3:344" ht="13">
      <c r="P37" s="587"/>
      <c r="Q37" s="584"/>
      <c r="R37" s="584"/>
      <c r="S37" s="584"/>
      <c r="T37" s="584"/>
      <c r="U37" s="584"/>
      <c r="V37" s="588"/>
      <c r="W37" s="583"/>
      <c r="X37" s="584"/>
      <c r="Y37" s="584"/>
      <c r="Z37" s="584"/>
      <c r="AA37" s="584"/>
      <c r="AB37" s="584"/>
      <c r="AC37" s="585"/>
      <c r="AD37" s="583"/>
      <c r="AE37" s="584"/>
      <c r="AF37" s="584"/>
      <c r="AG37" s="584"/>
      <c r="AH37" s="584"/>
      <c r="AI37" s="584"/>
      <c r="AJ37" s="585"/>
      <c r="AK37" s="583"/>
      <c r="AL37" s="584"/>
      <c r="AM37" s="584"/>
      <c r="AN37" s="584"/>
      <c r="AO37" s="584"/>
      <c r="AP37" s="584"/>
      <c r="AQ37" s="585"/>
      <c r="AR37" s="155" t="s">
        <v>204</v>
      </c>
      <c r="AS37" s="155" t="s">
        <v>2</v>
      </c>
      <c r="AT37" s="155" t="s">
        <v>2</v>
      </c>
      <c r="AU37" s="150" t="s">
        <v>204</v>
      </c>
      <c r="AV37" s="150" t="s">
        <v>204</v>
      </c>
      <c r="AW37" s="200" t="s">
        <v>204</v>
      </c>
      <c r="AX37" s="200" t="s">
        <v>214</v>
      </c>
      <c r="AY37" s="583"/>
      <c r="AZ37" s="584"/>
      <c r="BA37" s="584"/>
      <c r="BB37" s="584"/>
      <c r="BC37" s="584"/>
      <c r="BD37" s="584"/>
      <c r="BE37" s="585"/>
      <c r="BF37" s="148" t="s">
        <v>203</v>
      </c>
      <c r="BG37" s="148" t="s">
        <v>202</v>
      </c>
      <c r="BH37" s="148" t="s">
        <v>203</v>
      </c>
      <c r="BI37" s="148" t="s">
        <v>196</v>
      </c>
      <c r="BJ37" s="148" t="s">
        <v>203</v>
      </c>
      <c r="BK37" s="200" t="s">
        <v>2</v>
      </c>
      <c r="BL37" s="200" t="s">
        <v>2</v>
      </c>
      <c r="BM37" s="148" t="s">
        <v>196</v>
      </c>
      <c r="BN37" s="148" t="s">
        <v>196</v>
      </c>
      <c r="BO37" s="200" t="s">
        <v>2</v>
      </c>
      <c r="BP37" s="148" t="s">
        <v>196</v>
      </c>
      <c r="BQ37" s="148" t="s">
        <v>196</v>
      </c>
      <c r="BR37" s="148" t="s">
        <v>203</v>
      </c>
      <c r="BS37" s="200" t="s">
        <v>2</v>
      </c>
      <c r="BT37" s="241" t="s">
        <v>202</v>
      </c>
      <c r="BU37" s="148" t="s">
        <v>203</v>
      </c>
      <c r="BV37" s="241" t="s">
        <v>202</v>
      </c>
      <c r="BW37" s="241" t="s">
        <v>202</v>
      </c>
      <c r="BX37" s="241" t="s">
        <v>202</v>
      </c>
      <c r="BY37" s="200" t="s">
        <v>2</v>
      </c>
      <c r="BZ37" s="200" t="s">
        <v>2</v>
      </c>
      <c r="CA37" s="206" t="s">
        <v>202</v>
      </c>
      <c r="CB37" s="136" t="s">
        <v>2</v>
      </c>
      <c r="CC37" s="148" t="s">
        <v>203</v>
      </c>
      <c r="CD37" s="148" t="s">
        <v>203</v>
      </c>
      <c r="CE37" s="148" t="s">
        <v>203</v>
      </c>
      <c r="CF37" s="206" t="s">
        <v>202</v>
      </c>
      <c r="CG37" s="136" t="s">
        <v>2</v>
      </c>
      <c r="CH37" s="206" t="s">
        <v>202</v>
      </c>
      <c r="CI37" s="206" t="s">
        <v>202</v>
      </c>
      <c r="CJ37" s="148" t="s">
        <v>203</v>
      </c>
      <c r="CK37" s="206" t="s">
        <v>202</v>
      </c>
      <c r="CL37" s="206" t="s">
        <v>202</v>
      </c>
      <c r="CM37" s="136" t="s">
        <v>2</v>
      </c>
      <c r="CN37" s="136" t="s">
        <v>2</v>
      </c>
      <c r="CO37" s="148" t="s">
        <v>203</v>
      </c>
      <c r="CP37" s="148" t="s">
        <v>203</v>
      </c>
      <c r="CQ37" s="148" t="s">
        <v>203</v>
      </c>
      <c r="CR37" s="148" t="s">
        <v>203</v>
      </c>
      <c r="CS37" s="148" t="s">
        <v>203</v>
      </c>
      <c r="CT37" s="136" t="s">
        <v>2</v>
      </c>
      <c r="CU37" s="136" t="s">
        <v>2</v>
      </c>
      <c r="CV37" s="148" t="s">
        <v>204</v>
      </c>
      <c r="CW37" s="148" t="s">
        <v>204</v>
      </c>
      <c r="CX37" s="148" t="s">
        <v>204</v>
      </c>
      <c r="CY37" s="136" t="s">
        <v>2</v>
      </c>
      <c r="CZ37" s="136" t="s">
        <v>2</v>
      </c>
      <c r="DA37" s="206" t="s">
        <v>202</v>
      </c>
      <c r="DB37" s="206" t="s">
        <v>202</v>
      </c>
      <c r="DC37" s="153" t="s">
        <v>203</v>
      </c>
      <c r="DD37" s="153"/>
      <c r="DE37" s="136" t="s">
        <v>2</v>
      </c>
      <c r="DF37" s="153" t="s">
        <v>227</v>
      </c>
      <c r="DG37" s="153" t="s">
        <v>227</v>
      </c>
      <c r="DH37" s="153"/>
      <c r="DI37" s="136"/>
      <c r="DJ37" s="602"/>
      <c r="DK37" s="584"/>
      <c r="DL37" s="584"/>
      <c r="DM37" s="584"/>
      <c r="DN37" s="584"/>
      <c r="DO37" s="584"/>
      <c r="DP37" s="603"/>
      <c r="DQ37" s="602"/>
      <c r="DR37" s="584"/>
      <c r="DS37" s="584"/>
      <c r="DT37" s="584"/>
      <c r="DU37" s="584"/>
      <c r="DV37" s="584"/>
      <c r="DW37" s="603"/>
      <c r="DX37" s="602"/>
      <c r="DY37" s="584"/>
      <c r="DZ37" s="584"/>
      <c r="EA37" s="584"/>
      <c r="EB37" s="584"/>
      <c r="EC37" s="584"/>
      <c r="ED37" s="588"/>
      <c r="EE37" s="221" t="s">
        <v>12</v>
      </c>
      <c r="EF37" s="221" t="s">
        <v>12</v>
      </c>
      <c r="EG37" s="210" t="s">
        <v>219</v>
      </c>
      <c r="EH37" s="223" t="s">
        <v>2</v>
      </c>
      <c r="EI37" s="223" t="s">
        <v>2</v>
      </c>
      <c r="EJ37" s="223" t="s">
        <v>7</v>
      </c>
      <c r="EK37" s="223" t="s">
        <v>116</v>
      </c>
      <c r="EL37" s="221" t="s">
        <v>11</v>
      </c>
      <c r="EM37" s="155" t="s">
        <v>231</v>
      </c>
      <c r="EN37" s="155" t="s">
        <v>231</v>
      </c>
      <c r="EO37" s="146" t="s">
        <v>214</v>
      </c>
      <c r="EP37" s="206" t="s">
        <v>224</v>
      </c>
      <c r="EQ37" s="200" t="s">
        <v>2</v>
      </c>
      <c r="ER37" s="200" t="s">
        <v>2</v>
      </c>
      <c r="ES37" s="587"/>
      <c r="ET37" s="584"/>
      <c r="EU37" s="584"/>
      <c r="EV37" s="584"/>
      <c r="EW37" s="584"/>
      <c r="EX37" s="584"/>
      <c r="EY37" s="588"/>
      <c r="EZ37" s="137" t="s">
        <v>354</v>
      </c>
      <c r="FA37" s="137" t="s">
        <v>354</v>
      </c>
      <c r="FB37" s="137" t="s">
        <v>354</v>
      </c>
      <c r="FC37" s="137" t="s">
        <v>354</v>
      </c>
      <c r="FD37" s="137" t="s">
        <v>354</v>
      </c>
      <c r="FE37" s="129" t="s">
        <v>2</v>
      </c>
      <c r="FF37" s="129"/>
      <c r="FG37" s="131" t="s">
        <v>2</v>
      </c>
      <c r="FH37" s="131" t="s">
        <v>2</v>
      </c>
      <c r="FI37" s="131" t="s">
        <v>2</v>
      </c>
      <c r="FJ37" s="131" t="s">
        <v>2</v>
      </c>
      <c r="FK37" s="131" t="s">
        <v>2</v>
      </c>
      <c r="FL37" s="129"/>
      <c r="FM37" s="129"/>
      <c r="FN37" s="98" t="s">
        <v>352</v>
      </c>
      <c r="FO37" s="129" t="s">
        <v>352</v>
      </c>
      <c r="FP37" s="129" t="s">
        <v>353</v>
      </c>
      <c r="FQ37" s="98" t="s">
        <v>352</v>
      </c>
      <c r="FR37" s="98" t="s">
        <v>352</v>
      </c>
      <c r="FS37" s="98" t="s">
        <v>2</v>
      </c>
      <c r="FT37" s="88"/>
      <c r="FU37" s="129" t="s">
        <v>353</v>
      </c>
      <c r="FV37" s="212" t="s">
        <v>2</v>
      </c>
      <c r="FW37" s="212" t="s">
        <v>2</v>
      </c>
      <c r="FX37" s="212" t="s">
        <v>358</v>
      </c>
      <c r="FY37" s="212" t="s">
        <v>358</v>
      </c>
      <c r="FZ37" s="212" t="s">
        <v>358</v>
      </c>
      <c r="GA37" s="129"/>
      <c r="GB37" s="129" t="s">
        <v>2</v>
      </c>
      <c r="GC37" s="212" t="s">
        <v>352</v>
      </c>
      <c r="GD37" s="212" t="s">
        <v>352</v>
      </c>
      <c r="GE37" s="212" t="s">
        <v>352</v>
      </c>
      <c r="GF37" s="212" t="s">
        <v>352</v>
      </c>
      <c r="GG37" s="212" t="s">
        <v>352</v>
      </c>
      <c r="GH37" s="129"/>
      <c r="GI37" s="141" t="s">
        <v>359</v>
      </c>
      <c r="GJ37" s="141" t="s">
        <v>359</v>
      </c>
      <c r="GK37" s="141" t="s">
        <v>359</v>
      </c>
      <c r="GL37" s="587"/>
      <c r="GM37" s="584"/>
      <c r="GN37" s="584"/>
      <c r="GO37" s="588"/>
      <c r="GP37" s="587"/>
      <c r="GQ37" s="584"/>
      <c r="GR37" s="584"/>
      <c r="GS37" s="584"/>
      <c r="GT37" s="584"/>
      <c r="GU37" s="584"/>
      <c r="GV37" s="588"/>
      <c r="GW37" s="583"/>
      <c r="GX37" s="584"/>
      <c r="GY37" s="584"/>
      <c r="GZ37" s="584"/>
      <c r="HA37" s="584"/>
      <c r="HB37" s="584"/>
      <c r="HC37" s="585"/>
      <c r="HD37" s="583"/>
      <c r="HE37" s="584"/>
      <c r="HF37" s="584"/>
      <c r="HG37" s="584"/>
      <c r="HH37" s="584"/>
      <c r="HI37" s="584"/>
      <c r="HJ37" s="585"/>
      <c r="HK37" s="583"/>
      <c r="HL37" s="584"/>
      <c r="HM37" s="584"/>
      <c r="HN37" s="584"/>
      <c r="HO37" s="584"/>
      <c r="HP37" s="584"/>
      <c r="HQ37" s="585"/>
      <c r="HR37" s="583"/>
      <c r="HS37" s="584"/>
      <c r="HT37" s="584"/>
      <c r="HU37" s="584"/>
      <c r="HV37" s="585"/>
      <c r="HW37" s="56" t="s">
        <v>2</v>
      </c>
      <c r="HX37" s="597"/>
      <c r="HY37" s="80" t="s">
        <v>360</v>
      </c>
      <c r="HZ37" s="80" t="s">
        <v>360</v>
      </c>
      <c r="IA37" s="80" t="s">
        <v>360</v>
      </c>
      <c r="IB37" s="80" t="s">
        <v>360</v>
      </c>
      <c r="IC37" s="80" t="s">
        <v>360</v>
      </c>
      <c r="ID37" s="56" t="s">
        <v>2</v>
      </c>
      <c r="IE37" s="597"/>
      <c r="IF37" s="602"/>
      <c r="IG37" s="584"/>
      <c r="IH37" s="584"/>
      <c r="II37" s="584"/>
      <c r="IJ37" s="584"/>
      <c r="IK37" s="584"/>
      <c r="IL37" s="603"/>
      <c r="IM37" s="602"/>
      <c r="IN37" s="584"/>
      <c r="IO37" s="584"/>
      <c r="IP37" s="584"/>
      <c r="IQ37" s="585"/>
      <c r="IR37" s="56" t="s">
        <v>2</v>
      </c>
      <c r="IS37" s="597"/>
      <c r="IT37" s="58" t="s">
        <v>220</v>
      </c>
      <c r="IU37" s="58" t="s">
        <v>220</v>
      </c>
      <c r="IV37" s="58" t="s">
        <v>227</v>
      </c>
      <c r="IW37" s="58" t="s">
        <v>227</v>
      </c>
      <c r="IX37" s="56" t="s">
        <v>2</v>
      </c>
      <c r="IY37" s="56" t="s">
        <v>2</v>
      </c>
      <c r="IZ37" s="597"/>
      <c r="JA37" s="58" t="s">
        <v>227</v>
      </c>
      <c r="JB37" s="58" t="s">
        <v>227</v>
      </c>
      <c r="JC37" s="240"/>
      <c r="JD37" s="240"/>
      <c r="JF37" s="240"/>
      <c r="JG37" s="240"/>
      <c r="JH37" s="80" t="s">
        <v>361</v>
      </c>
      <c r="JI37" s="80" t="s">
        <v>360</v>
      </c>
      <c r="JJ37" s="240"/>
      <c r="JK37" s="240"/>
      <c r="JL37" s="80" t="s">
        <v>210</v>
      </c>
      <c r="JM37" s="240"/>
      <c r="JN37" s="240"/>
      <c r="JO37" s="242" t="s">
        <v>227</v>
      </c>
      <c r="JP37" s="242" t="s">
        <v>220</v>
      </c>
      <c r="JQ37" s="240"/>
      <c r="JR37" s="240"/>
      <c r="JS37" s="240"/>
      <c r="JT37" s="240"/>
      <c r="JU37" s="240"/>
      <c r="LZ37" s="238" t="s">
        <v>128</v>
      </c>
      <c r="MA37" s="238" t="s">
        <v>128</v>
      </c>
      <c r="MB37" s="238" t="s">
        <v>128</v>
      </c>
      <c r="MC37" s="56" t="s">
        <v>2</v>
      </c>
      <c r="MD37" s="56" t="s">
        <v>2</v>
      </c>
      <c r="ME37" s="80" t="s">
        <v>119</v>
      </c>
      <c r="MF37" s="62" t="s">
        <v>149</v>
      </c>
    </row>
    <row r="38" spans="3:344" ht="13">
      <c r="P38" s="602"/>
      <c r="Q38" s="584"/>
      <c r="R38" s="584"/>
      <c r="S38" s="584"/>
      <c r="T38" s="584"/>
      <c r="U38" s="584"/>
      <c r="V38" s="603"/>
      <c r="W38" s="583"/>
      <c r="X38" s="584"/>
      <c r="Y38" s="584"/>
      <c r="Z38" s="584"/>
      <c r="AA38" s="584"/>
      <c r="AB38" s="584"/>
      <c r="AC38" s="585"/>
      <c r="AD38" s="583"/>
      <c r="AE38" s="584"/>
      <c r="AF38" s="584"/>
      <c r="AG38" s="584"/>
      <c r="AH38" s="584"/>
      <c r="AI38" s="584"/>
      <c r="AJ38" s="585"/>
      <c r="AK38" s="583"/>
      <c r="AL38" s="584"/>
      <c r="AM38" s="584"/>
      <c r="AN38" s="584"/>
      <c r="AO38" s="584"/>
      <c r="AP38" s="584"/>
      <c r="AQ38" s="585"/>
      <c r="AR38" s="200"/>
      <c r="AS38" s="204" t="s">
        <v>202</v>
      </c>
      <c r="AT38" s="204" t="s">
        <v>202</v>
      </c>
      <c r="AU38" s="213" t="s">
        <v>200</v>
      </c>
      <c r="AV38" s="213" t="s">
        <v>200</v>
      </c>
      <c r="AW38" s="155" t="s">
        <v>2</v>
      </c>
      <c r="AX38" s="200" t="s">
        <v>2</v>
      </c>
      <c r="AY38" s="583"/>
      <c r="AZ38" s="584"/>
      <c r="BA38" s="584"/>
      <c r="BB38" s="584"/>
      <c r="BC38" s="584"/>
      <c r="BD38" s="584"/>
      <c r="BE38" s="585"/>
      <c r="BF38" s="148" t="s">
        <v>202</v>
      </c>
      <c r="BG38" s="148" t="s">
        <v>196</v>
      </c>
      <c r="BH38" s="200" t="s">
        <v>2</v>
      </c>
      <c r="BI38" s="148" t="s">
        <v>203</v>
      </c>
      <c r="BJ38" s="148" t="s">
        <v>196</v>
      </c>
      <c r="BK38" s="148" t="s">
        <v>203</v>
      </c>
      <c r="BL38" s="200" t="s">
        <v>2</v>
      </c>
      <c r="BM38" s="204" t="s">
        <v>205</v>
      </c>
      <c r="BN38" s="204" t="s">
        <v>205</v>
      </c>
      <c r="BO38" s="204" t="s">
        <v>205</v>
      </c>
      <c r="BP38" s="204" t="s">
        <v>205</v>
      </c>
      <c r="BQ38" s="204" t="s">
        <v>205</v>
      </c>
      <c r="BR38" s="200" t="s">
        <v>2</v>
      </c>
      <c r="BS38" s="200" t="s">
        <v>2</v>
      </c>
      <c r="BT38" s="148" t="s">
        <v>203</v>
      </c>
      <c r="BU38" s="148" t="s">
        <v>203</v>
      </c>
      <c r="BV38" s="148" t="s">
        <v>203</v>
      </c>
      <c r="BW38" s="148" t="s">
        <v>203</v>
      </c>
      <c r="BX38" s="200" t="s">
        <v>2</v>
      </c>
      <c r="BY38" s="200" t="s">
        <v>2</v>
      </c>
      <c r="BZ38" s="136"/>
      <c r="CA38" s="206" t="s">
        <v>199</v>
      </c>
      <c r="CB38" s="206" t="s">
        <v>199</v>
      </c>
      <c r="CC38" s="206" t="s">
        <v>199</v>
      </c>
      <c r="CD38" s="206" t="s">
        <v>199</v>
      </c>
      <c r="CE38" s="206" t="s">
        <v>199</v>
      </c>
      <c r="CF38" s="136" t="s">
        <v>2</v>
      </c>
      <c r="CG38" s="136" t="s">
        <v>2</v>
      </c>
      <c r="CH38" s="148" t="s">
        <v>196</v>
      </c>
      <c r="CI38" s="148" t="s">
        <v>196</v>
      </c>
      <c r="CJ38" s="136" t="s">
        <v>2</v>
      </c>
      <c r="CK38" s="136" t="s">
        <v>2</v>
      </c>
      <c r="CL38" s="148" t="s">
        <v>203</v>
      </c>
      <c r="CM38" s="148" t="s">
        <v>203</v>
      </c>
      <c r="CN38" s="206" t="s">
        <v>202</v>
      </c>
      <c r="CO38" s="148" t="s">
        <v>203</v>
      </c>
      <c r="CP38" s="148" t="s">
        <v>203</v>
      </c>
      <c r="CQ38" s="148" t="s">
        <v>203</v>
      </c>
      <c r="CR38" s="136" t="s">
        <v>2</v>
      </c>
      <c r="CS38" s="136" t="s">
        <v>2</v>
      </c>
      <c r="CT38" s="148" t="s">
        <v>204</v>
      </c>
      <c r="CU38" s="148" t="s">
        <v>214</v>
      </c>
      <c r="CV38" s="148" t="s">
        <v>203</v>
      </c>
      <c r="CW38" s="136" t="s">
        <v>362</v>
      </c>
      <c r="CX38" s="136" t="s">
        <v>2</v>
      </c>
      <c r="CY38" s="136" t="s">
        <v>2</v>
      </c>
      <c r="CZ38" s="206" t="s">
        <v>202</v>
      </c>
      <c r="DA38" s="206" t="s">
        <v>202</v>
      </c>
      <c r="DB38" s="148" t="s">
        <v>204</v>
      </c>
      <c r="DC38" s="155" t="s">
        <v>203</v>
      </c>
      <c r="DD38" s="136"/>
      <c r="DE38" s="136" t="s">
        <v>2</v>
      </c>
      <c r="DF38" s="207" t="s">
        <v>219</v>
      </c>
      <c r="DG38" s="207" t="s">
        <v>219</v>
      </c>
      <c r="DH38" s="207"/>
      <c r="DI38" s="146"/>
      <c r="DJ38" s="587"/>
      <c r="DK38" s="584"/>
      <c r="DL38" s="584"/>
      <c r="DM38" s="584"/>
      <c r="DN38" s="584"/>
      <c r="DO38" s="584"/>
      <c r="DP38" s="588"/>
      <c r="DQ38" s="587"/>
      <c r="DR38" s="584"/>
      <c r="DS38" s="584"/>
      <c r="DT38" s="584"/>
      <c r="DU38" s="584"/>
      <c r="DV38" s="584"/>
      <c r="DW38" s="588"/>
      <c r="DX38" s="587"/>
      <c r="DY38" s="584"/>
      <c r="DZ38" s="584"/>
      <c r="EA38" s="584"/>
      <c r="EB38" s="584"/>
      <c r="EC38" s="584"/>
      <c r="ED38" s="603"/>
      <c r="EE38" s="167" t="s">
        <v>11</v>
      </c>
      <c r="EF38" s="167" t="s">
        <v>11</v>
      </c>
      <c r="EG38" s="155" t="s">
        <v>220</v>
      </c>
      <c r="EH38" s="136" t="s">
        <v>2</v>
      </c>
      <c r="EI38" s="136" t="s">
        <v>2</v>
      </c>
      <c r="EJ38" s="153" t="s">
        <v>140</v>
      </c>
      <c r="EK38" s="146" t="s">
        <v>117</v>
      </c>
      <c r="EL38" s="210" t="s">
        <v>12</v>
      </c>
      <c r="EM38" s="210" t="s">
        <v>363</v>
      </c>
      <c r="EN38" s="210" t="s">
        <v>363</v>
      </c>
      <c r="EO38" s="200" t="s">
        <v>2</v>
      </c>
      <c r="EP38" s="210" t="s">
        <v>219</v>
      </c>
      <c r="EQ38" s="200" t="s">
        <v>2</v>
      </c>
      <c r="ER38" s="204" t="s">
        <v>364</v>
      </c>
      <c r="ES38" s="602"/>
      <c r="ET38" s="584"/>
      <c r="EU38" s="584"/>
      <c r="EV38" s="584"/>
      <c r="EW38" s="584"/>
      <c r="EX38" s="584"/>
      <c r="EY38" s="603"/>
      <c r="EZ38" s="132" t="s">
        <v>2</v>
      </c>
      <c r="FA38" s="129" t="s">
        <v>2</v>
      </c>
      <c r="FB38" s="128" t="s">
        <v>353</v>
      </c>
      <c r="FC38" s="128" t="s">
        <v>353</v>
      </c>
      <c r="FD38" s="212" t="s">
        <v>352</v>
      </c>
      <c r="FE38" s="212" t="s">
        <v>353</v>
      </c>
      <c r="FF38" s="129"/>
      <c r="FG38" s="98" t="s">
        <v>354</v>
      </c>
      <c r="FH38" s="98" t="s">
        <v>2</v>
      </c>
      <c r="FI38" s="131" t="s">
        <v>353</v>
      </c>
      <c r="FJ38" s="131" t="s">
        <v>353</v>
      </c>
      <c r="FK38" s="131" t="s">
        <v>352</v>
      </c>
      <c r="FL38" s="129" t="s">
        <v>352</v>
      </c>
      <c r="FM38" s="129"/>
      <c r="FN38" s="128" t="s">
        <v>358</v>
      </c>
      <c r="FO38" s="128" t="s">
        <v>358</v>
      </c>
      <c r="FP38" s="128" t="s">
        <v>353</v>
      </c>
      <c r="FQ38" s="128" t="s">
        <v>352</v>
      </c>
      <c r="FR38" s="129" t="s">
        <v>353</v>
      </c>
      <c r="FS38" s="129" t="s">
        <v>2</v>
      </c>
      <c r="FT38" s="128"/>
      <c r="FU38" s="131" t="s">
        <v>353</v>
      </c>
      <c r="FV38" s="131" t="s">
        <v>353</v>
      </c>
      <c r="FW38" s="131" t="s">
        <v>352</v>
      </c>
      <c r="FX38" s="131" t="s">
        <v>352</v>
      </c>
      <c r="FY38" s="129" t="s">
        <v>2</v>
      </c>
      <c r="FZ38" s="129" t="s">
        <v>2</v>
      </c>
      <c r="GA38" s="88"/>
      <c r="GB38" s="131" t="s">
        <v>352</v>
      </c>
      <c r="GC38" s="131" t="s">
        <v>353</v>
      </c>
      <c r="GD38" s="131" t="s">
        <v>352</v>
      </c>
      <c r="GE38" s="131" t="s">
        <v>352</v>
      </c>
      <c r="GF38" s="129" t="s">
        <v>2</v>
      </c>
      <c r="GG38" s="129" t="s">
        <v>2</v>
      </c>
      <c r="GH38" s="88"/>
      <c r="GI38" s="131" t="s">
        <v>365</v>
      </c>
      <c r="GJ38" s="129" t="s">
        <v>2</v>
      </c>
      <c r="GK38" s="98" t="s">
        <v>366</v>
      </c>
      <c r="GL38" s="602"/>
      <c r="GM38" s="584"/>
      <c r="GN38" s="584"/>
      <c r="GO38" s="603"/>
      <c r="GP38" s="602"/>
      <c r="GQ38" s="584"/>
      <c r="GR38" s="584"/>
      <c r="GS38" s="584"/>
      <c r="GT38" s="584"/>
      <c r="GU38" s="584"/>
      <c r="GV38" s="603"/>
      <c r="GW38" s="583"/>
      <c r="GX38" s="584"/>
      <c r="GY38" s="584"/>
      <c r="GZ38" s="584"/>
      <c r="HA38" s="584"/>
      <c r="HB38" s="584"/>
      <c r="HC38" s="585"/>
      <c r="HD38" s="583"/>
      <c r="HE38" s="584"/>
      <c r="HF38" s="584"/>
      <c r="HG38" s="584"/>
      <c r="HH38" s="584"/>
      <c r="HI38" s="584"/>
      <c r="HJ38" s="585"/>
      <c r="HK38" s="583"/>
      <c r="HL38" s="584"/>
      <c r="HM38" s="584"/>
      <c r="HN38" s="584"/>
      <c r="HO38" s="584"/>
      <c r="HP38" s="584"/>
      <c r="HQ38" s="585"/>
      <c r="HR38" s="583"/>
      <c r="HS38" s="584"/>
      <c r="HT38" s="584"/>
      <c r="HU38" s="584"/>
      <c r="HV38" s="585"/>
      <c r="HW38" s="82" t="s">
        <v>2</v>
      </c>
      <c r="HX38" s="598"/>
      <c r="HY38" s="54" t="s">
        <v>233</v>
      </c>
      <c r="HZ38" s="54" t="s">
        <v>367</v>
      </c>
      <c r="IA38" s="54" t="s">
        <v>367</v>
      </c>
      <c r="IB38" s="56" t="s">
        <v>2</v>
      </c>
      <c r="IC38" s="56" t="s">
        <v>2</v>
      </c>
      <c r="ID38" s="82" t="s">
        <v>220</v>
      </c>
      <c r="IE38" s="598"/>
      <c r="IF38" s="587"/>
      <c r="IG38" s="584"/>
      <c r="IH38" s="584"/>
      <c r="II38" s="584"/>
      <c r="IJ38" s="584"/>
      <c r="IK38" s="584"/>
      <c r="IL38" s="588"/>
      <c r="IM38" s="587"/>
      <c r="IN38" s="584"/>
      <c r="IO38" s="584"/>
      <c r="IP38" s="584"/>
      <c r="IQ38" s="585"/>
      <c r="IR38" s="55" t="s">
        <v>367</v>
      </c>
      <c r="IS38" s="598"/>
      <c r="IT38" s="82" t="s">
        <v>356</v>
      </c>
      <c r="IU38" s="82" t="s">
        <v>356</v>
      </c>
      <c r="IV38" s="82" t="s">
        <v>220</v>
      </c>
      <c r="IW38" s="82" t="s">
        <v>220</v>
      </c>
      <c r="IX38" s="82" t="s">
        <v>220</v>
      </c>
      <c r="IY38" s="56" t="s">
        <v>2</v>
      </c>
      <c r="IZ38" s="598"/>
      <c r="JA38" s="55" t="s">
        <v>233</v>
      </c>
      <c r="JB38" s="58" t="s">
        <v>231</v>
      </c>
      <c r="JC38" s="240"/>
      <c r="JD38" s="240"/>
      <c r="JF38" s="240"/>
      <c r="JG38" s="240"/>
      <c r="JH38" s="58" t="s">
        <v>231</v>
      </c>
      <c r="JI38" s="81" t="s">
        <v>219</v>
      </c>
      <c r="JJ38" s="240"/>
      <c r="JK38" s="240"/>
      <c r="JL38" s="56" t="s">
        <v>2</v>
      </c>
      <c r="JM38" s="240"/>
      <c r="JN38" s="240"/>
      <c r="JO38" s="243" t="s">
        <v>356</v>
      </c>
      <c r="JP38" s="56" t="s">
        <v>2</v>
      </c>
      <c r="JQ38" s="240"/>
      <c r="JR38" s="240"/>
      <c r="JS38" s="240"/>
      <c r="JT38" s="240"/>
      <c r="JU38" s="240"/>
      <c r="LZ38" s="81" t="s">
        <v>146</v>
      </c>
      <c r="MA38" s="58" t="s">
        <v>67</v>
      </c>
      <c r="MB38" s="58" t="s">
        <v>67</v>
      </c>
      <c r="MC38" s="56" t="s">
        <v>2</v>
      </c>
      <c r="MD38" s="82" t="s">
        <v>45</v>
      </c>
      <c r="ME38" s="58" t="s">
        <v>67</v>
      </c>
      <c r="MF38" s="56" t="s">
        <v>2</v>
      </c>
    </row>
    <row r="39" spans="3:344" ht="13">
      <c r="P39" s="587"/>
      <c r="Q39" s="584"/>
      <c r="R39" s="584"/>
      <c r="S39" s="584"/>
      <c r="T39" s="584"/>
      <c r="U39" s="584"/>
      <c r="V39" s="588"/>
      <c r="W39" s="583"/>
      <c r="X39" s="584"/>
      <c r="Y39" s="584"/>
      <c r="Z39" s="584"/>
      <c r="AA39" s="584"/>
      <c r="AB39" s="584"/>
      <c r="AC39" s="585"/>
      <c r="AD39" s="583"/>
      <c r="AE39" s="584"/>
      <c r="AF39" s="584"/>
      <c r="AG39" s="584"/>
      <c r="AH39" s="584"/>
      <c r="AI39" s="584"/>
      <c r="AJ39" s="585"/>
      <c r="AK39" s="583"/>
      <c r="AL39" s="584"/>
      <c r="AM39" s="584"/>
      <c r="AN39" s="584"/>
      <c r="AO39" s="584"/>
      <c r="AP39" s="584"/>
      <c r="AQ39" s="585"/>
      <c r="AR39" s="206" t="s">
        <v>2</v>
      </c>
      <c r="AS39" s="206" t="s">
        <v>204</v>
      </c>
      <c r="AT39" s="203" t="s">
        <v>204</v>
      </c>
      <c r="AU39" s="206" t="s">
        <v>205</v>
      </c>
      <c r="AV39" s="200" t="s">
        <v>205</v>
      </c>
      <c r="AW39" s="200" t="s">
        <v>2</v>
      </c>
      <c r="AX39" s="146" t="s">
        <v>214</v>
      </c>
      <c r="AY39" s="583"/>
      <c r="AZ39" s="584"/>
      <c r="BA39" s="584"/>
      <c r="BB39" s="584"/>
      <c r="BC39" s="584"/>
      <c r="BD39" s="584"/>
      <c r="BE39" s="585"/>
      <c r="BF39" s="239" t="s">
        <v>200</v>
      </c>
      <c r="BG39" s="200" t="s">
        <v>2</v>
      </c>
      <c r="BH39" s="241" t="s">
        <v>202</v>
      </c>
      <c r="BI39" s="241" t="s">
        <v>203</v>
      </c>
      <c r="BJ39" s="241" t="s">
        <v>202</v>
      </c>
      <c r="BK39" s="241" t="s">
        <v>202</v>
      </c>
      <c r="BL39" s="200" t="s">
        <v>2</v>
      </c>
      <c r="BM39" s="148" t="s">
        <v>203</v>
      </c>
      <c r="BN39" s="148" t="s">
        <v>203</v>
      </c>
      <c r="BO39" s="148" t="s">
        <v>203</v>
      </c>
      <c r="BP39" s="148" t="s">
        <v>203</v>
      </c>
      <c r="BQ39" s="200" t="s">
        <v>2</v>
      </c>
      <c r="BR39" s="200" t="s">
        <v>2</v>
      </c>
      <c r="BS39" s="206" t="s">
        <v>199</v>
      </c>
      <c r="BT39" s="148" t="s">
        <v>196</v>
      </c>
      <c r="BU39" s="148" t="s">
        <v>196</v>
      </c>
      <c r="BV39" s="148" t="s">
        <v>196</v>
      </c>
      <c r="BW39" s="148" t="s">
        <v>196</v>
      </c>
      <c r="BX39" s="148" t="s">
        <v>196</v>
      </c>
      <c r="BY39" s="200" t="s">
        <v>2</v>
      </c>
      <c r="BZ39" s="200" t="s">
        <v>2</v>
      </c>
      <c r="CA39" s="148" t="s">
        <v>203</v>
      </c>
      <c r="CB39" s="148" t="s">
        <v>203</v>
      </c>
      <c r="CC39" s="136" t="s">
        <v>2</v>
      </c>
      <c r="CD39" s="148" t="s">
        <v>203</v>
      </c>
      <c r="CE39" s="148" t="s">
        <v>203</v>
      </c>
      <c r="CF39" s="148" t="s">
        <v>203</v>
      </c>
      <c r="CG39" s="136" t="s">
        <v>2</v>
      </c>
      <c r="CH39" s="206" t="s">
        <v>202</v>
      </c>
      <c r="CI39" s="148" t="s">
        <v>203</v>
      </c>
      <c r="CJ39" s="206" t="s">
        <v>202</v>
      </c>
      <c r="CK39" s="206" t="s">
        <v>202</v>
      </c>
      <c r="CL39" s="206" t="s">
        <v>202</v>
      </c>
      <c r="CM39" s="136" t="s">
        <v>2</v>
      </c>
      <c r="CN39" s="136" t="s">
        <v>2</v>
      </c>
      <c r="CO39" s="148" t="s">
        <v>196</v>
      </c>
      <c r="CP39" s="148" t="s">
        <v>196</v>
      </c>
      <c r="CQ39" s="148" t="s">
        <v>196</v>
      </c>
      <c r="CR39" s="148" t="s">
        <v>196</v>
      </c>
      <c r="CS39" s="148" t="s">
        <v>196</v>
      </c>
      <c r="CT39" s="136" t="s">
        <v>2</v>
      </c>
      <c r="CU39" s="136" t="s">
        <v>2</v>
      </c>
      <c r="CV39" s="206" t="s">
        <v>202</v>
      </c>
      <c r="CW39" s="136" t="s">
        <v>362</v>
      </c>
      <c r="CX39" s="206" t="s">
        <v>202</v>
      </c>
      <c r="CY39" s="206" t="s">
        <v>202</v>
      </c>
      <c r="CZ39" s="136" t="s">
        <v>2</v>
      </c>
      <c r="DA39" s="136" t="s">
        <v>2</v>
      </c>
      <c r="DB39" s="148" t="s">
        <v>214</v>
      </c>
      <c r="DC39" s="210" t="s">
        <v>196</v>
      </c>
      <c r="DD39" s="210"/>
      <c r="DE39" s="136" t="s">
        <v>2</v>
      </c>
      <c r="DF39" s="136" t="s">
        <v>2</v>
      </c>
      <c r="DG39" s="210" t="s">
        <v>363</v>
      </c>
      <c r="DH39" s="210"/>
      <c r="DI39" s="135"/>
      <c r="DJ39" s="602"/>
      <c r="DK39" s="584"/>
      <c r="DL39" s="584"/>
      <c r="DM39" s="584"/>
      <c r="DN39" s="584"/>
      <c r="DO39" s="584"/>
      <c r="DP39" s="603"/>
      <c r="DQ39" s="602"/>
      <c r="DR39" s="584"/>
      <c r="DS39" s="584"/>
      <c r="DT39" s="584"/>
      <c r="DU39" s="584"/>
      <c r="DV39" s="584"/>
      <c r="DW39" s="603"/>
      <c r="DX39" s="602"/>
      <c r="DY39" s="584"/>
      <c r="DZ39" s="584"/>
      <c r="EA39" s="584"/>
      <c r="EB39" s="584"/>
      <c r="EC39" s="584"/>
      <c r="ED39" s="588"/>
      <c r="EE39" s="223" t="s">
        <v>7</v>
      </c>
      <c r="EF39" s="223" t="s">
        <v>7</v>
      </c>
      <c r="EG39" s="206" t="s">
        <v>222</v>
      </c>
      <c r="EH39" s="135" t="s">
        <v>116</v>
      </c>
      <c r="EI39" s="153" t="s">
        <v>7</v>
      </c>
      <c r="EJ39" s="223" t="s">
        <v>2</v>
      </c>
      <c r="EK39" s="223" t="s">
        <v>2</v>
      </c>
      <c r="EL39" s="221" t="s">
        <v>118</v>
      </c>
      <c r="EM39" s="150" t="s">
        <v>225</v>
      </c>
      <c r="EN39" s="150" t="s">
        <v>225</v>
      </c>
      <c r="EO39" s="200" t="s">
        <v>2</v>
      </c>
      <c r="EP39" s="200" t="s">
        <v>2</v>
      </c>
      <c r="EQ39" s="150" t="s">
        <v>225</v>
      </c>
      <c r="ER39" s="206" t="s">
        <v>227</v>
      </c>
      <c r="ES39" s="587"/>
      <c r="ET39" s="584"/>
      <c r="EU39" s="584"/>
      <c r="EV39" s="584"/>
      <c r="EW39" s="584"/>
      <c r="EX39" s="584"/>
      <c r="EY39" s="588"/>
      <c r="EZ39" s="128" t="s">
        <v>353</v>
      </c>
      <c r="FA39" s="128" t="s">
        <v>353</v>
      </c>
      <c r="FB39" s="129" t="s">
        <v>353</v>
      </c>
      <c r="FC39" s="129" t="s">
        <v>353</v>
      </c>
      <c r="FD39" s="128" t="s">
        <v>353</v>
      </c>
      <c r="FE39" s="128" t="s">
        <v>2</v>
      </c>
      <c r="FF39" s="88"/>
      <c r="FG39" s="132" t="s">
        <v>353</v>
      </c>
      <c r="FH39" s="132" t="s">
        <v>353</v>
      </c>
      <c r="FI39" s="129" t="s">
        <v>2</v>
      </c>
      <c r="FJ39" s="132" t="s">
        <v>2</v>
      </c>
      <c r="FK39" s="132" t="s">
        <v>353</v>
      </c>
      <c r="FL39" s="132"/>
      <c r="FM39" s="129"/>
      <c r="FN39" s="154" t="s">
        <v>354</v>
      </c>
      <c r="FO39" s="154" t="s">
        <v>354</v>
      </c>
      <c r="FP39" s="128" t="s">
        <v>2</v>
      </c>
      <c r="FQ39" s="128" t="s">
        <v>368</v>
      </c>
      <c r="FR39" s="131" t="s">
        <v>368</v>
      </c>
      <c r="FS39" s="129" t="s">
        <v>354</v>
      </c>
      <c r="FT39" s="129"/>
      <c r="FU39" s="131" t="s">
        <v>19</v>
      </c>
      <c r="FV39" s="131" t="s">
        <v>19</v>
      </c>
      <c r="FW39" s="131" t="s">
        <v>369</v>
      </c>
      <c r="FX39" s="131" t="s">
        <v>369</v>
      </c>
      <c r="FY39" s="131" t="s">
        <v>352</v>
      </c>
      <c r="FZ39" s="129" t="s">
        <v>2</v>
      </c>
      <c r="GA39" s="129"/>
      <c r="GB39" s="131" t="s">
        <v>369</v>
      </c>
      <c r="GC39" s="131" t="s">
        <v>369</v>
      </c>
      <c r="GD39" s="131" t="s">
        <v>369</v>
      </c>
      <c r="GE39" s="131" t="s">
        <v>369</v>
      </c>
      <c r="GF39" s="131" t="s">
        <v>369</v>
      </c>
      <c r="GG39" s="129" t="s">
        <v>2</v>
      </c>
      <c r="GH39" s="129"/>
      <c r="GI39" s="131" t="s">
        <v>370</v>
      </c>
      <c r="GJ39" s="131" t="s">
        <v>370</v>
      </c>
      <c r="GK39" s="131" t="s">
        <v>370</v>
      </c>
      <c r="GL39" s="587"/>
      <c r="GM39" s="584"/>
      <c r="GN39" s="584"/>
      <c r="GO39" s="588"/>
      <c r="GP39" s="587"/>
      <c r="GQ39" s="584"/>
      <c r="GR39" s="584"/>
      <c r="GS39" s="584"/>
      <c r="GT39" s="584"/>
      <c r="GU39" s="584"/>
      <c r="GV39" s="588"/>
      <c r="GW39" s="583"/>
      <c r="GX39" s="584"/>
      <c r="GY39" s="584"/>
      <c r="GZ39" s="584"/>
      <c r="HA39" s="584"/>
      <c r="HB39" s="584"/>
      <c r="HC39" s="585"/>
      <c r="HD39" s="583"/>
      <c r="HE39" s="584"/>
      <c r="HF39" s="584"/>
      <c r="HG39" s="584"/>
      <c r="HH39" s="584"/>
      <c r="HI39" s="584"/>
      <c r="HJ39" s="585"/>
      <c r="HK39" s="583"/>
      <c r="HL39" s="584"/>
      <c r="HM39" s="584"/>
      <c r="HN39" s="584"/>
      <c r="HO39" s="584"/>
      <c r="HP39" s="584"/>
      <c r="HQ39" s="585"/>
      <c r="HR39" s="583"/>
      <c r="HS39" s="584"/>
      <c r="HT39" s="584"/>
      <c r="HU39" s="584"/>
      <c r="HV39" s="585"/>
      <c r="HW39" s="58" t="s">
        <v>367</v>
      </c>
      <c r="HX39" s="597"/>
      <c r="HY39" s="56" t="s">
        <v>2</v>
      </c>
      <c r="HZ39" s="58" t="s">
        <v>224</v>
      </c>
      <c r="IA39" s="58" t="s">
        <v>224</v>
      </c>
      <c r="IB39" s="58" t="s">
        <v>224</v>
      </c>
      <c r="IC39" s="58" t="s">
        <v>227</v>
      </c>
      <c r="ID39" s="58" t="s">
        <v>227</v>
      </c>
      <c r="IE39" s="597"/>
      <c r="IF39" s="602"/>
      <c r="IG39" s="584"/>
      <c r="IH39" s="584"/>
      <c r="II39" s="584"/>
      <c r="IJ39" s="584"/>
      <c r="IK39" s="584"/>
      <c r="IL39" s="603"/>
      <c r="IM39" s="602"/>
      <c r="IN39" s="584"/>
      <c r="IO39" s="584"/>
      <c r="IP39" s="584"/>
      <c r="IQ39" s="585"/>
      <c r="IR39" s="80" t="s">
        <v>223</v>
      </c>
      <c r="IS39" s="597"/>
      <c r="IT39" s="80" t="s">
        <v>360</v>
      </c>
      <c r="IU39" s="80" t="s">
        <v>360</v>
      </c>
      <c r="IV39" s="56" t="s">
        <v>2</v>
      </c>
      <c r="IW39" s="80" t="s">
        <v>360</v>
      </c>
      <c r="IX39" s="80" t="s">
        <v>371</v>
      </c>
      <c r="IY39" s="80" t="s">
        <v>371</v>
      </c>
      <c r="IZ39" s="597"/>
      <c r="JA39" s="54" t="s">
        <v>224</v>
      </c>
      <c r="JB39" s="54" t="s">
        <v>224</v>
      </c>
      <c r="JC39" s="240"/>
      <c r="JD39" s="240"/>
      <c r="JF39" s="240"/>
      <c r="JG39" s="240"/>
      <c r="JH39" s="54" t="s">
        <v>372</v>
      </c>
      <c r="JI39" s="58" t="s">
        <v>227</v>
      </c>
      <c r="JJ39" s="240"/>
      <c r="JK39" s="240"/>
      <c r="JL39" s="56" t="s">
        <v>2</v>
      </c>
      <c r="JM39" s="240"/>
      <c r="JN39" s="240"/>
      <c r="JO39" s="244" t="s">
        <v>217</v>
      </c>
      <c r="JP39" s="56" t="s">
        <v>2</v>
      </c>
      <c r="JQ39" s="240"/>
      <c r="JR39" s="240"/>
      <c r="JS39" s="240"/>
      <c r="JT39" s="240"/>
      <c r="JU39" s="240"/>
      <c r="LZ39" s="58" t="s">
        <v>67</v>
      </c>
      <c r="MA39" s="56" t="s">
        <v>2</v>
      </c>
      <c r="MB39" s="81" t="s">
        <v>146</v>
      </c>
      <c r="MC39" s="81" t="s">
        <v>146</v>
      </c>
      <c r="MD39" s="81" t="s">
        <v>146</v>
      </c>
      <c r="ME39" s="81" t="s">
        <v>146</v>
      </c>
      <c r="MF39" s="56" t="s">
        <v>2</v>
      </c>
    </row>
    <row r="40" spans="3:344" ht="13">
      <c r="P40" s="602"/>
      <c r="Q40" s="584"/>
      <c r="R40" s="584"/>
      <c r="S40" s="584"/>
      <c r="T40" s="584"/>
      <c r="U40" s="584"/>
      <c r="V40" s="603"/>
      <c r="W40" s="583"/>
      <c r="X40" s="584"/>
      <c r="Y40" s="584"/>
      <c r="Z40" s="584"/>
      <c r="AA40" s="584"/>
      <c r="AB40" s="584"/>
      <c r="AC40" s="585"/>
      <c r="AD40" s="583"/>
      <c r="AE40" s="584"/>
      <c r="AF40" s="584"/>
      <c r="AG40" s="584"/>
      <c r="AH40" s="584"/>
      <c r="AI40" s="584"/>
      <c r="AJ40" s="585"/>
      <c r="AK40" s="583"/>
      <c r="AL40" s="584"/>
      <c r="AM40" s="584"/>
      <c r="AN40" s="584"/>
      <c r="AO40" s="584"/>
      <c r="AP40" s="584"/>
      <c r="AQ40" s="585"/>
      <c r="AR40" s="204"/>
      <c r="AS40" s="200" t="s">
        <v>198</v>
      </c>
      <c r="AT40" s="206" t="s">
        <v>198</v>
      </c>
      <c r="AU40" s="206" t="s">
        <v>198</v>
      </c>
      <c r="AV40" s="206" t="s">
        <v>2</v>
      </c>
      <c r="AW40" s="200" t="s">
        <v>2</v>
      </c>
      <c r="AX40" s="204" t="s">
        <v>214</v>
      </c>
      <c r="AY40" s="583"/>
      <c r="AZ40" s="584"/>
      <c r="BA40" s="584"/>
      <c r="BB40" s="584"/>
      <c r="BC40" s="584"/>
      <c r="BD40" s="584"/>
      <c r="BE40" s="585"/>
      <c r="BF40" s="206" t="s">
        <v>199</v>
      </c>
      <c r="BG40" s="206" t="s">
        <v>198</v>
      </c>
      <c r="BH40" s="206" t="s">
        <v>199</v>
      </c>
      <c r="BI40" s="206" t="s">
        <v>198</v>
      </c>
      <c r="BJ40" s="206" t="s">
        <v>199</v>
      </c>
      <c r="BK40" s="200" t="s">
        <v>2</v>
      </c>
      <c r="BL40" s="200" t="s">
        <v>2</v>
      </c>
      <c r="BM40" s="204" t="s">
        <v>204</v>
      </c>
      <c r="BN40" s="204" t="s">
        <v>204</v>
      </c>
      <c r="BO40" s="204" t="s">
        <v>204</v>
      </c>
      <c r="BP40" s="200" t="s">
        <v>2</v>
      </c>
      <c r="BQ40" s="200" t="s">
        <v>2</v>
      </c>
      <c r="BR40" s="204" t="s">
        <v>204</v>
      </c>
      <c r="BS40" s="204" t="s">
        <v>204</v>
      </c>
      <c r="BT40" s="200" t="s">
        <v>2</v>
      </c>
      <c r="BU40" s="200" t="s">
        <v>2</v>
      </c>
      <c r="BV40" s="148" t="s">
        <v>196</v>
      </c>
      <c r="BW40" s="148" t="s">
        <v>196</v>
      </c>
      <c r="BX40" s="148" t="s">
        <v>196</v>
      </c>
      <c r="BY40" s="148" t="s">
        <v>196</v>
      </c>
      <c r="BZ40" s="245"/>
      <c r="CA40" s="200" t="s">
        <v>2</v>
      </c>
      <c r="CB40" s="148" t="s">
        <v>203</v>
      </c>
      <c r="CC40" s="136" t="s">
        <v>2</v>
      </c>
      <c r="CD40" s="148" t="s">
        <v>196</v>
      </c>
      <c r="CE40" s="148" t="s">
        <v>196</v>
      </c>
      <c r="CF40" s="148" t="s">
        <v>205</v>
      </c>
      <c r="CG40" s="148" t="s">
        <v>205</v>
      </c>
      <c r="CH40" s="206" t="s">
        <v>199</v>
      </c>
      <c r="CI40" s="136" t="s">
        <v>2</v>
      </c>
      <c r="CJ40" s="136" t="s">
        <v>2</v>
      </c>
      <c r="CK40" s="148" t="s">
        <v>203</v>
      </c>
      <c r="CL40" s="148" t="s">
        <v>203</v>
      </c>
      <c r="CM40" s="148" t="s">
        <v>203</v>
      </c>
      <c r="CN40" s="148" t="s">
        <v>204</v>
      </c>
      <c r="CO40" s="148" t="s">
        <v>196</v>
      </c>
      <c r="CP40" s="136" t="s">
        <v>2</v>
      </c>
      <c r="CQ40" s="136" t="s">
        <v>2</v>
      </c>
      <c r="CR40" s="148" t="s">
        <v>204</v>
      </c>
      <c r="CS40" s="148" t="s">
        <v>196</v>
      </c>
      <c r="CT40" s="148" t="s">
        <v>196</v>
      </c>
      <c r="CU40" s="148" t="s">
        <v>214</v>
      </c>
      <c r="CV40" s="136" t="s">
        <v>2</v>
      </c>
      <c r="CW40" s="136" t="s">
        <v>362</v>
      </c>
      <c r="CX40" s="136" t="s">
        <v>2</v>
      </c>
      <c r="CY40" s="148"/>
      <c r="CZ40" s="148" t="s">
        <v>204</v>
      </c>
      <c r="DA40" s="148" t="s">
        <v>204</v>
      </c>
      <c r="DB40" s="148" t="s">
        <v>214</v>
      </c>
      <c r="DC40" s="155" t="s">
        <v>196</v>
      </c>
      <c r="DD40" s="136"/>
      <c r="DE40" s="153" t="s">
        <v>227</v>
      </c>
      <c r="DF40" s="153" t="s">
        <v>222</v>
      </c>
      <c r="DG40" s="153" t="s">
        <v>222</v>
      </c>
      <c r="DH40" s="136"/>
      <c r="DI40" s="146"/>
      <c r="DJ40" s="587"/>
      <c r="DK40" s="584"/>
      <c r="DL40" s="584"/>
      <c r="DM40" s="584"/>
      <c r="DN40" s="584"/>
      <c r="DO40" s="584"/>
      <c r="DP40" s="588"/>
      <c r="DQ40" s="587"/>
      <c r="DR40" s="584"/>
      <c r="DS40" s="584"/>
      <c r="DT40" s="584"/>
      <c r="DU40" s="584"/>
      <c r="DV40" s="584"/>
      <c r="DW40" s="588"/>
      <c r="DX40" s="587"/>
      <c r="DY40" s="584"/>
      <c r="DZ40" s="584"/>
      <c r="EA40" s="584"/>
      <c r="EB40" s="584"/>
      <c r="EC40" s="584"/>
      <c r="ED40" s="603"/>
      <c r="EE40" s="162" t="s">
        <v>268</v>
      </c>
      <c r="EF40" s="167" t="s">
        <v>11</v>
      </c>
      <c r="EG40" s="155" t="s">
        <v>356</v>
      </c>
      <c r="EH40" s="167" t="s">
        <v>117</v>
      </c>
      <c r="EI40" s="167" t="s">
        <v>11</v>
      </c>
      <c r="EJ40" s="236" t="s">
        <v>2</v>
      </c>
      <c r="EK40" s="236" t="s">
        <v>2</v>
      </c>
      <c r="EL40" s="236" t="s">
        <v>7</v>
      </c>
      <c r="EM40" s="206" t="s">
        <v>224</v>
      </c>
      <c r="EN40" s="206" t="s">
        <v>224</v>
      </c>
      <c r="EO40" s="200" t="s">
        <v>2</v>
      </c>
      <c r="EP40" s="206" t="s">
        <v>222</v>
      </c>
      <c r="EQ40" s="206" t="s">
        <v>224</v>
      </c>
      <c r="ER40" s="200" t="s">
        <v>2</v>
      </c>
      <c r="ES40" s="602"/>
      <c r="ET40" s="584"/>
      <c r="EU40" s="584"/>
      <c r="EV40" s="584"/>
      <c r="EW40" s="584"/>
      <c r="EX40" s="584"/>
      <c r="EY40" s="603"/>
      <c r="EZ40" s="154" t="s">
        <v>352</v>
      </c>
      <c r="FA40" s="158" t="s">
        <v>353</v>
      </c>
      <c r="FB40" s="158" t="s">
        <v>352</v>
      </c>
      <c r="FC40" s="129" t="s">
        <v>352</v>
      </c>
      <c r="FD40" s="128" t="s">
        <v>2</v>
      </c>
      <c r="FE40" s="98" t="s">
        <v>2</v>
      </c>
      <c r="FF40" s="128"/>
      <c r="FG40" s="128" t="s">
        <v>19</v>
      </c>
      <c r="FH40" s="128" t="s">
        <v>373</v>
      </c>
      <c r="FI40" s="129" t="s">
        <v>352</v>
      </c>
      <c r="FJ40" s="128" t="s">
        <v>2</v>
      </c>
      <c r="FK40" s="154" t="s">
        <v>352</v>
      </c>
      <c r="FL40" s="128" t="s">
        <v>358</v>
      </c>
      <c r="FM40" s="88"/>
      <c r="FN40" s="131" t="s">
        <v>353</v>
      </c>
      <c r="FO40" s="131" t="s">
        <v>353</v>
      </c>
      <c r="FP40" s="131" t="s">
        <v>2</v>
      </c>
      <c r="FQ40" s="154" t="s">
        <v>353</v>
      </c>
      <c r="FR40" s="131" t="s">
        <v>19</v>
      </c>
      <c r="FS40" s="129"/>
      <c r="FT40" s="129"/>
      <c r="FU40" s="128" t="s">
        <v>352</v>
      </c>
      <c r="FV40" s="128" t="s">
        <v>352</v>
      </c>
      <c r="FW40" s="154" t="s">
        <v>353</v>
      </c>
      <c r="FX40" s="129" t="s">
        <v>352</v>
      </c>
      <c r="FY40" s="129" t="s">
        <v>352</v>
      </c>
      <c r="FZ40" s="128" t="s">
        <v>2</v>
      </c>
      <c r="GA40" s="128"/>
      <c r="GB40" s="128" t="s">
        <v>353</v>
      </c>
      <c r="GC40" s="128" t="s">
        <v>369</v>
      </c>
      <c r="GD40" s="154" t="s">
        <v>19</v>
      </c>
      <c r="GE40" s="129" t="s">
        <v>2</v>
      </c>
      <c r="GF40" s="129" t="s">
        <v>2</v>
      </c>
      <c r="GG40" s="128"/>
      <c r="GH40" s="128"/>
      <c r="GI40" s="129" t="s">
        <v>2</v>
      </c>
      <c r="GJ40" s="162" t="s">
        <v>19</v>
      </c>
      <c r="GK40" s="212" t="s">
        <v>374</v>
      </c>
      <c r="GL40" s="602"/>
      <c r="GM40" s="584"/>
      <c r="GN40" s="584"/>
      <c r="GO40" s="603"/>
      <c r="GP40" s="602"/>
      <c r="GQ40" s="584"/>
      <c r="GR40" s="584"/>
      <c r="GS40" s="584"/>
      <c r="GT40" s="584"/>
      <c r="GU40" s="584"/>
      <c r="GV40" s="603"/>
      <c r="GW40" s="583"/>
      <c r="GX40" s="584"/>
      <c r="GY40" s="584"/>
      <c r="GZ40" s="584"/>
      <c r="HA40" s="584"/>
      <c r="HB40" s="584"/>
      <c r="HC40" s="585"/>
      <c r="HD40" s="583"/>
      <c r="HE40" s="584"/>
      <c r="HF40" s="584"/>
      <c r="HG40" s="584"/>
      <c r="HH40" s="584"/>
      <c r="HI40" s="584"/>
      <c r="HJ40" s="585"/>
      <c r="HK40" s="583"/>
      <c r="HL40" s="584"/>
      <c r="HM40" s="584"/>
      <c r="HN40" s="584"/>
      <c r="HO40" s="584"/>
      <c r="HP40" s="584"/>
      <c r="HQ40" s="585"/>
      <c r="HR40" s="583"/>
      <c r="HS40" s="584"/>
      <c r="HT40" s="584"/>
      <c r="HU40" s="584"/>
      <c r="HV40" s="585"/>
      <c r="HW40" s="56" t="s">
        <v>2</v>
      </c>
      <c r="HX40" s="598"/>
      <c r="HY40" s="81" t="s">
        <v>226</v>
      </c>
      <c r="HZ40" s="81" t="s">
        <v>226</v>
      </c>
      <c r="IA40" s="81" t="s">
        <v>226</v>
      </c>
      <c r="IB40" s="81" t="s">
        <v>226</v>
      </c>
      <c r="IC40" s="56" t="s">
        <v>2</v>
      </c>
      <c r="ID40" s="56" t="s">
        <v>2</v>
      </c>
      <c r="IE40" s="598"/>
      <c r="IF40" s="587"/>
      <c r="IG40" s="584"/>
      <c r="IH40" s="584"/>
      <c r="II40" s="584"/>
      <c r="IJ40" s="584"/>
      <c r="IK40" s="584"/>
      <c r="IL40" s="588"/>
      <c r="IM40" s="587"/>
      <c r="IN40" s="584"/>
      <c r="IO40" s="584"/>
      <c r="IP40" s="584"/>
      <c r="IQ40" s="585"/>
      <c r="IR40" s="54" t="s">
        <v>224</v>
      </c>
      <c r="IS40" s="598"/>
      <c r="IT40" s="56" t="s">
        <v>2</v>
      </c>
      <c r="IU40" s="54" t="s">
        <v>233</v>
      </c>
      <c r="IV40" s="54" t="s">
        <v>233</v>
      </c>
      <c r="IW40" s="54" t="s">
        <v>233</v>
      </c>
      <c r="IX40" s="54" t="s">
        <v>233</v>
      </c>
      <c r="IY40" s="55" t="s">
        <v>367</v>
      </c>
      <c r="IZ40" s="598"/>
      <c r="JA40" s="81" t="s">
        <v>226</v>
      </c>
      <c r="JB40" s="81" t="s">
        <v>219</v>
      </c>
      <c r="JC40" s="240"/>
      <c r="JD40" s="240"/>
      <c r="JF40" s="240"/>
      <c r="JG40" s="240"/>
      <c r="JH40" s="81" t="s">
        <v>375</v>
      </c>
      <c r="JI40" s="55" t="s">
        <v>233</v>
      </c>
      <c r="JJ40" s="240"/>
      <c r="JK40" s="240"/>
      <c r="JL40" s="56" t="s">
        <v>2</v>
      </c>
      <c r="JM40" s="240"/>
      <c r="JN40" s="240"/>
      <c r="JO40" s="117" t="s">
        <v>376</v>
      </c>
      <c r="JP40" s="55" t="s">
        <v>377</v>
      </c>
      <c r="JQ40" s="240"/>
      <c r="JR40" s="240"/>
      <c r="JS40" s="240"/>
      <c r="JT40" s="240"/>
      <c r="JU40" s="240"/>
      <c r="LZ40" s="58" t="s">
        <v>67</v>
      </c>
      <c r="MA40" s="58" t="s">
        <v>67</v>
      </c>
      <c r="MB40" s="56" t="s">
        <v>2</v>
      </c>
      <c r="MC40" s="58" t="s">
        <v>67</v>
      </c>
      <c r="MD40" s="58" t="s">
        <v>67</v>
      </c>
      <c r="ME40" s="58" t="s">
        <v>67</v>
      </c>
      <c r="MF40" s="56" t="s">
        <v>2</v>
      </c>
    </row>
    <row r="41" spans="3:344" ht="13">
      <c r="P41" s="587"/>
      <c r="Q41" s="584"/>
      <c r="R41" s="584"/>
      <c r="S41" s="584"/>
      <c r="T41" s="584"/>
      <c r="U41" s="584"/>
      <c r="V41" s="588"/>
      <c r="W41" s="583"/>
      <c r="X41" s="584"/>
      <c r="Y41" s="584"/>
      <c r="Z41" s="584"/>
      <c r="AA41" s="584"/>
      <c r="AB41" s="584"/>
      <c r="AC41" s="585"/>
      <c r="AD41" s="583"/>
      <c r="AE41" s="584"/>
      <c r="AF41" s="584"/>
      <c r="AG41" s="584"/>
      <c r="AH41" s="584"/>
      <c r="AI41" s="584"/>
      <c r="AJ41" s="585"/>
      <c r="AK41" s="583"/>
      <c r="AL41" s="584"/>
      <c r="AM41" s="584"/>
      <c r="AN41" s="584"/>
      <c r="AO41" s="584"/>
      <c r="AP41" s="584"/>
      <c r="AQ41" s="585"/>
      <c r="AR41" s="206" t="s">
        <v>205</v>
      </c>
      <c r="AS41" s="206" t="s">
        <v>2</v>
      </c>
      <c r="AT41" s="200" t="s">
        <v>200</v>
      </c>
      <c r="AU41" s="200" t="s">
        <v>200</v>
      </c>
      <c r="AV41" s="206" t="s">
        <v>198</v>
      </c>
      <c r="AW41" s="150" t="s">
        <v>2</v>
      </c>
      <c r="AX41" s="146" t="s">
        <v>204</v>
      </c>
      <c r="AY41" s="583"/>
      <c r="AZ41" s="584"/>
      <c r="BA41" s="584"/>
      <c r="BB41" s="584"/>
      <c r="BC41" s="584"/>
      <c r="BD41" s="584"/>
      <c r="BE41" s="585"/>
      <c r="BF41" s="204" t="s">
        <v>204</v>
      </c>
      <c r="BG41" s="204" t="s">
        <v>205</v>
      </c>
      <c r="BH41" s="204" t="s">
        <v>204</v>
      </c>
      <c r="BI41" s="200" t="s">
        <v>2</v>
      </c>
      <c r="BJ41" s="200" t="s">
        <v>2</v>
      </c>
      <c r="BK41" s="204" t="s">
        <v>205</v>
      </c>
      <c r="BL41" s="204" t="s">
        <v>205</v>
      </c>
      <c r="BM41" s="148" t="s">
        <v>196</v>
      </c>
      <c r="BN41" s="148" t="s">
        <v>203</v>
      </c>
      <c r="BO41" s="200" t="s">
        <v>2</v>
      </c>
      <c r="BP41" s="148" t="s">
        <v>203</v>
      </c>
      <c r="BQ41" s="148" t="s">
        <v>196</v>
      </c>
      <c r="BR41" s="148" t="s">
        <v>196</v>
      </c>
      <c r="BS41" s="200" t="s">
        <v>2</v>
      </c>
      <c r="BT41" s="204" t="s">
        <v>205</v>
      </c>
      <c r="BU41" s="204" t="s">
        <v>205</v>
      </c>
      <c r="BV41" s="204" t="s">
        <v>205</v>
      </c>
      <c r="BW41" s="200" t="s">
        <v>2</v>
      </c>
      <c r="BX41" s="200" t="s">
        <v>2</v>
      </c>
      <c r="BY41" s="204" t="s">
        <v>205</v>
      </c>
      <c r="BZ41" s="136"/>
      <c r="CA41" s="239" t="s">
        <v>200</v>
      </c>
      <c r="CB41" s="239" t="s">
        <v>200</v>
      </c>
      <c r="CC41" s="239" t="s">
        <v>200</v>
      </c>
      <c r="CD41" s="136" t="s">
        <v>2</v>
      </c>
      <c r="CE41" s="136" t="s">
        <v>2</v>
      </c>
      <c r="CF41" s="239" t="s">
        <v>200</v>
      </c>
      <c r="CG41" s="136"/>
      <c r="CH41" s="148" t="s">
        <v>203</v>
      </c>
      <c r="CI41" s="148" t="s">
        <v>203</v>
      </c>
      <c r="CJ41" s="148" t="s">
        <v>203</v>
      </c>
      <c r="CK41" s="136" t="s">
        <v>2</v>
      </c>
      <c r="CL41" s="136" t="s">
        <v>2</v>
      </c>
      <c r="CM41" s="246"/>
      <c r="CN41" s="247" t="s">
        <v>214</v>
      </c>
      <c r="CO41" s="136" t="s">
        <v>2</v>
      </c>
      <c r="CP41" s="206" t="s">
        <v>202</v>
      </c>
      <c r="CQ41" s="206" t="s">
        <v>202</v>
      </c>
      <c r="CR41" s="206" t="s">
        <v>202</v>
      </c>
      <c r="CS41" s="148" t="s">
        <v>203</v>
      </c>
      <c r="CT41" s="148" t="s">
        <v>203</v>
      </c>
      <c r="CU41" s="136" t="s">
        <v>2</v>
      </c>
      <c r="CV41" s="148" t="s">
        <v>203</v>
      </c>
      <c r="CW41" s="206" t="s">
        <v>202</v>
      </c>
      <c r="CX41" s="148" t="s">
        <v>203</v>
      </c>
      <c r="CY41" s="239" t="s">
        <v>200</v>
      </c>
      <c r="CZ41" s="239" t="s">
        <v>200</v>
      </c>
      <c r="DA41" s="136" t="s">
        <v>2</v>
      </c>
      <c r="DB41" s="136" t="s">
        <v>2</v>
      </c>
      <c r="DC41" s="207" t="s">
        <v>196</v>
      </c>
      <c r="DD41" s="207"/>
      <c r="DE41" s="207" t="s">
        <v>226</v>
      </c>
      <c r="DF41" s="136" t="s">
        <v>2</v>
      </c>
      <c r="DG41" s="136" t="s">
        <v>2</v>
      </c>
      <c r="DH41" s="153"/>
      <c r="DI41" s="153"/>
      <c r="DJ41" s="602"/>
      <c r="DK41" s="584"/>
      <c r="DL41" s="584"/>
      <c r="DM41" s="584"/>
      <c r="DN41" s="584"/>
      <c r="DO41" s="584"/>
      <c r="DP41" s="603"/>
      <c r="DQ41" s="602"/>
      <c r="DR41" s="584"/>
      <c r="DS41" s="584"/>
      <c r="DT41" s="584"/>
      <c r="DU41" s="584"/>
      <c r="DV41" s="584"/>
      <c r="DW41" s="603"/>
      <c r="DX41" s="602"/>
      <c r="DY41" s="584"/>
      <c r="DZ41" s="584"/>
      <c r="EA41" s="584"/>
      <c r="EB41" s="584"/>
      <c r="EC41" s="584"/>
      <c r="ED41" s="588"/>
      <c r="EE41" s="221" t="s">
        <v>118</v>
      </c>
      <c r="EF41" s="248" t="s">
        <v>225</v>
      </c>
      <c r="EG41" s="200" t="s">
        <v>2</v>
      </c>
      <c r="EH41" s="223" t="s">
        <v>2</v>
      </c>
      <c r="EI41" s="221" t="s">
        <v>118</v>
      </c>
      <c r="EJ41" s="221" t="s">
        <v>118</v>
      </c>
      <c r="EK41" s="223" t="s">
        <v>115</v>
      </c>
      <c r="EL41" s="223" t="s">
        <v>140</v>
      </c>
      <c r="EM41" s="206" t="s">
        <v>222</v>
      </c>
      <c r="EN41" s="206" t="s">
        <v>222</v>
      </c>
      <c r="EO41" s="200" t="s">
        <v>2</v>
      </c>
      <c r="EP41" s="206" t="s">
        <v>227</v>
      </c>
      <c r="EQ41" s="206" t="s">
        <v>227</v>
      </c>
      <c r="ER41" s="200" t="s">
        <v>2</v>
      </c>
      <c r="ES41" s="587"/>
      <c r="ET41" s="584"/>
      <c r="EU41" s="584"/>
      <c r="EV41" s="584"/>
      <c r="EW41" s="584"/>
      <c r="EX41" s="584"/>
      <c r="EY41" s="588"/>
      <c r="EZ41" s="129" t="s">
        <v>353</v>
      </c>
      <c r="FA41" s="129" t="s">
        <v>369</v>
      </c>
      <c r="FB41" s="128" t="s">
        <v>2</v>
      </c>
      <c r="FC41" s="128" t="s">
        <v>2</v>
      </c>
      <c r="FD41" s="128" t="s">
        <v>352</v>
      </c>
      <c r="FE41" s="128" t="s">
        <v>352</v>
      </c>
      <c r="FF41" s="132"/>
      <c r="FG41" s="129" t="s">
        <v>2</v>
      </c>
      <c r="FH41" s="131" t="s">
        <v>2</v>
      </c>
      <c r="FI41" s="131" t="s">
        <v>352</v>
      </c>
      <c r="FJ41" s="131" t="s">
        <v>353</v>
      </c>
      <c r="FK41" s="131" t="s">
        <v>353</v>
      </c>
      <c r="FL41" s="131"/>
      <c r="FM41" s="129"/>
      <c r="FN41" s="128" t="s">
        <v>2</v>
      </c>
      <c r="FO41" s="128" t="s">
        <v>378</v>
      </c>
      <c r="FP41" s="128" t="s">
        <v>352</v>
      </c>
      <c r="FQ41" s="128" t="s">
        <v>353</v>
      </c>
      <c r="FR41" s="128" t="s">
        <v>353</v>
      </c>
      <c r="FS41" s="129"/>
      <c r="FT41" s="129"/>
      <c r="FU41" s="131" t="s">
        <v>353</v>
      </c>
      <c r="FV41" s="131" t="s">
        <v>353</v>
      </c>
      <c r="FW41" s="131" t="s">
        <v>353</v>
      </c>
      <c r="FX41" s="131" t="s">
        <v>353</v>
      </c>
      <c r="FY41" s="129" t="s">
        <v>353</v>
      </c>
      <c r="FZ41" s="129" t="s">
        <v>2</v>
      </c>
      <c r="GA41" s="88"/>
      <c r="GB41" s="131" t="s">
        <v>369</v>
      </c>
      <c r="GC41" s="131" t="s">
        <v>353</v>
      </c>
      <c r="GD41" s="131" t="s">
        <v>353</v>
      </c>
      <c r="GE41" s="131" t="s">
        <v>353</v>
      </c>
      <c r="GF41" s="129" t="s">
        <v>2</v>
      </c>
      <c r="GG41" s="129" t="s">
        <v>2</v>
      </c>
      <c r="GH41" s="88"/>
      <c r="GI41" s="128" t="s">
        <v>379</v>
      </c>
      <c r="GJ41" s="128" t="s">
        <v>379</v>
      </c>
      <c r="GK41" s="128" t="s">
        <v>379</v>
      </c>
      <c r="GL41" s="587"/>
      <c r="GM41" s="584"/>
      <c r="GN41" s="584"/>
      <c r="GO41" s="588"/>
      <c r="GP41" s="587"/>
      <c r="GQ41" s="584"/>
      <c r="GR41" s="584"/>
      <c r="GS41" s="584"/>
      <c r="GT41" s="584"/>
      <c r="GU41" s="584"/>
      <c r="GV41" s="588"/>
      <c r="GW41" s="583"/>
      <c r="GX41" s="584"/>
      <c r="GY41" s="584"/>
      <c r="GZ41" s="584"/>
      <c r="HA41" s="584"/>
      <c r="HB41" s="584"/>
      <c r="HC41" s="585"/>
      <c r="HD41" s="583"/>
      <c r="HE41" s="584"/>
      <c r="HF41" s="584"/>
      <c r="HG41" s="584"/>
      <c r="HH41" s="584"/>
      <c r="HI41" s="584"/>
      <c r="HJ41" s="585"/>
      <c r="HK41" s="583"/>
      <c r="HL41" s="584"/>
      <c r="HM41" s="584"/>
      <c r="HN41" s="584"/>
      <c r="HO41" s="584"/>
      <c r="HP41" s="584"/>
      <c r="HQ41" s="585"/>
      <c r="HR41" s="583"/>
      <c r="HS41" s="584"/>
      <c r="HT41" s="584"/>
      <c r="HU41" s="584"/>
      <c r="HV41" s="585"/>
      <c r="HW41" s="54" t="s">
        <v>233</v>
      </c>
      <c r="HX41" s="597"/>
      <c r="HY41" s="54" t="s">
        <v>229</v>
      </c>
      <c r="HZ41" s="56" t="s">
        <v>2</v>
      </c>
      <c r="IA41" s="56" t="s">
        <v>2</v>
      </c>
      <c r="IB41" s="54" t="s">
        <v>367</v>
      </c>
      <c r="IC41" s="54" t="s">
        <v>233</v>
      </c>
      <c r="ID41" s="54" t="s">
        <v>233</v>
      </c>
      <c r="IE41" s="597"/>
      <c r="IF41" s="602"/>
      <c r="IG41" s="584"/>
      <c r="IH41" s="584"/>
      <c r="II41" s="584"/>
      <c r="IJ41" s="584"/>
      <c r="IK41" s="584"/>
      <c r="IL41" s="603"/>
      <c r="IM41" s="602"/>
      <c r="IN41" s="584"/>
      <c r="IO41" s="584"/>
      <c r="IP41" s="584"/>
      <c r="IQ41" s="585"/>
      <c r="IR41" s="56" t="s">
        <v>2</v>
      </c>
      <c r="IS41" s="597"/>
      <c r="IT41" s="54" t="s">
        <v>233</v>
      </c>
      <c r="IU41" s="56" t="s">
        <v>2</v>
      </c>
      <c r="IV41" s="54" t="s">
        <v>224</v>
      </c>
      <c r="IW41" s="56" t="s">
        <v>2</v>
      </c>
      <c r="IX41" s="55" t="s">
        <v>367</v>
      </c>
      <c r="IY41" s="58" t="s">
        <v>227</v>
      </c>
      <c r="IZ41" s="597"/>
      <c r="JA41" s="102" t="s">
        <v>27</v>
      </c>
      <c r="JB41" s="102" t="s">
        <v>27</v>
      </c>
      <c r="JC41" s="240"/>
      <c r="JD41" s="240"/>
      <c r="JF41" s="240"/>
      <c r="JG41" s="240"/>
      <c r="JH41" s="102" t="s">
        <v>27</v>
      </c>
      <c r="JI41" s="56" t="s">
        <v>2</v>
      </c>
      <c r="JJ41" s="240"/>
      <c r="JK41" s="240"/>
      <c r="JL41" s="56" t="s">
        <v>2</v>
      </c>
      <c r="JM41" s="240"/>
      <c r="JN41" s="240"/>
      <c r="JO41" s="56" t="s">
        <v>2</v>
      </c>
      <c r="JP41" s="242" t="s">
        <v>227</v>
      </c>
      <c r="JQ41" s="240"/>
      <c r="JR41" s="240"/>
      <c r="JS41" s="240"/>
      <c r="JT41" s="240"/>
      <c r="JU41" s="240"/>
      <c r="LZ41" s="238" t="s">
        <v>128</v>
      </c>
      <c r="MA41" s="238" t="s">
        <v>128</v>
      </c>
      <c r="MB41" s="56" t="s">
        <v>2</v>
      </c>
      <c r="MC41" s="238" t="s">
        <v>128</v>
      </c>
      <c r="MD41" s="238" t="s">
        <v>128</v>
      </c>
      <c r="ME41" s="238" t="s">
        <v>128</v>
      </c>
      <c r="MF41" s="56" t="s">
        <v>2</v>
      </c>
    </row>
    <row r="42" spans="3:344" ht="13">
      <c r="P42" s="602"/>
      <c r="Q42" s="584"/>
      <c r="R42" s="584"/>
      <c r="S42" s="584"/>
      <c r="T42" s="584"/>
      <c r="U42" s="584"/>
      <c r="V42" s="603"/>
      <c r="W42" s="583"/>
      <c r="X42" s="584"/>
      <c r="Y42" s="584"/>
      <c r="Z42" s="584"/>
      <c r="AA42" s="584"/>
      <c r="AB42" s="584"/>
      <c r="AC42" s="585"/>
      <c r="AD42" s="583"/>
      <c r="AE42" s="584"/>
      <c r="AF42" s="584"/>
      <c r="AG42" s="584"/>
      <c r="AH42" s="584"/>
      <c r="AI42" s="584"/>
      <c r="AJ42" s="585"/>
      <c r="AK42" s="583"/>
      <c r="AL42" s="584"/>
      <c r="AM42" s="584"/>
      <c r="AN42" s="584"/>
      <c r="AO42" s="584"/>
      <c r="AP42" s="584"/>
      <c r="AQ42" s="585"/>
      <c r="AR42" s="155"/>
      <c r="AS42" s="155" t="s">
        <v>203</v>
      </c>
      <c r="AT42" s="155" t="s">
        <v>196</v>
      </c>
      <c r="AU42" s="200" t="s">
        <v>202</v>
      </c>
      <c r="AV42" s="200" t="s">
        <v>2</v>
      </c>
      <c r="AW42" s="206" t="s">
        <v>196</v>
      </c>
      <c r="AX42" s="206" t="s">
        <v>2</v>
      </c>
      <c r="AY42" s="583"/>
      <c r="AZ42" s="584"/>
      <c r="BA42" s="584"/>
      <c r="BB42" s="584"/>
      <c r="BC42" s="584"/>
      <c r="BD42" s="584"/>
      <c r="BE42" s="585"/>
      <c r="BF42" s="148" t="s">
        <v>203</v>
      </c>
      <c r="BG42" s="148" t="s">
        <v>203</v>
      </c>
      <c r="BH42" s="148" t="s">
        <v>196</v>
      </c>
      <c r="BI42" s="148" t="s">
        <v>202</v>
      </c>
      <c r="BJ42" s="200" t="s">
        <v>2</v>
      </c>
      <c r="BK42" s="200" t="s">
        <v>2</v>
      </c>
      <c r="BL42" s="206" t="s">
        <v>202</v>
      </c>
      <c r="BM42" s="206" t="s">
        <v>202</v>
      </c>
      <c r="BN42" s="206" t="s">
        <v>199</v>
      </c>
      <c r="BO42" s="206" t="s">
        <v>202</v>
      </c>
      <c r="BP42" s="200" t="s">
        <v>2</v>
      </c>
      <c r="BQ42" s="200" t="s">
        <v>2</v>
      </c>
      <c r="BR42" s="206" t="s">
        <v>199</v>
      </c>
      <c r="BS42" s="206" t="s">
        <v>202</v>
      </c>
      <c r="BT42" s="148" t="s">
        <v>196</v>
      </c>
      <c r="BU42" s="148" t="s">
        <v>196</v>
      </c>
      <c r="BV42" s="200" t="s">
        <v>2</v>
      </c>
      <c r="BW42" s="148" t="s">
        <v>196</v>
      </c>
      <c r="BX42" s="148" t="s">
        <v>196</v>
      </c>
      <c r="BY42" s="148" t="s">
        <v>196</v>
      </c>
      <c r="BZ42" s="200" t="s">
        <v>2</v>
      </c>
      <c r="CA42" s="206" t="s">
        <v>202</v>
      </c>
      <c r="CB42" s="206" t="s">
        <v>202</v>
      </c>
      <c r="CC42" s="206" t="s">
        <v>202</v>
      </c>
      <c r="CD42" s="206" t="s">
        <v>202</v>
      </c>
      <c r="CE42" s="148" t="s">
        <v>196</v>
      </c>
      <c r="CF42" s="136" t="s">
        <v>2</v>
      </c>
      <c r="CG42" s="136" t="s">
        <v>2</v>
      </c>
      <c r="CH42" s="148" t="s">
        <v>196</v>
      </c>
      <c r="CI42" s="148" t="s">
        <v>196</v>
      </c>
      <c r="CJ42" s="148" t="s">
        <v>196</v>
      </c>
      <c r="CK42" s="136" t="s">
        <v>2</v>
      </c>
      <c r="CL42" s="136" t="s">
        <v>2</v>
      </c>
      <c r="CM42" s="148" t="s">
        <v>203</v>
      </c>
      <c r="CN42" s="247" t="s">
        <v>214</v>
      </c>
      <c r="CO42" s="148" t="s">
        <v>204</v>
      </c>
      <c r="CP42" s="148" t="s">
        <v>204</v>
      </c>
      <c r="CQ42" s="148" t="s">
        <v>204</v>
      </c>
      <c r="CR42" s="148" t="s">
        <v>204</v>
      </c>
      <c r="CS42" s="148" t="s">
        <v>204</v>
      </c>
      <c r="CT42" s="136" t="s">
        <v>2</v>
      </c>
      <c r="CU42" s="136" t="s">
        <v>2</v>
      </c>
      <c r="CV42" s="148" t="s">
        <v>203</v>
      </c>
      <c r="CW42" s="239" t="s">
        <v>200</v>
      </c>
      <c r="CX42" s="239" t="s">
        <v>200</v>
      </c>
      <c r="CY42" s="148" t="s">
        <v>203</v>
      </c>
      <c r="CZ42" s="148" t="s">
        <v>196</v>
      </c>
      <c r="DA42" s="136" t="s">
        <v>2</v>
      </c>
      <c r="DB42" s="136" t="s">
        <v>2</v>
      </c>
      <c r="DC42" s="135" t="s">
        <v>204</v>
      </c>
      <c r="DD42" s="136"/>
      <c r="DE42" s="155" t="s">
        <v>220</v>
      </c>
      <c r="DF42" s="155" t="s">
        <v>219</v>
      </c>
      <c r="DG42" s="155" t="s">
        <v>219</v>
      </c>
      <c r="DH42" s="153"/>
      <c r="DI42" s="136"/>
      <c r="DJ42" s="587"/>
      <c r="DK42" s="584"/>
      <c r="DL42" s="584"/>
      <c r="DM42" s="584"/>
      <c r="DN42" s="584"/>
      <c r="DO42" s="584"/>
      <c r="DP42" s="588"/>
      <c r="DQ42" s="587"/>
      <c r="DR42" s="584"/>
      <c r="DS42" s="584"/>
      <c r="DT42" s="584"/>
      <c r="DU42" s="584"/>
      <c r="DV42" s="584"/>
      <c r="DW42" s="588"/>
      <c r="DX42" s="587"/>
      <c r="DY42" s="584"/>
      <c r="DZ42" s="584"/>
      <c r="EA42" s="584"/>
      <c r="EB42" s="584"/>
      <c r="EC42" s="584"/>
      <c r="ED42" s="603"/>
      <c r="EE42" s="167" t="s">
        <v>11</v>
      </c>
      <c r="EF42" s="167" t="s">
        <v>11</v>
      </c>
      <c r="EG42" s="155" t="s">
        <v>231</v>
      </c>
      <c r="EH42" s="236" t="s">
        <v>2</v>
      </c>
      <c r="EI42" s="167" t="s">
        <v>11</v>
      </c>
      <c r="EJ42" s="167" t="s">
        <v>11</v>
      </c>
      <c r="EK42" s="236" t="s">
        <v>2</v>
      </c>
      <c r="EL42" s="236" t="s">
        <v>7</v>
      </c>
      <c r="EM42" s="206" t="s">
        <v>227</v>
      </c>
      <c r="EN42" s="206" t="s">
        <v>227</v>
      </c>
      <c r="EO42" s="206" t="s">
        <v>227</v>
      </c>
      <c r="EP42" s="150" t="s">
        <v>225</v>
      </c>
      <c r="EQ42" s="200" t="s">
        <v>2</v>
      </c>
      <c r="ER42" s="200" t="s">
        <v>2</v>
      </c>
      <c r="ES42" s="602"/>
      <c r="ET42" s="584"/>
      <c r="EU42" s="584"/>
      <c r="EV42" s="584"/>
      <c r="EW42" s="584"/>
      <c r="EX42" s="584"/>
      <c r="EY42" s="603"/>
      <c r="EZ42" s="98" t="s">
        <v>358</v>
      </c>
      <c r="FA42" s="98" t="s">
        <v>2</v>
      </c>
      <c r="FB42" s="98" t="s">
        <v>353</v>
      </c>
      <c r="FC42" s="98" t="s">
        <v>353</v>
      </c>
      <c r="FD42" s="98" t="s">
        <v>352</v>
      </c>
      <c r="FE42" s="129" t="s">
        <v>353</v>
      </c>
      <c r="FF42" s="129"/>
      <c r="FG42" s="137" t="s">
        <v>358</v>
      </c>
      <c r="FH42" s="137" t="s">
        <v>358</v>
      </c>
      <c r="FI42" s="137" t="s">
        <v>358</v>
      </c>
      <c r="FJ42" s="137" t="s">
        <v>358</v>
      </c>
      <c r="FK42" s="137" t="s">
        <v>358</v>
      </c>
      <c r="FL42" s="129"/>
      <c r="FM42" s="129"/>
      <c r="FN42" s="131" t="s">
        <v>2</v>
      </c>
      <c r="FO42" s="131" t="s">
        <v>2</v>
      </c>
      <c r="FP42" s="131" t="s">
        <v>2</v>
      </c>
      <c r="FQ42" s="131" t="s">
        <v>2</v>
      </c>
      <c r="FR42" s="131" t="s">
        <v>2</v>
      </c>
      <c r="FS42" s="129" t="s">
        <v>2</v>
      </c>
      <c r="FT42" s="129"/>
      <c r="FU42" s="98" t="s">
        <v>352</v>
      </c>
      <c r="FV42" s="98" t="s">
        <v>353</v>
      </c>
      <c r="FW42" s="129" t="s">
        <v>353</v>
      </c>
      <c r="FX42" s="129" t="s">
        <v>353</v>
      </c>
      <c r="FY42" s="98" t="s">
        <v>352</v>
      </c>
      <c r="FZ42" s="98" t="s">
        <v>2</v>
      </c>
      <c r="GA42" s="88"/>
      <c r="GB42" s="98" t="s">
        <v>358</v>
      </c>
      <c r="GC42" s="98" t="s">
        <v>358</v>
      </c>
      <c r="GD42" s="129" t="s">
        <v>2</v>
      </c>
      <c r="GE42" s="129" t="s">
        <v>2</v>
      </c>
      <c r="GF42" s="98" t="s">
        <v>358</v>
      </c>
      <c r="GG42" s="98" t="s">
        <v>358</v>
      </c>
      <c r="GH42" s="88"/>
      <c r="GI42" s="129" t="s">
        <v>2</v>
      </c>
      <c r="GJ42" s="131" t="s">
        <v>380</v>
      </c>
      <c r="GK42" s="131" t="s">
        <v>380</v>
      </c>
      <c r="GL42" s="602"/>
      <c r="GM42" s="584"/>
      <c r="GN42" s="584"/>
      <c r="GO42" s="603"/>
      <c r="GP42" s="602"/>
      <c r="GQ42" s="584"/>
      <c r="GR42" s="584"/>
      <c r="GS42" s="584"/>
      <c r="GT42" s="584"/>
      <c r="GU42" s="584"/>
      <c r="GV42" s="603"/>
      <c r="GW42" s="583"/>
      <c r="GX42" s="584"/>
      <c r="GY42" s="584"/>
      <c r="GZ42" s="584"/>
      <c r="HA42" s="584"/>
      <c r="HB42" s="584"/>
      <c r="HC42" s="585"/>
      <c r="HD42" s="583"/>
      <c r="HE42" s="584"/>
      <c r="HF42" s="584"/>
      <c r="HG42" s="584"/>
      <c r="HH42" s="584"/>
      <c r="HI42" s="584"/>
      <c r="HJ42" s="585"/>
      <c r="HK42" s="583"/>
      <c r="HL42" s="584"/>
      <c r="HM42" s="584"/>
      <c r="HN42" s="584"/>
      <c r="HO42" s="584"/>
      <c r="HP42" s="584"/>
      <c r="HQ42" s="585"/>
      <c r="HR42" s="583"/>
      <c r="HS42" s="584"/>
      <c r="HT42" s="584"/>
      <c r="HU42" s="584"/>
      <c r="HV42" s="585"/>
      <c r="HW42" s="54" t="s">
        <v>213</v>
      </c>
      <c r="HX42" s="598"/>
      <c r="HY42" s="56" t="s">
        <v>2</v>
      </c>
      <c r="HZ42" s="54" t="s">
        <v>233</v>
      </c>
      <c r="IA42" s="54" t="s">
        <v>233</v>
      </c>
      <c r="IB42" s="54" t="s">
        <v>233</v>
      </c>
      <c r="IC42" s="54" t="s">
        <v>224</v>
      </c>
      <c r="ID42" s="54" t="s">
        <v>224</v>
      </c>
      <c r="IE42" s="598"/>
      <c r="IF42" s="587"/>
      <c r="IG42" s="584"/>
      <c r="IH42" s="584"/>
      <c r="II42" s="584"/>
      <c r="IJ42" s="584"/>
      <c r="IK42" s="584"/>
      <c r="IL42" s="588"/>
      <c r="IM42" s="587"/>
      <c r="IN42" s="584"/>
      <c r="IO42" s="584"/>
      <c r="IP42" s="584"/>
      <c r="IQ42" s="585"/>
      <c r="IR42" s="56" t="s">
        <v>2</v>
      </c>
      <c r="IS42" s="598"/>
      <c r="IT42" s="56" t="s">
        <v>2</v>
      </c>
      <c r="IU42" s="81" t="s">
        <v>226</v>
      </c>
      <c r="IV42" s="81" t="s">
        <v>226</v>
      </c>
      <c r="IW42" s="81" t="s">
        <v>219</v>
      </c>
      <c r="IX42" s="54" t="s">
        <v>224</v>
      </c>
      <c r="IY42" s="54" t="s">
        <v>233</v>
      </c>
      <c r="IZ42" s="598"/>
      <c r="JA42" s="56" t="s">
        <v>2</v>
      </c>
      <c r="JB42" s="55" t="s">
        <v>381</v>
      </c>
      <c r="JC42" s="240"/>
      <c r="JD42" s="240"/>
      <c r="JF42" s="240"/>
      <c r="JG42" s="240"/>
      <c r="JH42" s="56" t="s">
        <v>2</v>
      </c>
      <c r="JI42" s="54" t="s">
        <v>208</v>
      </c>
      <c r="JJ42" s="240"/>
      <c r="JK42" s="240"/>
      <c r="JL42" s="55" t="s">
        <v>382</v>
      </c>
      <c r="JM42" s="240"/>
      <c r="JN42" s="240"/>
      <c r="JO42" s="55" t="s">
        <v>377</v>
      </c>
      <c r="JP42" s="249" t="s">
        <v>222</v>
      </c>
      <c r="JQ42" s="240"/>
      <c r="JR42" s="240"/>
      <c r="JS42" s="240"/>
      <c r="JT42" s="240"/>
      <c r="JU42" s="240"/>
    </row>
    <row r="43" spans="3:344" ht="13">
      <c r="P43" s="587"/>
      <c r="Q43" s="584"/>
      <c r="R43" s="584"/>
      <c r="S43" s="584"/>
      <c r="T43" s="584"/>
      <c r="U43" s="584"/>
      <c r="V43" s="588"/>
      <c r="W43" s="583"/>
      <c r="X43" s="584"/>
      <c r="Y43" s="584"/>
      <c r="Z43" s="584"/>
      <c r="AA43" s="584"/>
      <c r="AB43" s="584"/>
      <c r="AC43" s="585"/>
      <c r="AD43" s="583"/>
      <c r="AE43" s="584"/>
      <c r="AF43" s="584"/>
      <c r="AG43" s="584"/>
      <c r="AH43" s="584"/>
      <c r="AI43" s="584"/>
      <c r="AJ43" s="585"/>
      <c r="AK43" s="583"/>
      <c r="AL43" s="584"/>
      <c r="AM43" s="584"/>
      <c r="AN43" s="584"/>
      <c r="AO43" s="584"/>
      <c r="AP43" s="584"/>
      <c r="AQ43" s="585"/>
      <c r="AR43" s="150"/>
      <c r="AS43" s="150" t="s">
        <v>203</v>
      </c>
      <c r="AT43" s="150" t="s">
        <v>203</v>
      </c>
      <c r="AU43" s="217" t="s">
        <v>2</v>
      </c>
      <c r="AV43" s="217" t="s">
        <v>2</v>
      </c>
      <c r="AW43" s="200" t="s">
        <v>199</v>
      </c>
      <c r="AX43" s="200" t="s">
        <v>198</v>
      </c>
      <c r="AY43" s="583"/>
      <c r="AZ43" s="584"/>
      <c r="BA43" s="584"/>
      <c r="BB43" s="584"/>
      <c r="BC43" s="584"/>
      <c r="BD43" s="584"/>
      <c r="BE43" s="585"/>
      <c r="BF43" s="200" t="s">
        <v>2</v>
      </c>
      <c r="BG43" s="200" t="s">
        <v>2</v>
      </c>
      <c r="BH43" s="250" t="s">
        <v>197</v>
      </c>
      <c r="BI43" s="250" t="s">
        <v>196</v>
      </c>
      <c r="BJ43" s="250" t="s">
        <v>197</v>
      </c>
      <c r="BK43" s="250" t="s">
        <v>196</v>
      </c>
      <c r="BL43" s="218" t="s">
        <v>3</v>
      </c>
      <c r="BM43" s="200" t="s">
        <v>2</v>
      </c>
      <c r="BN43" s="239" t="s">
        <v>200</v>
      </c>
      <c r="BO43" s="239" t="s">
        <v>200</v>
      </c>
      <c r="BP43" s="239" t="s">
        <v>200</v>
      </c>
      <c r="BQ43" s="239" t="s">
        <v>200</v>
      </c>
      <c r="BR43" s="200" t="s">
        <v>2</v>
      </c>
      <c r="BS43" s="148" t="s">
        <v>203</v>
      </c>
      <c r="BT43" s="148" t="s">
        <v>203</v>
      </c>
      <c r="BU43" s="148" t="s">
        <v>203</v>
      </c>
      <c r="BV43" s="200" t="s">
        <v>2</v>
      </c>
      <c r="BW43" s="148" t="s">
        <v>203</v>
      </c>
      <c r="BX43" s="148" t="s">
        <v>203</v>
      </c>
      <c r="BY43" s="148" t="s">
        <v>203</v>
      </c>
      <c r="BZ43" s="200" t="s">
        <v>2</v>
      </c>
      <c r="CA43" s="148" t="s">
        <v>205</v>
      </c>
      <c r="CB43" s="148" t="s">
        <v>205</v>
      </c>
      <c r="CC43" s="148" t="s">
        <v>205</v>
      </c>
      <c r="CD43" s="148" t="s">
        <v>204</v>
      </c>
      <c r="CE43" s="148" t="s">
        <v>205</v>
      </c>
      <c r="CF43" s="136" t="s">
        <v>2</v>
      </c>
      <c r="CG43" s="136" t="s">
        <v>2</v>
      </c>
      <c r="CH43" s="148" t="s">
        <v>196</v>
      </c>
      <c r="CI43" s="136" t="s">
        <v>2</v>
      </c>
      <c r="CJ43" s="136" t="s">
        <v>2</v>
      </c>
      <c r="CK43" s="148" t="s">
        <v>196</v>
      </c>
      <c r="CL43" s="148" t="s">
        <v>196</v>
      </c>
      <c r="CM43" s="148" t="s">
        <v>196</v>
      </c>
      <c r="CN43" s="247" t="s">
        <v>214</v>
      </c>
      <c r="CO43" s="136" t="s">
        <v>2</v>
      </c>
      <c r="CP43" s="148" t="s">
        <v>203</v>
      </c>
      <c r="CQ43" s="148" t="s">
        <v>203</v>
      </c>
      <c r="CR43" s="148" t="s">
        <v>203</v>
      </c>
      <c r="CS43" s="136" t="s">
        <v>2</v>
      </c>
      <c r="CT43" s="206" t="s">
        <v>202</v>
      </c>
      <c r="CU43" s="148" t="s">
        <v>214</v>
      </c>
      <c r="CV43" s="148" t="s">
        <v>196</v>
      </c>
      <c r="CW43" s="148" t="s">
        <v>196</v>
      </c>
      <c r="CX43" s="148" t="s">
        <v>196</v>
      </c>
      <c r="CY43" s="148" t="s">
        <v>196</v>
      </c>
      <c r="CZ43" s="148" t="s">
        <v>196</v>
      </c>
      <c r="DA43" s="136" t="s">
        <v>2</v>
      </c>
      <c r="DB43" s="136" t="s">
        <v>2</v>
      </c>
      <c r="DC43" s="150" t="s">
        <v>199</v>
      </c>
      <c r="DD43" s="150"/>
      <c r="DE43" s="150" t="s">
        <v>224</v>
      </c>
      <c r="DF43" s="150" t="s">
        <v>224</v>
      </c>
      <c r="DG43" s="150" t="s">
        <v>224</v>
      </c>
      <c r="DH43" s="136"/>
      <c r="DI43" s="136"/>
      <c r="DJ43" s="602"/>
      <c r="DK43" s="584"/>
      <c r="DL43" s="584"/>
      <c r="DM43" s="584"/>
      <c r="DN43" s="584"/>
      <c r="DO43" s="584"/>
      <c r="DP43" s="603"/>
      <c r="DQ43" s="602"/>
      <c r="DR43" s="584"/>
      <c r="DS43" s="584"/>
      <c r="DT43" s="584"/>
      <c r="DU43" s="584"/>
      <c r="DV43" s="584"/>
      <c r="DW43" s="603"/>
      <c r="DX43" s="602"/>
      <c r="DY43" s="584"/>
      <c r="DZ43" s="584"/>
      <c r="EA43" s="584"/>
      <c r="EB43" s="584"/>
      <c r="EC43" s="584"/>
      <c r="ED43" s="603"/>
      <c r="EE43" s="167" t="s">
        <v>11</v>
      </c>
      <c r="EF43" s="236" t="s">
        <v>2</v>
      </c>
      <c r="EG43" s="200" t="s">
        <v>2</v>
      </c>
      <c r="EH43" s="167" t="s">
        <v>117</v>
      </c>
      <c r="EI43" s="167" t="s">
        <v>113</v>
      </c>
      <c r="EJ43" s="167" t="s">
        <v>113</v>
      </c>
      <c r="EK43" s="167" t="s">
        <v>117</v>
      </c>
      <c r="EL43" s="167" t="s">
        <v>113</v>
      </c>
      <c r="EM43" s="200" t="s">
        <v>2</v>
      </c>
      <c r="EN43" s="207" t="s">
        <v>226</v>
      </c>
      <c r="EO43" s="146" t="s">
        <v>214</v>
      </c>
      <c r="EP43" s="207" t="s">
        <v>226</v>
      </c>
      <c r="EQ43" s="207" t="s">
        <v>383</v>
      </c>
      <c r="ER43" s="200" t="s">
        <v>2</v>
      </c>
      <c r="ES43" s="602"/>
      <c r="ET43" s="584"/>
      <c r="EU43" s="584"/>
      <c r="EV43" s="584"/>
      <c r="EW43" s="584"/>
      <c r="EX43" s="584"/>
      <c r="EY43" s="603"/>
      <c r="EZ43" s="212" t="s">
        <v>353</v>
      </c>
      <c r="FA43" s="212" t="s">
        <v>352</v>
      </c>
      <c r="FB43" s="212" t="s">
        <v>352</v>
      </c>
      <c r="FC43" s="212" t="s">
        <v>353</v>
      </c>
      <c r="FD43" s="129" t="s">
        <v>353</v>
      </c>
      <c r="FE43" s="129" t="s">
        <v>2</v>
      </c>
      <c r="FF43" s="88"/>
      <c r="FG43" s="129" t="s">
        <v>352</v>
      </c>
      <c r="FH43" s="129" t="s">
        <v>352</v>
      </c>
      <c r="FI43" s="98" t="s">
        <v>378</v>
      </c>
      <c r="FJ43" s="98" t="s">
        <v>352</v>
      </c>
      <c r="FK43" s="98" t="s">
        <v>2</v>
      </c>
      <c r="FL43" s="98"/>
      <c r="FM43" s="88"/>
      <c r="FN43" s="129" t="s">
        <v>2</v>
      </c>
      <c r="FO43" s="98" t="s">
        <v>2</v>
      </c>
      <c r="FP43" s="98" t="s">
        <v>358</v>
      </c>
      <c r="FQ43" s="131" t="s">
        <v>358</v>
      </c>
      <c r="FR43" s="131" t="s">
        <v>358</v>
      </c>
      <c r="FS43" s="154" t="s">
        <v>358</v>
      </c>
      <c r="FT43" s="129"/>
      <c r="FU43" s="128" t="s">
        <v>2</v>
      </c>
      <c r="FV43" s="128" t="s">
        <v>358</v>
      </c>
      <c r="FW43" s="128" t="s">
        <v>358</v>
      </c>
      <c r="FX43" s="128" t="s">
        <v>353</v>
      </c>
      <c r="FY43" s="128" t="s">
        <v>353</v>
      </c>
      <c r="FZ43" s="129" t="s">
        <v>352</v>
      </c>
      <c r="GA43" s="129"/>
      <c r="GB43" s="128" t="s">
        <v>353</v>
      </c>
      <c r="GC43" s="128" t="s">
        <v>352</v>
      </c>
      <c r="GD43" s="128" t="s">
        <v>353</v>
      </c>
      <c r="GE43" s="128" t="s">
        <v>352</v>
      </c>
      <c r="GF43" s="128" t="s">
        <v>353</v>
      </c>
      <c r="GG43" s="129" t="s">
        <v>2</v>
      </c>
      <c r="GH43" s="129"/>
      <c r="GI43" s="131" t="s">
        <v>384</v>
      </c>
      <c r="GJ43" s="131" t="s">
        <v>384</v>
      </c>
      <c r="GK43" s="131" t="s">
        <v>374</v>
      </c>
      <c r="GL43" s="602"/>
      <c r="GM43" s="584"/>
      <c r="GN43" s="584"/>
      <c r="GO43" s="603"/>
      <c r="GP43" s="602"/>
      <c r="GQ43" s="584"/>
      <c r="GR43" s="584"/>
      <c r="GS43" s="584"/>
      <c r="GT43" s="584"/>
      <c r="GU43" s="584"/>
      <c r="GV43" s="603"/>
      <c r="GW43" s="583"/>
      <c r="GX43" s="584"/>
      <c r="GY43" s="584"/>
      <c r="GZ43" s="584"/>
      <c r="HA43" s="584"/>
      <c r="HB43" s="584"/>
      <c r="HC43" s="585"/>
      <c r="HD43" s="583"/>
      <c r="HE43" s="584"/>
      <c r="HF43" s="584"/>
      <c r="HG43" s="584"/>
      <c r="HH43" s="584"/>
      <c r="HI43" s="584"/>
      <c r="HJ43" s="585"/>
      <c r="HK43" s="583"/>
      <c r="HL43" s="584"/>
      <c r="HM43" s="584"/>
      <c r="HN43" s="584"/>
      <c r="HO43" s="584"/>
      <c r="HP43" s="584"/>
      <c r="HQ43" s="585"/>
      <c r="HR43" s="583"/>
      <c r="HS43" s="584"/>
      <c r="HT43" s="584"/>
      <c r="HU43" s="584"/>
      <c r="HV43" s="585"/>
      <c r="HW43" s="56" t="s">
        <v>220</v>
      </c>
      <c r="HX43" s="597"/>
      <c r="HY43" s="81" t="s">
        <v>219</v>
      </c>
      <c r="HZ43" s="81" t="s">
        <v>219</v>
      </c>
      <c r="IA43" s="81" t="s">
        <v>219</v>
      </c>
      <c r="IB43" s="56" t="s">
        <v>2</v>
      </c>
      <c r="IC43" s="81" t="s">
        <v>363</v>
      </c>
      <c r="ID43" s="56" t="s">
        <v>2</v>
      </c>
      <c r="IE43" s="597"/>
      <c r="IF43" s="602"/>
      <c r="IG43" s="584"/>
      <c r="IH43" s="584"/>
      <c r="II43" s="584"/>
      <c r="IJ43" s="584"/>
      <c r="IK43" s="584"/>
      <c r="IL43" s="603"/>
      <c r="IM43" s="602"/>
      <c r="IN43" s="584"/>
      <c r="IO43" s="584"/>
      <c r="IP43" s="584"/>
      <c r="IQ43" s="585"/>
      <c r="IR43" s="82" t="s">
        <v>231</v>
      </c>
      <c r="IS43" s="597"/>
      <c r="IT43" s="81" t="s">
        <v>226</v>
      </c>
      <c r="IU43" s="56" t="s">
        <v>2</v>
      </c>
      <c r="IV43" s="56" t="s">
        <v>2</v>
      </c>
      <c r="IW43" s="81" t="s">
        <v>226</v>
      </c>
      <c r="IX43" s="81" t="s">
        <v>226</v>
      </c>
      <c r="IY43" s="81" t="s">
        <v>226</v>
      </c>
      <c r="IZ43" s="597"/>
      <c r="JA43" s="81" t="s">
        <v>364</v>
      </c>
      <c r="JB43" s="56" t="s">
        <v>2</v>
      </c>
      <c r="JC43" s="240"/>
      <c r="JD43" s="240"/>
      <c r="JF43" s="240"/>
      <c r="JG43" s="240"/>
      <c r="JH43" s="251" t="s">
        <v>217</v>
      </c>
      <c r="JI43" s="56" t="s">
        <v>2</v>
      </c>
      <c r="JJ43" s="240"/>
      <c r="JK43" s="240"/>
      <c r="JL43" s="244" t="s">
        <v>385</v>
      </c>
      <c r="JM43" s="240"/>
      <c r="JN43" s="240"/>
      <c r="JO43" s="56" t="s">
        <v>2</v>
      </c>
      <c r="JP43" s="244" t="s">
        <v>217</v>
      </c>
      <c r="JQ43" s="240"/>
      <c r="JR43" s="240"/>
      <c r="JS43" s="240"/>
      <c r="JT43" s="240"/>
      <c r="JU43" s="240"/>
    </row>
    <row r="44" spans="3:344" ht="13">
      <c r="P44" s="602"/>
      <c r="Q44" s="584"/>
      <c r="R44" s="584"/>
      <c r="S44" s="584"/>
      <c r="T44" s="584"/>
      <c r="U44" s="584"/>
      <c r="V44" s="603"/>
      <c r="W44" s="583"/>
      <c r="X44" s="584"/>
      <c r="Y44" s="584"/>
      <c r="Z44" s="584"/>
      <c r="AA44" s="584"/>
      <c r="AB44" s="584"/>
      <c r="AC44" s="585"/>
      <c r="AD44" s="583"/>
      <c r="AE44" s="584"/>
      <c r="AF44" s="584"/>
      <c r="AG44" s="584"/>
      <c r="AH44" s="584"/>
      <c r="AI44" s="584"/>
      <c r="AJ44" s="585"/>
      <c r="AK44" s="583"/>
      <c r="AL44" s="584"/>
      <c r="AM44" s="584"/>
      <c r="AN44" s="584"/>
      <c r="AO44" s="584"/>
      <c r="AP44" s="584"/>
      <c r="AQ44" s="585"/>
      <c r="AR44" s="155"/>
      <c r="AS44" s="150" t="s">
        <v>203</v>
      </c>
      <c r="AT44" s="155" t="s">
        <v>196</v>
      </c>
      <c r="AU44" s="150" t="s">
        <v>203</v>
      </c>
      <c r="AV44" s="210" t="s">
        <v>196</v>
      </c>
      <c r="AW44" s="200" t="s">
        <v>2</v>
      </c>
      <c r="AX44" s="200" t="s">
        <v>2</v>
      </c>
      <c r="AY44" s="583"/>
      <c r="AZ44" s="584"/>
      <c r="BA44" s="584"/>
      <c r="BB44" s="584"/>
      <c r="BC44" s="584"/>
      <c r="BD44" s="584"/>
      <c r="BE44" s="585"/>
      <c r="BF44" s="206" t="s">
        <v>198</v>
      </c>
      <c r="BG44" s="206" t="s">
        <v>199</v>
      </c>
      <c r="BH44" s="200" t="s">
        <v>2</v>
      </c>
      <c r="BI44" s="200" t="s">
        <v>2</v>
      </c>
      <c r="BJ44" s="206" t="s">
        <v>199</v>
      </c>
      <c r="BK44" s="206" t="s">
        <v>199</v>
      </c>
      <c r="BL44" s="218" t="s">
        <v>3</v>
      </c>
      <c r="BM44" s="200" t="s">
        <v>2</v>
      </c>
      <c r="BN44" s="200" t="s">
        <v>2</v>
      </c>
      <c r="BO44" s="148" t="s">
        <v>196</v>
      </c>
      <c r="BP44" s="148" t="s">
        <v>196</v>
      </c>
      <c r="BQ44" s="148" t="s">
        <v>203</v>
      </c>
      <c r="BR44" s="148" t="s">
        <v>196</v>
      </c>
      <c r="BS44" s="148" t="s">
        <v>196</v>
      </c>
      <c r="BT44" s="200" t="s">
        <v>2</v>
      </c>
      <c r="BU44" s="241" t="s">
        <v>202</v>
      </c>
      <c r="BV44" s="241" t="s">
        <v>202</v>
      </c>
      <c r="BW44" s="241" t="s">
        <v>199</v>
      </c>
      <c r="BX44" s="241" t="s">
        <v>202</v>
      </c>
      <c r="BY44" s="239" t="s">
        <v>200</v>
      </c>
      <c r="BZ44" s="200" t="s">
        <v>2</v>
      </c>
      <c r="CA44" s="200" t="s">
        <v>2</v>
      </c>
      <c r="CB44" s="148" t="s">
        <v>196</v>
      </c>
      <c r="CC44" s="148" t="s">
        <v>196</v>
      </c>
      <c r="CD44" s="148" t="s">
        <v>196</v>
      </c>
      <c r="CE44" s="148" t="s">
        <v>203</v>
      </c>
      <c r="CF44" s="148" t="s">
        <v>216</v>
      </c>
      <c r="CG44" s="136" t="s">
        <v>2</v>
      </c>
      <c r="CH44" s="148" t="s">
        <v>204</v>
      </c>
      <c r="CI44" s="148" t="s">
        <v>203</v>
      </c>
      <c r="CJ44" s="148" t="s">
        <v>203</v>
      </c>
      <c r="CK44" s="148" t="s">
        <v>203</v>
      </c>
      <c r="CL44" s="148" t="s">
        <v>196</v>
      </c>
      <c r="CM44" s="136" t="s">
        <v>2</v>
      </c>
      <c r="CN44" s="136" t="s">
        <v>2</v>
      </c>
      <c r="CO44" s="148" t="s">
        <v>196</v>
      </c>
      <c r="CP44" s="148" t="s">
        <v>196</v>
      </c>
      <c r="CQ44" s="148" t="s">
        <v>196</v>
      </c>
      <c r="CR44" s="148" t="s">
        <v>196</v>
      </c>
      <c r="CS44" s="136" t="s">
        <v>2</v>
      </c>
      <c r="CT44" s="239" t="s">
        <v>200</v>
      </c>
      <c r="CU44" s="136" t="s">
        <v>2</v>
      </c>
      <c r="CV44" s="206" t="s">
        <v>202</v>
      </c>
      <c r="CW44" s="206" t="s">
        <v>202</v>
      </c>
      <c r="CX44" s="206" t="s">
        <v>202</v>
      </c>
      <c r="CY44" s="136" t="s">
        <v>2</v>
      </c>
      <c r="CZ44" s="136" t="s">
        <v>2</v>
      </c>
      <c r="DA44" s="148" t="s">
        <v>203</v>
      </c>
      <c r="DB44" s="148" t="s">
        <v>214</v>
      </c>
      <c r="DC44" s="136" t="s">
        <v>2</v>
      </c>
      <c r="DD44" s="135"/>
      <c r="DE44" s="135" t="s">
        <v>223</v>
      </c>
      <c r="DF44" s="135" t="s">
        <v>223</v>
      </c>
      <c r="DG44" s="135" t="s">
        <v>223</v>
      </c>
      <c r="DH44" s="135"/>
      <c r="DI44" s="136"/>
      <c r="DJ44" s="602"/>
      <c r="DK44" s="584"/>
      <c r="DL44" s="584"/>
      <c r="DM44" s="584"/>
      <c r="DN44" s="584"/>
      <c r="DO44" s="584"/>
      <c r="DP44" s="603"/>
      <c r="DQ44" s="602"/>
      <c r="DR44" s="584"/>
      <c r="DS44" s="584"/>
      <c r="DT44" s="584"/>
      <c r="DU44" s="584"/>
      <c r="DV44" s="584"/>
      <c r="DW44" s="603"/>
      <c r="DX44" s="602"/>
      <c r="DY44" s="584"/>
      <c r="DZ44" s="584"/>
      <c r="EA44" s="584"/>
      <c r="EB44" s="584"/>
      <c r="EC44" s="584"/>
      <c r="ED44" s="588"/>
      <c r="EE44" s="221" t="s">
        <v>113</v>
      </c>
      <c r="EF44" s="221" t="s">
        <v>113</v>
      </c>
      <c r="EG44" s="207" t="s">
        <v>226</v>
      </c>
      <c r="EH44" s="136" t="s">
        <v>2</v>
      </c>
      <c r="EI44" s="155" t="s">
        <v>11</v>
      </c>
      <c r="EJ44" s="155" t="s">
        <v>11</v>
      </c>
      <c r="EK44" s="136" t="s">
        <v>2</v>
      </c>
      <c r="EL44" s="162" t="s">
        <v>155</v>
      </c>
      <c r="EM44" s="155" t="s">
        <v>356</v>
      </c>
      <c r="EN44" s="155" t="s">
        <v>356</v>
      </c>
      <c r="EO44" s="200" t="s">
        <v>2</v>
      </c>
      <c r="EP44" s="200" t="s">
        <v>2</v>
      </c>
      <c r="EQ44" s="206" t="s">
        <v>231</v>
      </c>
      <c r="ER44" s="146" t="s">
        <v>214</v>
      </c>
      <c r="ES44" s="587"/>
      <c r="ET44" s="584"/>
      <c r="EU44" s="584"/>
      <c r="EV44" s="584"/>
      <c r="EW44" s="584"/>
      <c r="EX44" s="584"/>
      <c r="EY44" s="588"/>
      <c r="EZ44" s="131" t="s">
        <v>2</v>
      </c>
      <c r="FA44" s="131" t="s">
        <v>358</v>
      </c>
      <c r="FB44" s="131" t="s">
        <v>358</v>
      </c>
      <c r="FC44" s="158" t="s">
        <v>358</v>
      </c>
      <c r="FD44" s="158" t="s">
        <v>358</v>
      </c>
      <c r="FE44" s="129" t="s">
        <v>358</v>
      </c>
      <c r="FF44" s="129"/>
      <c r="FG44" s="128" t="s">
        <v>352</v>
      </c>
      <c r="FH44" s="128" t="s">
        <v>352</v>
      </c>
      <c r="FI44" s="128" t="s">
        <v>353</v>
      </c>
      <c r="FJ44" s="129" t="s">
        <v>352</v>
      </c>
      <c r="FK44" s="129" t="s">
        <v>353</v>
      </c>
      <c r="FL44" s="128"/>
      <c r="FM44" s="128"/>
      <c r="FN44" s="129" t="s">
        <v>386</v>
      </c>
      <c r="FO44" s="154" t="s">
        <v>386</v>
      </c>
      <c r="FP44" s="154" t="s">
        <v>353</v>
      </c>
      <c r="FQ44" s="129" t="s">
        <v>2</v>
      </c>
      <c r="FR44" s="128" t="s">
        <v>2</v>
      </c>
      <c r="FS44" s="128"/>
      <c r="FT44" s="88"/>
      <c r="FU44" s="129" t="s">
        <v>2</v>
      </c>
      <c r="FV44" s="129" t="s">
        <v>19</v>
      </c>
      <c r="FW44" s="131" t="s">
        <v>19</v>
      </c>
      <c r="FX44" s="154" t="s">
        <v>2</v>
      </c>
      <c r="FY44" s="131" t="s">
        <v>353</v>
      </c>
      <c r="FZ44" s="132" t="s">
        <v>353</v>
      </c>
      <c r="GA44" s="132"/>
      <c r="GB44" s="129" t="s">
        <v>2</v>
      </c>
      <c r="GC44" s="129" t="s">
        <v>2</v>
      </c>
      <c r="GD44" s="131" t="s">
        <v>352</v>
      </c>
      <c r="GE44" s="154" t="s">
        <v>19</v>
      </c>
      <c r="GF44" s="131" t="s">
        <v>352</v>
      </c>
      <c r="GG44" s="132" t="s">
        <v>354</v>
      </c>
      <c r="GH44" s="132"/>
      <c r="GI44" s="158" t="s">
        <v>380</v>
      </c>
      <c r="GJ44" s="158" t="s">
        <v>380</v>
      </c>
      <c r="GK44" s="129" t="s">
        <v>2</v>
      </c>
      <c r="GL44" s="587"/>
      <c r="GM44" s="584"/>
      <c r="GN44" s="584"/>
      <c r="GO44" s="588"/>
      <c r="GP44" s="587"/>
      <c r="GQ44" s="584"/>
      <c r="GR44" s="584"/>
      <c r="GS44" s="584"/>
      <c r="GT44" s="584"/>
      <c r="GU44" s="584"/>
      <c r="GV44" s="588"/>
      <c r="GW44" s="583"/>
      <c r="GX44" s="584"/>
      <c r="GY44" s="584"/>
      <c r="GZ44" s="584"/>
      <c r="HA44" s="584"/>
      <c r="HB44" s="584"/>
      <c r="HC44" s="585"/>
      <c r="HD44" s="583"/>
      <c r="HE44" s="584"/>
      <c r="HF44" s="584"/>
      <c r="HG44" s="584"/>
      <c r="HH44" s="584"/>
      <c r="HI44" s="584"/>
      <c r="HJ44" s="585"/>
      <c r="HK44" s="583"/>
      <c r="HL44" s="584"/>
      <c r="HM44" s="584"/>
      <c r="HN44" s="584"/>
      <c r="HO44" s="584"/>
      <c r="HP44" s="584"/>
      <c r="HQ44" s="585"/>
      <c r="HR44" s="583"/>
      <c r="HS44" s="584"/>
      <c r="HT44" s="584"/>
      <c r="HU44" s="584"/>
      <c r="HV44" s="585"/>
      <c r="HW44" s="56" t="s">
        <v>224</v>
      </c>
      <c r="HX44" s="597"/>
      <c r="HY44" s="58" t="s">
        <v>224</v>
      </c>
      <c r="HZ44" s="55" t="s">
        <v>381</v>
      </c>
      <c r="IA44" s="55" t="s">
        <v>381</v>
      </c>
      <c r="IB44" s="55" t="s">
        <v>381</v>
      </c>
      <c r="IC44" s="55" t="s">
        <v>381</v>
      </c>
      <c r="ID44" s="56" t="s">
        <v>2</v>
      </c>
      <c r="IE44" s="597"/>
      <c r="IF44" s="602"/>
      <c r="IG44" s="584"/>
      <c r="IH44" s="584"/>
      <c r="II44" s="584"/>
      <c r="IJ44" s="584"/>
      <c r="IK44" s="584"/>
      <c r="IL44" s="603"/>
      <c r="IM44" s="602"/>
      <c r="IN44" s="584"/>
      <c r="IO44" s="584"/>
      <c r="IP44" s="584"/>
      <c r="IQ44" s="585"/>
      <c r="IR44" s="56" t="s">
        <v>2</v>
      </c>
      <c r="IS44" s="597"/>
      <c r="IT44" s="81" t="s">
        <v>219</v>
      </c>
      <c r="IU44" s="81" t="s">
        <v>219</v>
      </c>
      <c r="IV44" s="80" t="s">
        <v>360</v>
      </c>
      <c r="IW44" s="56" t="s">
        <v>2</v>
      </c>
      <c r="IX44" s="81" t="s">
        <v>219</v>
      </c>
      <c r="IY44" s="82" t="s">
        <v>220</v>
      </c>
      <c r="IZ44" s="597"/>
      <c r="JA44" s="90" t="s">
        <v>219</v>
      </c>
      <c r="JB44" s="82" t="s">
        <v>220</v>
      </c>
      <c r="JC44" s="240"/>
      <c r="JD44" s="240"/>
      <c r="JF44" s="240"/>
      <c r="JG44" s="240"/>
      <c r="JH44" s="82" t="s">
        <v>228</v>
      </c>
      <c r="JI44" s="54" t="s">
        <v>224</v>
      </c>
      <c r="JJ44" s="240"/>
      <c r="JK44" s="240"/>
      <c r="JL44" s="82" t="s">
        <v>219</v>
      </c>
      <c r="JM44" s="240"/>
      <c r="JN44" s="240"/>
      <c r="JO44" s="102" t="s">
        <v>27</v>
      </c>
      <c r="JP44" s="102" t="s">
        <v>27</v>
      </c>
      <c r="JQ44" s="240"/>
      <c r="JR44" s="240"/>
      <c r="JS44" s="240"/>
      <c r="JT44" s="240"/>
      <c r="JU44" s="240"/>
    </row>
    <row r="45" spans="3:344" ht="13">
      <c r="P45" s="587"/>
      <c r="Q45" s="584"/>
      <c r="R45" s="584"/>
      <c r="S45" s="584"/>
      <c r="T45" s="584"/>
      <c r="U45" s="584"/>
      <c r="V45" s="588"/>
      <c r="W45" s="583"/>
      <c r="X45" s="584"/>
      <c r="Y45" s="584"/>
      <c r="Z45" s="584"/>
      <c r="AA45" s="584"/>
      <c r="AB45" s="584"/>
      <c r="AC45" s="585"/>
      <c r="AD45" s="583"/>
      <c r="AE45" s="584"/>
      <c r="AF45" s="584"/>
      <c r="AG45" s="584"/>
      <c r="AH45" s="584"/>
      <c r="AI45" s="584"/>
      <c r="AJ45" s="585"/>
      <c r="AK45" s="583"/>
      <c r="AL45" s="584"/>
      <c r="AM45" s="584"/>
      <c r="AN45" s="584"/>
      <c r="AO45" s="584"/>
      <c r="AP45" s="584"/>
      <c r="AQ45" s="585"/>
      <c r="AR45" s="604"/>
      <c r="AS45" s="572"/>
      <c r="AT45" s="572"/>
      <c r="AU45" s="572"/>
      <c r="AV45" s="578"/>
      <c r="AW45" s="578"/>
      <c r="AX45" s="579"/>
      <c r="AY45" s="583"/>
      <c r="AZ45" s="584"/>
      <c r="BA45" s="584"/>
      <c r="BB45" s="584"/>
      <c r="BC45" s="584"/>
      <c r="BD45" s="584"/>
      <c r="BE45" s="585"/>
      <c r="BF45" s="252"/>
      <c r="BG45" s="252"/>
      <c r="BH45" s="252"/>
      <c r="BI45" s="252"/>
      <c r="BJ45" s="252"/>
      <c r="BK45" s="252"/>
      <c r="BL45" s="252"/>
      <c r="BM45" s="252"/>
      <c r="BN45" s="252"/>
      <c r="BO45" s="252"/>
      <c r="BP45" s="252"/>
      <c r="BQ45" s="252"/>
      <c r="BR45" s="252"/>
      <c r="BS45" s="252"/>
      <c r="BT45" s="252"/>
      <c r="BU45" s="252"/>
      <c r="BV45" s="252"/>
      <c r="BW45" s="252"/>
      <c r="BX45" s="252"/>
      <c r="BY45" s="252"/>
      <c r="BZ45" s="252"/>
      <c r="CA45" s="252"/>
      <c r="CB45" s="252"/>
      <c r="CC45" s="252"/>
      <c r="CD45" s="252"/>
      <c r="CE45" s="252"/>
      <c r="CF45" s="252"/>
      <c r="CG45" s="252"/>
      <c r="CH45" s="252"/>
      <c r="CI45" s="252"/>
      <c r="CJ45" s="252"/>
      <c r="CK45" s="252"/>
      <c r="CL45" s="252"/>
      <c r="CM45" s="252"/>
      <c r="CN45" s="252"/>
      <c r="CO45" s="252"/>
      <c r="CP45" s="252"/>
      <c r="CQ45" s="252"/>
      <c r="CR45" s="252"/>
      <c r="CS45" s="252"/>
      <c r="CT45" s="252"/>
      <c r="CU45" s="252"/>
      <c r="CV45" s="252"/>
      <c r="CW45" s="252"/>
      <c r="CX45" s="252"/>
      <c r="CY45" s="252"/>
      <c r="CZ45" s="252"/>
      <c r="DA45" s="252"/>
      <c r="DB45" s="252"/>
      <c r="DC45" s="252"/>
      <c r="DD45" s="252"/>
      <c r="DE45" s="252"/>
      <c r="DF45" s="252"/>
      <c r="DG45" s="252"/>
      <c r="DH45" s="223"/>
      <c r="DI45" s="223"/>
      <c r="DJ45" s="587"/>
      <c r="DK45" s="584"/>
      <c r="DL45" s="584"/>
      <c r="DM45" s="584"/>
      <c r="DN45" s="584"/>
      <c r="DO45" s="584"/>
      <c r="DP45" s="588"/>
      <c r="DQ45" s="587"/>
      <c r="DR45" s="584"/>
      <c r="DS45" s="584"/>
      <c r="DT45" s="584"/>
      <c r="DU45" s="584"/>
      <c r="DV45" s="584"/>
      <c r="DW45" s="588"/>
      <c r="DX45" s="587"/>
      <c r="DY45" s="584"/>
      <c r="DZ45" s="584"/>
      <c r="EA45" s="584"/>
      <c r="EB45" s="584"/>
      <c r="EC45" s="584"/>
      <c r="ED45" s="588"/>
      <c r="EE45" s="221" t="s">
        <v>11</v>
      </c>
      <c r="EF45" s="221" t="s">
        <v>11</v>
      </c>
      <c r="EG45" s="155" t="s">
        <v>227</v>
      </c>
      <c r="EH45" s="221" t="s">
        <v>117</v>
      </c>
      <c r="EI45" s="221" t="s">
        <v>11</v>
      </c>
      <c r="EJ45" s="223" t="s">
        <v>2</v>
      </c>
      <c r="EK45" s="223" t="s">
        <v>2</v>
      </c>
      <c r="EL45" s="223" t="s">
        <v>114</v>
      </c>
      <c r="EM45" s="204" t="s">
        <v>223</v>
      </c>
      <c r="EN45" s="204" t="s">
        <v>223</v>
      </c>
      <c r="EO45" s="200" t="s">
        <v>2</v>
      </c>
      <c r="EP45" s="204" t="s">
        <v>223</v>
      </c>
      <c r="EQ45" s="204" t="s">
        <v>223</v>
      </c>
      <c r="ER45" s="200" t="s">
        <v>2</v>
      </c>
      <c r="ES45" s="587"/>
      <c r="ET45" s="584"/>
      <c r="EU45" s="584"/>
      <c r="EV45" s="584"/>
      <c r="EW45" s="584"/>
      <c r="EX45" s="584"/>
      <c r="EY45" s="588"/>
      <c r="EZ45" s="131" t="s">
        <v>352</v>
      </c>
      <c r="FA45" s="154" t="s">
        <v>352</v>
      </c>
      <c r="FB45" s="154" t="s">
        <v>2</v>
      </c>
      <c r="FC45" s="154" t="s">
        <v>369</v>
      </c>
      <c r="FD45" s="154" t="s">
        <v>369</v>
      </c>
      <c r="FE45" s="129" t="s">
        <v>2</v>
      </c>
      <c r="FF45" s="129"/>
      <c r="FG45" s="129" t="s">
        <v>353</v>
      </c>
      <c r="FH45" s="154" t="s">
        <v>19</v>
      </c>
      <c r="FI45" s="154" t="s">
        <v>19</v>
      </c>
      <c r="FJ45" s="154" t="s">
        <v>19</v>
      </c>
      <c r="FK45" s="154" t="s">
        <v>19</v>
      </c>
      <c r="FL45" s="129" t="s">
        <v>2</v>
      </c>
      <c r="FM45" s="154"/>
      <c r="FN45" s="154" t="s">
        <v>2</v>
      </c>
      <c r="FO45" s="154" t="s">
        <v>19</v>
      </c>
      <c r="FP45" s="154" t="s">
        <v>19</v>
      </c>
      <c r="FQ45" s="154" t="s">
        <v>19</v>
      </c>
      <c r="FR45" s="154" t="s">
        <v>19</v>
      </c>
      <c r="FS45" s="129" t="s">
        <v>2</v>
      </c>
      <c r="FT45" s="129"/>
      <c r="FU45" s="154" t="s">
        <v>19</v>
      </c>
      <c r="FV45" s="154" t="s">
        <v>19</v>
      </c>
      <c r="FW45" s="154" t="s">
        <v>19</v>
      </c>
      <c r="FX45" s="154" t="s">
        <v>19</v>
      </c>
      <c r="FY45" s="154" t="s">
        <v>19</v>
      </c>
      <c r="FZ45" s="129" t="s">
        <v>19</v>
      </c>
      <c r="GA45" s="129"/>
      <c r="GB45" s="154" t="s">
        <v>19</v>
      </c>
      <c r="GC45" s="154" t="s">
        <v>19</v>
      </c>
      <c r="GD45" s="154" t="s">
        <v>19</v>
      </c>
      <c r="GE45" s="154" t="s">
        <v>19</v>
      </c>
      <c r="GF45" s="154" t="s">
        <v>19</v>
      </c>
      <c r="GG45" s="129" t="s">
        <v>19</v>
      </c>
      <c r="GH45" s="129"/>
      <c r="GI45" s="162" t="s">
        <v>19</v>
      </c>
      <c r="GJ45" s="162" t="s">
        <v>2</v>
      </c>
      <c r="GK45" s="162" t="s">
        <v>380</v>
      </c>
      <c r="GL45" s="587"/>
      <c r="GM45" s="584"/>
      <c r="GN45" s="584"/>
      <c r="GO45" s="588"/>
      <c r="GP45" s="587"/>
      <c r="GQ45" s="584"/>
      <c r="GR45" s="584"/>
      <c r="GS45" s="584"/>
      <c r="GT45" s="584"/>
      <c r="GU45" s="584"/>
      <c r="GV45" s="588"/>
      <c r="GW45" s="583"/>
      <c r="GX45" s="584"/>
      <c r="GY45" s="584"/>
      <c r="GZ45" s="584"/>
      <c r="HA45" s="584"/>
      <c r="HB45" s="584"/>
      <c r="HC45" s="585"/>
      <c r="HD45" s="583"/>
      <c r="HE45" s="584"/>
      <c r="HF45" s="584"/>
      <c r="HG45" s="584"/>
      <c r="HH45" s="584"/>
      <c r="HI45" s="584"/>
      <c r="HJ45" s="585"/>
      <c r="HK45" s="583"/>
      <c r="HL45" s="584"/>
      <c r="HM45" s="584"/>
      <c r="HN45" s="584"/>
      <c r="HO45" s="584"/>
      <c r="HP45" s="584"/>
      <c r="HQ45" s="585"/>
      <c r="HR45" s="583"/>
      <c r="HS45" s="584"/>
      <c r="HT45" s="584"/>
      <c r="HU45" s="584"/>
      <c r="HV45" s="585"/>
      <c r="HW45" s="55" t="s">
        <v>219</v>
      </c>
      <c r="HX45" s="598"/>
      <c r="HY45" s="58" t="s">
        <v>227</v>
      </c>
      <c r="HZ45" s="58" t="s">
        <v>220</v>
      </c>
      <c r="IA45" s="56" t="s">
        <v>2</v>
      </c>
      <c r="IB45" s="58" t="s">
        <v>227</v>
      </c>
      <c r="IC45" s="56" t="s">
        <v>2</v>
      </c>
      <c r="ID45" s="55" t="s">
        <v>367</v>
      </c>
      <c r="IE45" s="598"/>
      <c r="IF45" s="587"/>
      <c r="IG45" s="584"/>
      <c r="IH45" s="584"/>
      <c r="II45" s="584"/>
      <c r="IJ45" s="584"/>
      <c r="IK45" s="584"/>
      <c r="IL45" s="588"/>
      <c r="IM45" s="587"/>
      <c r="IN45" s="584"/>
      <c r="IO45" s="584"/>
      <c r="IP45" s="584"/>
      <c r="IQ45" s="585"/>
      <c r="IR45" s="82" t="s">
        <v>356</v>
      </c>
      <c r="IS45" s="598"/>
      <c r="IT45" s="55" t="s">
        <v>387</v>
      </c>
      <c r="IU45" s="55" t="s">
        <v>387</v>
      </c>
      <c r="IV45" s="55" t="s">
        <v>367</v>
      </c>
      <c r="IW45" s="55" t="s">
        <v>367</v>
      </c>
      <c r="IX45" s="56" t="s">
        <v>2</v>
      </c>
      <c r="IY45" s="56" t="s">
        <v>2</v>
      </c>
      <c r="IZ45" s="598"/>
      <c r="JA45" s="80" t="s">
        <v>360</v>
      </c>
      <c r="JB45" s="80" t="s">
        <v>360</v>
      </c>
      <c r="JC45" s="240"/>
      <c r="JD45" s="240"/>
      <c r="JF45" s="240"/>
      <c r="JG45" s="240"/>
      <c r="JH45" s="80" t="s">
        <v>227</v>
      </c>
      <c r="JI45" s="82" t="s">
        <v>231</v>
      </c>
      <c r="JJ45" s="240"/>
      <c r="JK45" s="240"/>
      <c r="JL45" s="80" t="s">
        <v>363</v>
      </c>
      <c r="JM45" s="240"/>
      <c r="JN45" s="240"/>
      <c r="JO45" s="80" t="s">
        <v>381</v>
      </c>
      <c r="JP45" s="253" t="s">
        <v>367</v>
      </c>
      <c r="JQ45" s="240"/>
      <c r="JR45" s="240"/>
      <c r="JS45" s="240"/>
      <c r="JT45" s="240"/>
      <c r="JU45" s="240"/>
    </row>
    <row r="46" spans="3:344" ht="13">
      <c r="P46" s="589"/>
      <c r="Q46" s="580"/>
      <c r="R46" s="580"/>
      <c r="S46" s="580"/>
      <c r="T46" s="580"/>
      <c r="U46" s="580"/>
      <c r="V46" s="590"/>
      <c r="W46" s="586"/>
      <c r="X46" s="581"/>
      <c r="Y46" s="581"/>
      <c r="Z46" s="581"/>
      <c r="AA46" s="581"/>
      <c r="AB46" s="581"/>
      <c r="AC46" s="582"/>
      <c r="AD46" s="586"/>
      <c r="AE46" s="581"/>
      <c r="AF46" s="581"/>
      <c r="AG46" s="581"/>
      <c r="AH46" s="581"/>
      <c r="AI46" s="581"/>
      <c r="AJ46" s="582"/>
      <c r="AK46" s="586"/>
      <c r="AL46" s="581"/>
      <c r="AM46" s="581"/>
      <c r="AN46" s="581"/>
      <c r="AO46" s="581"/>
      <c r="AP46" s="581"/>
      <c r="AQ46" s="582"/>
      <c r="AR46" s="574"/>
      <c r="AS46" s="575"/>
      <c r="AT46" s="575"/>
      <c r="AU46" s="575"/>
      <c r="AV46" s="581"/>
      <c r="AW46" s="581"/>
      <c r="AX46" s="582"/>
      <c r="AY46" s="586"/>
      <c r="AZ46" s="581"/>
      <c r="BA46" s="581"/>
      <c r="BB46" s="581"/>
      <c r="BC46" s="581"/>
      <c r="BD46" s="581"/>
      <c r="BE46" s="582"/>
      <c r="BF46" s="252"/>
      <c r="BG46" s="252"/>
      <c r="BH46" s="252"/>
      <c r="BI46" s="252"/>
      <c r="BJ46" s="252"/>
      <c r="BK46" s="252"/>
      <c r="BL46" s="252"/>
      <c r="BM46" s="252"/>
      <c r="BN46" s="252"/>
      <c r="BO46" s="252"/>
      <c r="BP46" s="252"/>
      <c r="BQ46" s="252"/>
      <c r="BR46" s="252"/>
      <c r="BS46" s="252"/>
      <c r="BT46" s="252"/>
      <c r="BU46" s="252"/>
      <c r="BV46" s="252"/>
      <c r="BW46" s="252"/>
      <c r="BX46" s="252"/>
      <c r="BY46" s="252"/>
      <c r="BZ46" s="252"/>
      <c r="CA46" s="252"/>
      <c r="CB46" s="252"/>
      <c r="CC46" s="252"/>
      <c r="CD46" s="252"/>
      <c r="CE46" s="252"/>
      <c r="CF46" s="252"/>
      <c r="CG46" s="252"/>
      <c r="CH46" s="252"/>
      <c r="CI46" s="252"/>
      <c r="CJ46" s="252"/>
      <c r="CK46" s="252"/>
      <c r="CL46" s="252"/>
      <c r="CM46" s="252"/>
      <c r="CN46" s="252"/>
      <c r="CO46" s="252"/>
      <c r="CP46" s="252"/>
      <c r="CQ46" s="252"/>
      <c r="CR46" s="252"/>
      <c r="CS46" s="252"/>
      <c r="CT46" s="252"/>
      <c r="CU46" s="252"/>
      <c r="CV46" s="252"/>
      <c r="CW46" s="252"/>
      <c r="CX46" s="252"/>
      <c r="CY46" s="252"/>
      <c r="CZ46" s="252"/>
      <c r="DA46" s="252"/>
      <c r="DB46" s="252"/>
      <c r="DC46" s="252"/>
      <c r="DD46" s="252"/>
      <c r="DE46" s="252"/>
      <c r="DF46" s="252"/>
      <c r="DG46" s="252"/>
      <c r="DH46" s="252"/>
      <c r="DI46" s="252"/>
      <c r="DJ46" s="586"/>
      <c r="DK46" s="581"/>
      <c r="DL46" s="581"/>
      <c r="DM46" s="581"/>
      <c r="DN46" s="581"/>
      <c r="DO46" s="581"/>
      <c r="DP46" s="582"/>
      <c r="DQ46" s="586"/>
      <c r="DR46" s="581"/>
      <c r="DS46" s="581"/>
      <c r="DT46" s="581"/>
      <c r="DU46" s="581"/>
      <c r="DV46" s="581"/>
      <c r="DW46" s="582"/>
      <c r="DX46" s="586"/>
      <c r="DY46" s="581"/>
      <c r="DZ46" s="581"/>
      <c r="EA46" s="580"/>
      <c r="EB46" s="580"/>
      <c r="EC46" s="580"/>
      <c r="ED46" s="590"/>
      <c r="EE46" s="167"/>
      <c r="EF46" s="167"/>
      <c r="EG46" s="167"/>
      <c r="EH46" s="167"/>
      <c r="EI46" s="167"/>
      <c r="EJ46" s="236"/>
      <c r="EK46" s="236"/>
      <c r="EL46" s="236"/>
      <c r="EM46" s="254"/>
      <c r="EN46" s="254"/>
      <c r="EO46" s="254"/>
      <c r="EP46" s="254"/>
      <c r="EQ46" s="254"/>
      <c r="ER46" s="254"/>
      <c r="ES46" s="589"/>
      <c r="ET46" s="580"/>
      <c r="EU46" s="580"/>
      <c r="EV46" s="580"/>
      <c r="EW46" s="580"/>
      <c r="EX46" s="580"/>
      <c r="EY46" s="590"/>
      <c r="EZ46" s="154" t="s">
        <v>352</v>
      </c>
      <c r="FA46" s="154" t="s">
        <v>353</v>
      </c>
      <c r="FB46" s="131" t="s">
        <v>352</v>
      </c>
      <c r="FC46" s="131" t="s">
        <v>352</v>
      </c>
      <c r="FD46" s="131" t="s">
        <v>353</v>
      </c>
      <c r="FE46" s="129" t="s">
        <v>2</v>
      </c>
      <c r="FF46" s="129"/>
      <c r="FG46" s="131" t="s">
        <v>19</v>
      </c>
      <c r="FH46" s="131" t="s">
        <v>19</v>
      </c>
      <c r="FI46" s="131" t="s">
        <v>353</v>
      </c>
      <c r="FJ46" s="131" t="s">
        <v>353</v>
      </c>
      <c r="FK46" s="131" t="s">
        <v>353</v>
      </c>
      <c r="FL46" s="129" t="s">
        <v>2</v>
      </c>
      <c r="FM46" s="129"/>
      <c r="FN46" s="212" t="s">
        <v>352</v>
      </c>
      <c r="FO46" s="212" t="s">
        <v>352</v>
      </c>
      <c r="FP46" s="212" t="s">
        <v>352</v>
      </c>
      <c r="FQ46" s="212" t="s">
        <v>353</v>
      </c>
      <c r="FR46" s="129" t="s">
        <v>352</v>
      </c>
      <c r="FS46" s="212" t="s">
        <v>2</v>
      </c>
      <c r="FT46" s="129"/>
      <c r="FU46" s="132" t="s">
        <v>352</v>
      </c>
      <c r="FV46" s="132" t="s">
        <v>352</v>
      </c>
      <c r="FW46" s="132" t="s">
        <v>352</v>
      </c>
      <c r="FX46" s="132" t="s">
        <v>352</v>
      </c>
      <c r="FY46" s="132" t="s">
        <v>2</v>
      </c>
      <c r="FZ46" s="129" t="s">
        <v>352</v>
      </c>
      <c r="GA46" s="129"/>
      <c r="GB46" s="132" t="s">
        <v>354</v>
      </c>
      <c r="GC46" s="132" t="s">
        <v>354</v>
      </c>
      <c r="GD46" s="132" t="s">
        <v>354</v>
      </c>
      <c r="GE46" s="132" t="s">
        <v>354</v>
      </c>
      <c r="GF46" s="132" t="s">
        <v>354</v>
      </c>
      <c r="GG46" s="129" t="s">
        <v>2</v>
      </c>
      <c r="GH46" s="129"/>
      <c r="GI46" s="98" t="s">
        <v>366</v>
      </c>
      <c r="GJ46" s="98" t="s">
        <v>366</v>
      </c>
      <c r="GK46" s="129" t="s">
        <v>2</v>
      </c>
      <c r="GL46" s="589"/>
      <c r="GM46" s="580"/>
      <c r="GN46" s="580"/>
      <c r="GO46" s="590"/>
      <c r="GP46" s="589"/>
      <c r="GQ46" s="580"/>
      <c r="GR46" s="580"/>
      <c r="GS46" s="580"/>
      <c r="GT46" s="580"/>
      <c r="GU46" s="580"/>
      <c r="GV46" s="590"/>
      <c r="GW46" s="586"/>
      <c r="GX46" s="581"/>
      <c r="GY46" s="581"/>
      <c r="GZ46" s="581"/>
      <c r="HA46" s="581"/>
      <c r="HB46" s="581"/>
      <c r="HC46" s="582"/>
      <c r="HD46" s="586"/>
      <c r="HE46" s="581"/>
      <c r="HF46" s="581"/>
      <c r="HG46" s="581"/>
      <c r="HH46" s="581"/>
      <c r="HI46" s="581"/>
      <c r="HJ46" s="582"/>
      <c r="HK46" s="586"/>
      <c r="HL46" s="581"/>
      <c r="HM46" s="581"/>
      <c r="HN46" s="581"/>
      <c r="HO46" s="581"/>
      <c r="HP46" s="581"/>
      <c r="HQ46" s="582"/>
      <c r="HR46" s="586"/>
      <c r="HS46" s="581"/>
      <c r="HT46" s="581"/>
      <c r="HU46" s="581"/>
      <c r="HV46" s="582"/>
      <c r="HW46" s="56" t="s">
        <v>227</v>
      </c>
      <c r="HX46" s="599"/>
      <c r="HY46" s="58" t="s">
        <v>220</v>
      </c>
      <c r="HZ46" s="56" t="s">
        <v>2</v>
      </c>
      <c r="IA46" s="58" t="s">
        <v>227</v>
      </c>
      <c r="IB46" s="58" t="s">
        <v>220</v>
      </c>
      <c r="IC46" s="58" t="s">
        <v>220</v>
      </c>
      <c r="ID46" s="56" t="s">
        <v>2</v>
      </c>
      <c r="IE46" s="599"/>
      <c r="IF46" s="589"/>
      <c r="IG46" s="580"/>
      <c r="IH46" s="580"/>
      <c r="II46" s="580"/>
      <c r="IJ46" s="580"/>
      <c r="IK46" s="580"/>
      <c r="IL46" s="590"/>
      <c r="IM46" s="589"/>
      <c r="IN46" s="581"/>
      <c r="IO46" s="581"/>
      <c r="IP46" s="581"/>
      <c r="IQ46" s="582"/>
      <c r="IR46" s="81" t="s">
        <v>363</v>
      </c>
      <c r="IS46" s="599"/>
      <c r="IT46" s="54" t="s">
        <v>224</v>
      </c>
      <c r="IU46" s="54" t="s">
        <v>224</v>
      </c>
      <c r="IV46" s="56" t="s">
        <v>2</v>
      </c>
      <c r="IW46" s="54" t="s">
        <v>224</v>
      </c>
      <c r="IX46" s="56" t="s">
        <v>2</v>
      </c>
      <c r="IY46" s="54" t="s">
        <v>224</v>
      </c>
      <c r="IZ46" s="599"/>
      <c r="JA46" s="56" t="s">
        <v>2</v>
      </c>
      <c r="JB46" s="81" t="s">
        <v>226</v>
      </c>
      <c r="JC46" s="240"/>
      <c r="JD46" s="240"/>
      <c r="JE46" s="240"/>
      <c r="JF46" s="240"/>
      <c r="JG46" s="240"/>
      <c r="JH46" s="81" t="s">
        <v>377</v>
      </c>
      <c r="JI46" s="82" t="s">
        <v>220</v>
      </c>
      <c r="JJ46" s="240"/>
      <c r="JK46" s="240"/>
      <c r="JL46" s="240"/>
      <c r="JM46" s="240"/>
      <c r="JN46" s="240"/>
      <c r="JO46" s="240"/>
      <c r="JP46" s="240"/>
      <c r="JQ46" s="240"/>
      <c r="JR46" s="240"/>
      <c r="JS46" s="240"/>
      <c r="JT46" s="240"/>
      <c r="JU46" s="240"/>
    </row>
  </sheetData>
  <mergeCells count="108">
    <mergeCell ref="LZ1:MF1"/>
    <mergeCell ref="MG1:MM1"/>
    <mergeCell ref="MN1:MT1"/>
    <mergeCell ref="LS1:LY1"/>
    <mergeCell ref="JV1:KB1"/>
    <mergeCell ref="KC1:KI1"/>
    <mergeCell ref="KJ1:KP1"/>
    <mergeCell ref="KQ1:KW1"/>
    <mergeCell ref="KX1:LD1"/>
    <mergeCell ref="LE1:LK1"/>
    <mergeCell ref="LL1:LR1"/>
    <mergeCell ref="JA1:JG1"/>
    <mergeCell ref="GI1:GO1"/>
    <mergeCell ref="GP1:GV1"/>
    <mergeCell ref="ES20:EY20"/>
    <mergeCell ref="EZ20:FF20"/>
    <mergeCell ref="CV19:DB20"/>
    <mergeCell ref="DC19:DI20"/>
    <mergeCell ref="DJ19:DP20"/>
    <mergeCell ref="DQ19:DW20"/>
    <mergeCell ref="DX19:ED20"/>
    <mergeCell ref="EE19:EK20"/>
    <mergeCell ref="EL20:ER20"/>
    <mergeCell ref="O1:O2"/>
    <mergeCell ref="P1:V1"/>
    <mergeCell ref="W1:AC1"/>
    <mergeCell ref="AD1:AJ1"/>
    <mergeCell ref="AK1:AQ1"/>
    <mergeCell ref="AR1:AX1"/>
    <mergeCell ref="AY1:BE1"/>
    <mergeCell ref="JH1:JN1"/>
    <mergeCell ref="JO1:JU1"/>
    <mergeCell ref="GW1:HC1"/>
    <mergeCell ref="HD1:HJ1"/>
    <mergeCell ref="HK1:HQ1"/>
    <mergeCell ref="HR1:HX1"/>
    <mergeCell ref="HY1:IE1"/>
    <mergeCell ref="IF1:IL1"/>
    <mergeCell ref="IM1:IS1"/>
    <mergeCell ref="DC1:DI1"/>
    <mergeCell ref="DJ1:DP1"/>
    <mergeCell ref="DQ1:DW1"/>
    <mergeCell ref="DX1:ED1"/>
    <mergeCell ref="EE1:EK1"/>
    <mergeCell ref="EL1:ER1"/>
    <mergeCell ref="ES1:EY1"/>
    <mergeCell ref="IT1:IZ1"/>
    <mergeCell ref="AD19:AJ20"/>
    <mergeCell ref="BF1:BL1"/>
    <mergeCell ref="BM1:BS1"/>
    <mergeCell ref="BT1:BZ1"/>
    <mergeCell ref="CA1:CG1"/>
    <mergeCell ref="AK19:AQ20"/>
    <mergeCell ref="AR19:AX20"/>
    <mergeCell ref="AY19:BE20"/>
    <mergeCell ref="BF19:BL20"/>
    <mergeCell ref="BM19:BS20"/>
    <mergeCell ref="BT19:BZ20"/>
    <mergeCell ref="CA19:CG20"/>
    <mergeCell ref="P36:V46"/>
    <mergeCell ref="W36:AC46"/>
    <mergeCell ref="AD36:AJ46"/>
    <mergeCell ref="AK36:AQ46"/>
    <mergeCell ref="AY36:BE46"/>
    <mergeCell ref="DJ36:DP46"/>
    <mergeCell ref="AR45:AX46"/>
    <mergeCell ref="HK36:HQ46"/>
    <mergeCell ref="CH1:CN1"/>
    <mergeCell ref="CO1:CU1"/>
    <mergeCell ref="CV1:DB1"/>
    <mergeCell ref="FG20:FM20"/>
    <mergeCell ref="FN20:FT20"/>
    <mergeCell ref="FU20:GA20"/>
    <mergeCell ref="GB20:GH20"/>
    <mergeCell ref="EZ1:FF1"/>
    <mergeCell ref="FG1:FM1"/>
    <mergeCell ref="FN1:FT1"/>
    <mergeCell ref="FU1:GA1"/>
    <mergeCell ref="GB1:GH1"/>
    <mergeCell ref="CH19:CN20"/>
    <mergeCell ref="CO19:CU20"/>
    <mergeCell ref="P19:V20"/>
    <mergeCell ref="W19:AC20"/>
    <mergeCell ref="AY32:BE33"/>
    <mergeCell ref="BF33:BL33"/>
    <mergeCell ref="HR36:HV46"/>
    <mergeCell ref="HX36:HX46"/>
    <mergeCell ref="IE36:IE46"/>
    <mergeCell ref="IF36:IL46"/>
    <mergeCell ref="IM36:IQ46"/>
    <mergeCell ref="IS36:IS46"/>
    <mergeCell ref="IZ36:IZ46"/>
    <mergeCell ref="DQ36:DW46"/>
    <mergeCell ref="DX36:ED46"/>
    <mergeCell ref="ES36:EY46"/>
    <mergeCell ref="GL36:GO46"/>
    <mergeCell ref="GP36:GV46"/>
    <mergeCell ref="GW36:HC46"/>
    <mergeCell ref="HD36:HJ46"/>
    <mergeCell ref="P32:V33"/>
    <mergeCell ref="W32:AC33"/>
    <mergeCell ref="AD32:AJ33"/>
    <mergeCell ref="AK32:AQ33"/>
    <mergeCell ref="AR32:AX33"/>
    <mergeCell ref="P22:V23"/>
    <mergeCell ref="W22:AC23"/>
    <mergeCell ref="AD22:AJ23"/>
    <mergeCell ref="AK23:AQ23"/>
  </mergeCells>
  <phoneticPr fontId="79" type="noConversion"/>
  <conditionalFormatting sqref="EE40">
    <cfRule type="containsText" dxfId="11" priority="12" operator="containsText" text="ABS">
      <formula>NOT(ISERROR(SEARCH(("ABS"),(EE40))))</formula>
    </cfRule>
  </conditionalFormatting>
  <conditionalFormatting sqref="FU10:FV12 HP10:HP12 EE10:EH13 EP10:EP13 FB10:FC13 FG10:FG13 FR10:FR13 FX10:FX13 GD10:GD13 GJ10:GJ13 EI10:EJ14 HO10:HO14 EW10:EW16 FZ10:FZ16 EL10:EN17 FW10:FW17 GE10:GE17 EK10:EK18 FH10:FH18 EO10:EO19 EQ10:EV19 EX10:FA19 FD10:FF19 FI10:FQ19 FS10:FT19 FY10:FY19 GA10:GC19 GF10:GI19 GL10:GM19 GP10:GS19 GU10:GU19 GW10:HA19 HD10:HH19 GN10:GO20 GT10:GT20 GV10:GV20 HB10:HC20 HI10:HN20 HQ10:HQ20 GK11:GK19 FV14:FV17 HP14:HP18 FU14:FU19 EE15:EH18 FG15:FG18 EP15:EP19 FB15:FC19 FR15:FR19 FX15:FX19 GD15:GD19 GJ15:GJ19 EI16:EJ18 HO16:HO20 EW18:EW19 FZ18:FZ19 EL19:EN19 FV19:FW19 GE19 HP20 EE22:FU23 FW22:HQ23 FV23 GS26 GY26 EG26:EG27 HO26:HO28 FZ26:FZ30 GD26:GD30 FO26:FO31 EE26:EF33 EH26:FN33 FP26:FY33 GA26:GC33 GE26:GH33 HC27 HE27 HI27 GL28 GV28:GW28 HH28 HN28 GR29 GX29 HB29:HD29 HF29:HF30 EG29:EG33 GM30 GU30:GV30 HP30 GN31 GP31 GO31:GO32 HJ31:HM32 HO31:HO32 HQ31:HQ32 HN31:HN33 GQ32 GT32 GZ32 HP32 FZ32:FZ33 GD32:GD33 HA32:HA33 FO33 HG33 FU36:FV38 FB36:FC39 FG36:FG39 FR36:FR39 FX36:FX39 GD36:GD39 GJ36:GJ39 FZ36:FZ42 EL36:EL43 FW36:FW43 GE36:GE43 FD36:FD44 FH36:FK44 FO36:FQ44 FT36:FT44 GB36:GC44 GF36:GF44 GI36:GI44 EE36:EK45 EZ36:FA46 FE36:FF46 FL36:FN46 FS36:FS46 FY36:FY46 GA36:GA46 GG36:GH46 GK37:GK46 FV40:FV43 FU40:FU46 FR41:FR44 GD41:GD44 FG41:FG45 FB41:FC46 FX41:FX46 GJ41:GJ46 FZ44:FZ46 EL45 FV45:FW46 FD46 FI46:FK46 FO46:FR46 FT46 GB46:GF46 GI46">
    <cfRule type="containsText" dxfId="10" priority="1" operator="containsText" text="OFF">
      <formula>NOT(ISERROR(SEARCH(("OFF"),(EE10))))</formula>
    </cfRule>
    <cfRule type="containsText" dxfId="9" priority="2" operator="containsText" text="06:00 - 15:00">
      <formula>NOT(ISERROR(SEARCH(("06:00 - 15:00"),(EE10))))</formula>
    </cfRule>
    <cfRule type="containsText" dxfId="8" priority="3" operator="containsText" text="04:00 - 13:00">
      <formula>NOT(ISERROR(SEARCH(("04:00 - 13:00"),(EE10))))</formula>
    </cfRule>
    <cfRule type="containsText" dxfId="7" priority="4" operator="containsText" text="14:00 - 23:00">
      <formula>NOT(ISERROR(SEARCH(("14:00 - 23:00"),(EE10))))</formula>
    </cfRule>
    <cfRule type="containsText" dxfId="6" priority="5" operator="containsText" text="07:00 - 16:00">
      <formula>NOT(ISERROR(SEARCH(("07:00 - 16:00"),(EE10))))</formula>
    </cfRule>
    <cfRule type="containsText" dxfId="5" priority="6" operator="containsText" text="08:00 - 17:00">
      <formula>NOT(ISERROR(SEARCH(("08:00 - 17:00"),(EE10))))</formula>
    </cfRule>
    <cfRule type="containsText" dxfId="4" priority="7" operator="containsText" text="09:00 - 18:00">
      <formula>NOT(ISERROR(SEARCH(("09:00 - 18:00"),(EE10))))</formula>
    </cfRule>
    <cfRule type="containsText" dxfId="3" priority="8" operator="containsText" text="10:00 - 19:00">
      <formula>NOT(ISERROR(SEARCH(("10:00 - 19:00"),(EE10))))</formula>
    </cfRule>
    <cfRule type="containsText" dxfId="2" priority="9" operator="containsText" text="12H-21H /SCO">
      <formula>NOT(ISERROR(SEARCH(("12H-21H /SCO"),(EE10))))</formula>
    </cfRule>
    <cfRule type="containsText" dxfId="1" priority="10" operator="containsText" text="12:00 - 21:00">
      <formula>NOT(ISERROR(SEARCH(("12:00 - 21:00"),(EE10))))</formula>
    </cfRule>
    <cfRule type="containsText" dxfId="0" priority="11" operator="containsText" text="Congé">
      <formula>NOT(ISERROR(SEARCH(("Congé"),(EE10))))</formula>
    </cfRule>
  </conditionalFormatting>
  <hyperlinks>
    <hyperlink ref="O26" r:id="rId1" xr:uid="{00000000-0004-0000-0500-000000000000}"/>
    <hyperlink ref="O27" r:id="rId2" xr:uid="{00000000-0004-0000-0500-000001000000}"/>
    <hyperlink ref="O28" r:id="rId3" xr:uid="{00000000-0004-0000-0500-000002000000}"/>
    <hyperlink ref="O29" r:id="rId4" xr:uid="{00000000-0004-0000-0500-000003000000}"/>
    <hyperlink ref="O30" r:id="rId5" xr:uid="{00000000-0004-0000-0500-000004000000}"/>
    <hyperlink ref="O31" r:id="rId6" xr:uid="{00000000-0004-0000-0500-000005000000}"/>
  </hyperlinks>
  <printOptions horizontalCentered="1" gridLines="1"/>
  <pageMargins left="0.7" right="0.7" top="0.75" bottom="0.75" header="0" footer="0"/>
  <pageSetup paperSize="9" scale="10" fitToHeight="0" pageOrder="overThenDown" orientation="landscape" cellComments="atEnd" r:id="rId7"/>
  <legacyDrawing r:id="rId8"/>
  <tableParts count="60"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outlinePr summaryBelow="0" summaryRight="0"/>
  </sheetPr>
  <dimension ref="A1:I983"/>
  <sheetViews>
    <sheetView showGridLines="0" workbookViewId="0">
      <pane ySplit="9" topLeftCell="A73" activePane="bottomLeft" state="frozen"/>
      <selection pane="bottomLeft" activeCell="I99" sqref="A73:I99"/>
    </sheetView>
  </sheetViews>
  <sheetFormatPr baseColWidth="10" defaultColWidth="12.6328125" defaultRowHeight="15.75" customHeight="1"/>
  <cols>
    <col min="1" max="1" width="15.6328125" customWidth="1"/>
    <col min="2" max="2" width="24.54296875" bestFit="1" customWidth="1"/>
    <col min="3" max="3" width="16.26953125" customWidth="1"/>
    <col min="4" max="4" width="16.6328125" customWidth="1"/>
    <col min="5" max="5" width="19" customWidth="1"/>
    <col min="6" max="6" width="16.26953125" customWidth="1"/>
    <col min="7" max="7" width="18.7265625" customWidth="1"/>
    <col min="8" max="9" width="17.7265625" customWidth="1"/>
  </cols>
  <sheetData>
    <row r="1" spans="1:9" ht="30.5" customHeight="1" thickBot="1">
      <c r="A1" s="612" t="s">
        <v>388</v>
      </c>
      <c r="B1" s="613"/>
      <c r="C1" s="613"/>
      <c r="D1" s="613"/>
      <c r="E1" s="614"/>
      <c r="F1" s="255"/>
      <c r="G1" s="255"/>
      <c r="H1" s="255"/>
      <c r="I1" s="255"/>
    </row>
    <row r="2" spans="1:9" ht="13" hidden="1">
      <c r="A2" s="615" t="s">
        <v>28</v>
      </c>
      <c r="B2" s="256" t="s">
        <v>29</v>
      </c>
      <c r="C2" s="257">
        <v>46023</v>
      </c>
      <c r="D2" s="258" t="s">
        <v>30</v>
      </c>
      <c r="E2" s="259">
        <v>46168</v>
      </c>
      <c r="F2" s="260" t="s">
        <v>31</v>
      </c>
      <c r="G2" s="261">
        <v>46255</v>
      </c>
      <c r="H2" s="255"/>
      <c r="I2" s="255"/>
    </row>
    <row r="3" spans="1:9" ht="13" hidden="1">
      <c r="A3" s="568"/>
      <c r="B3" s="262" t="s">
        <v>32</v>
      </c>
      <c r="C3" s="259">
        <v>46033</v>
      </c>
      <c r="D3" s="260" t="s">
        <v>33</v>
      </c>
      <c r="E3" s="261">
        <v>46189</v>
      </c>
      <c r="F3" s="262" t="s">
        <v>34</v>
      </c>
      <c r="G3" s="259">
        <v>46259</v>
      </c>
      <c r="H3" s="255"/>
      <c r="I3" s="255"/>
    </row>
    <row r="4" spans="1:9" ht="13" hidden="1">
      <c r="A4" s="568"/>
      <c r="B4" s="260" t="s">
        <v>389</v>
      </c>
      <c r="C4" s="261">
        <v>46036</v>
      </c>
      <c r="D4" s="262" t="s">
        <v>36</v>
      </c>
      <c r="E4" s="259">
        <v>46233</v>
      </c>
      <c r="F4" s="260" t="s">
        <v>37</v>
      </c>
      <c r="G4" s="261">
        <v>46326</v>
      </c>
      <c r="H4" s="255"/>
      <c r="I4" s="255"/>
    </row>
    <row r="5" spans="1:9" ht="13" hidden="1">
      <c r="A5" s="568"/>
      <c r="B5" s="262" t="s">
        <v>390</v>
      </c>
      <c r="C5" s="259">
        <v>46102</v>
      </c>
      <c r="D5" s="260" t="s">
        <v>38</v>
      </c>
      <c r="E5" s="261">
        <v>46248</v>
      </c>
      <c r="F5" s="262" t="s">
        <v>39</v>
      </c>
      <c r="G5" s="259">
        <v>46332</v>
      </c>
      <c r="H5" s="255"/>
      <c r="I5" s="255"/>
    </row>
    <row r="6" spans="1:9" ht="13" hidden="1">
      <c r="A6" s="569"/>
      <c r="B6" s="260" t="s">
        <v>40</v>
      </c>
      <c r="C6" s="261">
        <v>46143</v>
      </c>
      <c r="D6" s="262" t="s">
        <v>391</v>
      </c>
      <c r="E6" s="259">
        <v>46254</v>
      </c>
      <c r="F6" s="260" t="s">
        <v>41</v>
      </c>
      <c r="G6" s="261">
        <v>46344</v>
      </c>
      <c r="H6" s="255"/>
      <c r="I6" s="255"/>
    </row>
    <row r="7" spans="1:9" ht="20.5" hidden="1">
      <c r="A7" s="263" t="s">
        <v>392</v>
      </c>
      <c r="B7" s="264" t="s">
        <v>47</v>
      </c>
      <c r="C7" s="265" t="s">
        <v>322</v>
      </c>
      <c r="D7" s="265" t="s">
        <v>393</v>
      </c>
      <c r="E7" s="266" t="s">
        <v>314</v>
      </c>
      <c r="F7" s="267" t="s">
        <v>394</v>
      </c>
      <c r="G7" s="255"/>
      <c r="H7" s="255"/>
      <c r="I7" s="255"/>
    </row>
    <row r="8" spans="1:9" ht="20.5" hidden="1">
      <c r="A8" s="263" t="s">
        <v>395</v>
      </c>
      <c r="B8" s="264" t="s">
        <v>57</v>
      </c>
      <c r="C8" s="265" t="s">
        <v>316</v>
      </c>
      <c r="D8" s="265" t="s">
        <v>396</v>
      </c>
      <c r="E8" s="268" t="s">
        <v>397</v>
      </c>
      <c r="F8" s="269" t="s">
        <v>2</v>
      </c>
      <c r="G8" s="255"/>
      <c r="H8" s="255"/>
      <c r="I8" s="255"/>
    </row>
    <row r="9" spans="1:9" ht="21" thickBot="1">
      <c r="A9" s="270" t="s">
        <v>398</v>
      </c>
      <c r="B9" s="271" t="s">
        <v>399</v>
      </c>
      <c r="C9" s="272"/>
      <c r="D9" s="1" t="s">
        <v>35</v>
      </c>
      <c r="E9" s="2" t="str">
        <f ca="1">"S"&amp;" - "&amp;(WEEKNUM(TODAY(),2))</f>
        <v>S - 25</v>
      </c>
      <c r="F9" s="272"/>
      <c r="G9" s="272"/>
      <c r="H9" s="272"/>
      <c r="I9" s="272"/>
    </row>
    <row r="10" spans="1:9" ht="13.5" thickBot="1">
      <c r="A10" s="616" t="s">
        <v>35</v>
      </c>
      <c r="B10" s="273" t="s">
        <v>400</v>
      </c>
      <c r="C10" s="274">
        <f ca="1">TODAY()-WEEKDAY(TODAY(),2)+1</f>
        <v>46188</v>
      </c>
      <c r="D10" s="275">
        <f ca="1">TODAY()-WEEKDAY(TODAY(),2)+2</f>
        <v>46189</v>
      </c>
      <c r="E10" s="276">
        <f ca="1">TODAY()-WEEKDAY(TODAY(),2)+3</f>
        <v>46190</v>
      </c>
      <c r="F10" s="277">
        <f ca="1">TODAY()-WEEKDAY(TODAY(),2)+4</f>
        <v>46191</v>
      </c>
      <c r="G10" s="278">
        <f ca="1">TODAY()-WEEKDAY(TODAY(),2)+5</f>
        <v>46192</v>
      </c>
      <c r="H10" s="279">
        <f ca="1">TODAY()-WEEKDAY(TODAY(),2)+6</f>
        <v>46193</v>
      </c>
      <c r="I10" s="280">
        <f ca="1">TODAY()-WEEKDAY(TODAY(),2)+7</f>
        <v>46194</v>
      </c>
    </row>
    <row r="11" spans="1:9" ht="13">
      <c r="A11" s="568"/>
      <c r="B11" s="281" t="s">
        <v>401</v>
      </c>
      <c r="C11" s="282" t="e">
        <f t="shared" ref="C11:I11" ca="1" si="0">INDEX(C128:C422,MATCH(C10,C128:C422,0)+1)</f>
        <v>#N/A</v>
      </c>
      <c r="D11" s="282" t="e">
        <f t="shared" ca="1" si="0"/>
        <v>#N/A</v>
      </c>
      <c r="E11" s="282" t="e">
        <f t="shared" ca="1" si="0"/>
        <v>#N/A</v>
      </c>
      <c r="F11" s="282" t="e">
        <f t="shared" ca="1" si="0"/>
        <v>#N/A</v>
      </c>
      <c r="G11" s="282" t="e">
        <f t="shared" ca="1" si="0"/>
        <v>#N/A</v>
      </c>
      <c r="H11" s="282" t="e">
        <f t="shared" ca="1" si="0"/>
        <v>#N/A</v>
      </c>
      <c r="I11" s="282" t="e">
        <f t="shared" ca="1" si="0"/>
        <v>#N/A</v>
      </c>
    </row>
    <row r="12" spans="1:9" ht="13">
      <c r="A12" s="568"/>
      <c r="B12" s="283" t="s">
        <v>402</v>
      </c>
      <c r="C12" s="282" t="e">
        <f t="shared" ref="C12:I12" ca="1" si="1">INDEX(C128:C422,MATCH(C10,C128:C422,0)+2)</f>
        <v>#N/A</v>
      </c>
      <c r="D12" s="282" t="e">
        <f t="shared" ca="1" si="1"/>
        <v>#N/A</v>
      </c>
      <c r="E12" s="282" t="e">
        <f t="shared" ca="1" si="1"/>
        <v>#N/A</v>
      </c>
      <c r="F12" s="282" t="e">
        <f t="shared" ca="1" si="1"/>
        <v>#N/A</v>
      </c>
      <c r="G12" s="282" t="e">
        <f t="shared" ca="1" si="1"/>
        <v>#N/A</v>
      </c>
      <c r="H12" s="282" t="e">
        <f t="shared" ca="1" si="1"/>
        <v>#N/A</v>
      </c>
      <c r="I12" s="282" t="e">
        <f t="shared" ca="1" si="1"/>
        <v>#N/A</v>
      </c>
    </row>
    <row r="13" spans="1:9" ht="13">
      <c r="A13" s="568"/>
      <c r="B13" s="283" t="s">
        <v>403</v>
      </c>
      <c r="C13" s="282" t="e">
        <f t="array" aca="1" ref="C13" ca="1">INDEX(C184:C422,MATCH(C10,C128:C422,0)+3)</f>
        <v>#N/A</v>
      </c>
      <c r="D13" s="282" t="e">
        <f t="shared" ref="D13:I13" ca="1" si="2">INDEX(D128:D422,MATCH(D10,D128:D422,0)+3)</f>
        <v>#N/A</v>
      </c>
      <c r="E13" s="282" t="e">
        <f t="shared" ca="1" si="2"/>
        <v>#N/A</v>
      </c>
      <c r="F13" s="282" t="e">
        <f t="shared" ca="1" si="2"/>
        <v>#N/A</v>
      </c>
      <c r="G13" s="282" t="e">
        <f t="shared" ca="1" si="2"/>
        <v>#N/A</v>
      </c>
      <c r="H13" s="282" t="e">
        <f t="shared" ca="1" si="2"/>
        <v>#N/A</v>
      </c>
      <c r="I13" s="282" t="e">
        <f t="shared" ca="1" si="2"/>
        <v>#N/A</v>
      </c>
    </row>
    <row r="14" spans="1:9" ht="13">
      <c r="A14" s="568"/>
      <c r="B14" s="283" t="s">
        <v>404</v>
      </c>
      <c r="C14" s="282" t="e">
        <f t="shared" ref="C14:I14" ca="1" si="3">INDEX(C128:C422,MATCH(C10,C128:C422,0)+4)</f>
        <v>#N/A</v>
      </c>
      <c r="D14" s="282" t="e">
        <f t="shared" ca="1" si="3"/>
        <v>#N/A</v>
      </c>
      <c r="E14" s="282" t="e">
        <f t="shared" ca="1" si="3"/>
        <v>#N/A</v>
      </c>
      <c r="F14" s="282" t="e">
        <f t="shared" ca="1" si="3"/>
        <v>#N/A</v>
      </c>
      <c r="G14" s="282" t="e">
        <f t="shared" ca="1" si="3"/>
        <v>#N/A</v>
      </c>
      <c r="H14" s="282" t="e">
        <f t="shared" ca="1" si="3"/>
        <v>#N/A</v>
      </c>
      <c r="I14" s="282" t="e">
        <f t="shared" ca="1" si="3"/>
        <v>#N/A</v>
      </c>
    </row>
    <row r="15" spans="1:9" ht="13.5" thickBot="1">
      <c r="A15" s="569"/>
      <c r="B15" s="284" t="s">
        <v>405</v>
      </c>
      <c r="C15" s="282" t="e">
        <f t="shared" ref="C15:I15" ca="1" si="4">INDEX(C128:C422,MATCH(C10,C128:C422,0)+5)</f>
        <v>#N/A</v>
      </c>
      <c r="D15" s="282" t="e">
        <f t="shared" ca="1" si="4"/>
        <v>#N/A</v>
      </c>
      <c r="E15" s="282" t="e">
        <f t="shared" ca="1" si="4"/>
        <v>#N/A</v>
      </c>
      <c r="F15" s="282" t="e">
        <f t="shared" ca="1" si="4"/>
        <v>#N/A</v>
      </c>
      <c r="G15" s="282" t="e">
        <f t="shared" ca="1" si="4"/>
        <v>#N/A</v>
      </c>
      <c r="H15" s="282" t="e">
        <f t="shared" ca="1" si="4"/>
        <v>#N/A</v>
      </c>
      <c r="I15" s="282" t="e">
        <f t="shared" ca="1" si="4"/>
        <v>#N/A</v>
      </c>
    </row>
    <row r="16" spans="1:9" ht="13">
      <c r="A16" s="476"/>
      <c r="B16" s="477"/>
      <c r="C16" s="478"/>
      <c r="D16" s="478"/>
      <c r="E16" s="478"/>
      <c r="F16" s="478"/>
      <c r="G16" s="478"/>
      <c r="H16" s="478"/>
      <c r="I16" s="478"/>
    </row>
    <row r="17" spans="1:9" ht="20.5">
      <c r="A17" s="481" t="s">
        <v>42</v>
      </c>
      <c r="B17" s="482" t="s">
        <v>400</v>
      </c>
      <c r="C17" s="524">
        <v>46181</v>
      </c>
      <c r="D17" s="484">
        <v>46182</v>
      </c>
      <c r="E17" s="485">
        <v>46183</v>
      </c>
      <c r="F17" s="486">
        <v>46184</v>
      </c>
      <c r="G17" s="487">
        <v>46185</v>
      </c>
      <c r="H17" s="488">
        <v>46186</v>
      </c>
      <c r="I17" s="489">
        <v>46187</v>
      </c>
    </row>
    <row r="18" spans="1:9" ht="13">
      <c r="A18" s="609" t="s">
        <v>504</v>
      </c>
      <c r="B18" s="523" t="s">
        <v>154</v>
      </c>
      <c r="C18" s="525"/>
      <c r="D18" s="525"/>
      <c r="E18" s="525"/>
      <c r="F18" s="525"/>
      <c r="G18" s="525"/>
      <c r="H18" s="525"/>
      <c r="I18" s="525"/>
    </row>
    <row r="19" spans="1:9" ht="13">
      <c r="A19" s="608"/>
      <c r="B19" s="480" t="s">
        <v>401</v>
      </c>
      <c r="C19" s="525"/>
      <c r="D19" s="525"/>
      <c r="E19" s="525"/>
      <c r="F19" s="525"/>
      <c r="G19" s="525"/>
      <c r="H19" s="525"/>
      <c r="I19" s="525"/>
    </row>
    <row r="20" spans="1:9" ht="13">
      <c r="A20" s="608"/>
      <c r="B20" s="480" t="s">
        <v>402</v>
      </c>
      <c r="C20" s="525"/>
      <c r="D20" s="525"/>
      <c r="E20" s="525"/>
      <c r="F20" s="525"/>
      <c r="G20" s="525"/>
      <c r="H20" s="525"/>
      <c r="I20" s="525"/>
    </row>
    <row r="21" spans="1:9" ht="13">
      <c r="A21" s="608"/>
      <c r="B21" s="480" t="s">
        <v>403</v>
      </c>
      <c r="C21" s="525"/>
      <c r="D21" s="525"/>
      <c r="E21" s="525"/>
      <c r="F21" s="525"/>
      <c r="G21" s="525"/>
      <c r="H21" s="525"/>
      <c r="I21" s="525"/>
    </row>
    <row r="22" spans="1:9" ht="13">
      <c r="A22" s="608"/>
      <c r="B22" s="480" t="s">
        <v>404</v>
      </c>
      <c r="C22" s="525"/>
      <c r="D22" s="525"/>
      <c r="E22" s="525"/>
      <c r="F22" s="525"/>
      <c r="G22" s="525"/>
      <c r="H22" s="525"/>
      <c r="I22" s="525"/>
    </row>
    <row r="23" spans="1:9" ht="20.5">
      <c r="A23" s="300"/>
      <c r="B23" s="301"/>
      <c r="C23" s="478"/>
      <c r="D23" s="478"/>
      <c r="E23" s="478"/>
      <c r="F23" s="478"/>
      <c r="G23" s="478"/>
      <c r="H23" s="478"/>
      <c r="I23" s="478"/>
    </row>
    <row r="24" spans="1:9" ht="20.5">
      <c r="A24" s="481" t="s">
        <v>42</v>
      </c>
      <c r="B24" s="482" t="s">
        <v>400</v>
      </c>
      <c r="C24" s="483">
        <v>46174</v>
      </c>
      <c r="D24" s="484">
        <v>46175</v>
      </c>
      <c r="E24" s="485">
        <v>46176</v>
      </c>
      <c r="F24" s="486">
        <v>46177</v>
      </c>
      <c r="G24" s="487">
        <v>46178</v>
      </c>
      <c r="H24" s="488">
        <v>46179</v>
      </c>
      <c r="I24" s="489">
        <v>46180</v>
      </c>
    </row>
    <row r="25" spans="1:9" ht="13">
      <c r="A25" s="607" t="s">
        <v>503</v>
      </c>
      <c r="B25" s="479" t="s">
        <v>154</v>
      </c>
      <c r="C25" s="525"/>
      <c r="D25" s="525"/>
      <c r="E25" s="525"/>
      <c r="F25" s="525"/>
      <c r="G25" s="525"/>
      <c r="H25" s="525"/>
      <c r="I25" s="525"/>
    </row>
    <row r="26" spans="1:9" ht="13">
      <c r="A26" s="608"/>
      <c r="B26" s="480" t="s">
        <v>401</v>
      </c>
      <c r="C26" s="525"/>
      <c r="D26" s="525"/>
      <c r="E26" s="525"/>
      <c r="F26" s="525"/>
      <c r="G26" s="525"/>
      <c r="H26" s="525"/>
      <c r="I26" s="525"/>
    </row>
    <row r="27" spans="1:9" ht="13">
      <c r="A27" s="608"/>
      <c r="B27" s="480" t="s">
        <v>402</v>
      </c>
      <c r="C27" s="525"/>
      <c r="D27" s="525"/>
      <c r="E27" s="525"/>
      <c r="F27" s="525"/>
      <c r="G27" s="525"/>
      <c r="H27" s="525"/>
      <c r="I27" s="525"/>
    </row>
    <row r="28" spans="1:9" ht="13">
      <c r="A28" s="608"/>
      <c r="B28" s="480" t="s">
        <v>403</v>
      </c>
      <c r="C28" s="525"/>
      <c r="D28" s="525"/>
      <c r="E28" s="525"/>
      <c r="F28" s="525"/>
      <c r="G28" s="525"/>
      <c r="H28" s="525"/>
      <c r="I28" s="525"/>
    </row>
    <row r="29" spans="1:9" ht="13">
      <c r="A29" s="608"/>
      <c r="B29" s="480" t="s">
        <v>404</v>
      </c>
      <c r="C29" s="525"/>
      <c r="D29" s="525"/>
      <c r="E29" s="525"/>
      <c r="F29" s="525"/>
      <c r="G29" s="525"/>
      <c r="H29" s="525"/>
      <c r="I29" s="525"/>
    </row>
    <row r="30" spans="1:9" ht="13">
      <c r="A30" s="476"/>
      <c r="B30" s="477"/>
      <c r="C30" s="478"/>
      <c r="D30" s="478"/>
      <c r="E30" s="478"/>
      <c r="F30" s="478"/>
      <c r="G30" s="478"/>
      <c r="H30" s="478"/>
      <c r="I30" s="478"/>
    </row>
    <row r="31" spans="1:9" ht="20.5">
      <c r="A31" s="481" t="s">
        <v>42</v>
      </c>
      <c r="B31" s="482" t="s">
        <v>400</v>
      </c>
      <c r="C31" s="524">
        <v>46181</v>
      </c>
      <c r="D31" s="484">
        <v>46182</v>
      </c>
      <c r="E31" s="485">
        <v>46183</v>
      </c>
      <c r="F31" s="486">
        <v>46184</v>
      </c>
      <c r="G31" s="487">
        <v>46185</v>
      </c>
      <c r="H31" s="488">
        <v>46186</v>
      </c>
      <c r="I31" s="489">
        <v>46187</v>
      </c>
    </row>
    <row r="32" spans="1:9" ht="13">
      <c r="A32" s="609" t="s">
        <v>504</v>
      </c>
      <c r="B32" s="523" t="s">
        <v>154</v>
      </c>
      <c r="C32" s="525"/>
      <c r="D32" s="525"/>
      <c r="E32" s="525"/>
      <c r="F32" s="525"/>
      <c r="G32" s="525"/>
      <c r="H32" s="525"/>
      <c r="I32" s="525"/>
    </row>
    <row r="33" spans="1:9" ht="13">
      <c r="A33" s="608"/>
      <c r="B33" s="480" t="s">
        <v>401</v>
      </c>
      <c r="C33" s="525"/>
      <c r="D33" s="525"/>
      <c r="E33" s="525"/>
      <c r="F33" s="525"/>
      <c r="G33" s="525"/>
      <c r="H33" s="525"/>
      <c r="I33" s="525"/>
    </row>
    <row r="34" spans="1:9" ht="13">
      <c r="A34" s="608"/>
      <c r="B34" s="480" t="s">
        <v>402</v>
      </c>
      <c r="C34" s="525"/>
      <c r="D34" s="525"/>
      <c r="E34" s="525"/>
      <c r="F34" s="525"/>
      <c r="G34" s="525"/>
      <c r="H34" s="525"/>
      <c r="I34" s="525"/>
    </row>
    <row r="35" spans="1:9" ht="13">
      <c r="A35" s="608"/>
      <c r="B35" s="480" t="s">
        <v>403</v>
      </c>
      <c r="C35" s="525"/>
      <c r="D35" s="525"/>
      <c r="E35" s="525"/>
      <c r="F35" s="525"/>
      <c r="G35" s="525"/>
      <c r="H35" s="525"/>
      <c r="I35" s="525"/>
    </row>
    <row r="36" spans="1:9" ht="13">
      <c r="A36" s="608"/>
      <c r="B36" s="480" t="s">
        <v>404</v>
      </c>
      <c r="C36" s="525"/>
      <c r="D36" s="525"/>
      <c r="E36" s="525"/>
      <c r="F36" s="525"/>
      <c r="G36" s="525"/>
      <c r="H36" s="525"/>
      <c r="I36" s="525"/>
    </row>
    <row r="37" spans="1:9" ht="20.5">
      <c r="A37" s="300"/>
      <c r="B37" s="301"/>
      <c r="C37" s="478"/>
      <c r="D37" s="478"/>
      <c r="E37" s="478"/>
      <c r="F37" s="478"/>
      <c r="G37" s="478"/>
      <c r="H37" s="478"/>
      <c r="I37" s="478"/>
    </row>
    <row r="38" spans="1:9" ht="20.5">
      <c r="A38" s="481" t="s">
        <v>42</v>
      </c>
      <c r="B38" s="482" t="s">
        <v>400</v>
      </c>
      <c r="C38" s="483">
        <v>46174</v>
      </c>
      <c r="D38" s="484">
        <v>46175</v>
      </c>
      <c r="E38" s="485">
        <v>46176</v>
      </c>
      <c r="F38" s="486">
        <v>46177</v>
      </c>
      <c r="G38" s="487">
        <v>46178</v>
      </c>
      <c r="H38" s="488">
        <v>46179</v>
      </c>
      <c r="I38" s="489">
        <v>46180</v>
      </c>
    </row>
    <row r="39" spans="1:9" ht="13">
      <c r="A39" s="607" t="s">
        <v>503</v>
      </c>
      <c r="B39" s="479" t="s">
        <v>154</v>
      </c>
      <c r="C39" s="525"/>
      <c r="D39" s="525"/>
      <c r="E39" s="525"/>
      <c r="F39" s="525"/>
      <c r="G39" s="525"/>
      <c r="H39" s="525"/>
      <c r="I39" s="525"/>
    </row>
    <row r="40" spans="1:9" ht="13">
      <c r="A40" s="608"/>
      <c r="B40" s="480" t="s">
        <v>401</v>
      </c>
      <c r="C40" s="525"/>
      <c r="D40" s="525"/>
      <c r="E40" s="525"/>
      <c r="F40" s="525"/>
      <c r="G40" s="525"/>
      <c r="H40" s="525"/>
      <c r="I40" s="525"/>
    </row>
    <row r="41" spans="1:9" ht="13">
      <c r="A41" s="608"/>
      <c r="B41" s="480" t="s">
        <v>402</v>
      </c>
      <c r="C41" s="525"/>
      <c r="D41" s="525"/>
      <c r="E41" s="525"/>
      <c r="F41" s="525"/>
      <c r="G41" s="525"/>
      <c r="H41" s="525"/>
      <c r="I41" s="525"/>
    </row>
    <row r="42" spans="1:9" ht="13">
      <c r="A42" s="608"/>
      <c r="B42" s="480" t="s">
        <v>403</v>
      </c>
      <c r="C42" s="525"/>
      <c r="D42" s="525"/>
      <c r="E42" s="525"/>
      <c r="F42" s="525"/>
      <c r="G42" s="525"/>
      <c r="H42" s="525"/>
      <c r="I42" s="525"/>
    </row>
    <row r="43" spans="1:9" ht="13">
      <c r="A43" s="608"/>
      <c r="B43" s="480" t="s">
        <v>404</v>
      </c>
      <c r="C43" s="525"/>
      <c r="D43" s="525"/>
      <c r="E43" s="525"/>
      <c r="F43" s="525"/>
      <c r="G43" s="525"/>
      <c r="H43" s="525"/>
      <c r="I43" s="525"/>
    </row>
    <row r="44" spans="1:9" ht="13">
      <c r="A44" s="476"/>
      <c r="B44" s="477"/>
      <c r="C44" s="478"/>
      <c r="D44" s="478"/>
      <c r="E44" s="478"/>
      <c r="F44" s="478"/>
      <c r="G44" s="478"/>
      <c r="H44" s="478"/>
      <c r="I44" s="478"/>
    </row>
    <row r="45" spans="1:9" ht="20.5">
      <c r="A45" s="481" t="s">
        <v>42</v>
      </c>
      <c r="B45" s="482" t="s">
        <v>400</v>
      </c>
      <c r="C45" s="524">
        <v>46181</v>
      </c>
      <c r="D45" s="484">
        <v>46182</v>
      </c>
      <c r="E45" s="485">
        <v>46183</v>
      </c>
      <c r="F45" s="486">
        <v>46184</v>
      </c>
      <c r="G45" s="487">
        <v>46185</v>
      </c>
      <c r="H45" s="488">
        <v>46186</v>
      </c>
      <c r="I45" s="489">
        <v>46187</v>
      </c>
    </row>
    <row r="46" spans="1:9" ht="13">
      <c r="A46" s="609" t="s">
        <v>504</v>
      </c>
      <c r="B46" s="523" t="s">
        <v>154</v>
      </c>
      <c r="C46" s="525"/>
      <c r="D46" s="525"/>
      <c r="E46" s="525"/>
      <c r="F46" s="525"/>
      <c r="G46" s="525"/>
      <c r="H46" s="525"/>
      <c r="I46" s="525"/>
    </row>
    <row r="47" spans="1:9" ht="13">
      <c r="A47" s="608"/>
      <c r="B47" s="480" t="s">
        <v>401</v>
      </c>
      <c r="C47" s="525"/>
      <c r="D47" s="525"/>
      <c r="E47" s="525"/>
      <c r="F47" s="525"/>
      <c r="G47" s="525"/>
      <c r="H47" s="525"/>
      <c r="I47" s="525"/>
    </row>
    <row r="48" spans="1:9" ht="13">
      <c r="A48" s="608"/>
      <c r="B48" s="480" t="s">
        <v>402</v>
      </c>
      <c r="C48" s="525"/>
      <c r="D48" s="525"/>
      <c r="E48" s="525"/>
      <c r="F48" s="525"/>
      <c r="G48" s="525"/>
      <c r="H48" s="525"/>
      <c r="I48" s="525"/>
    </row>
    <row r="49" spans="1:9" ht="13">
      <c r="A49" s="608"/>
      <c r="B49" s="480" t="s">
        <v>403</v>
      </c>
      <c r="C49" s="525"/>
      <c r="D49" s="525"/>
      <c r="E49" s="525"/>
      <c r="F49" s="525"/>
      <c r="G49" s="525"/>
      <c r="H49" s="525"/>
      <c r="I49" s="525"/>
    </row>
    <row r="50" spans="1:9" ht="13">
      <c r="A50" s="608"/>
      <c r="B50" s="480" t="s">
        <v>404</v>
      </c>
      <c r="C50" s="525"/>
      <c r="D50" s="525"/>
      <c r="E50" s="525"/>
      <c r="F50" s="525"/>
      <c r="G50" s="525"/>
      <c r="H50" s="525"/>
      <c r="I50" s="525"/>
    </row>
    <row r="51" spans="1:9" ht="20.5">
      <c r="A51" s="300"/>
      <c r="B51" s="301"/>
      <c r="C51" s="478"/>
      <c r="D51" s="478"/>
      <c r="E51" s="478"/>
      <c r="F51" s="478"/>
      <c r="G51" s="478"/>
      <c r="H51" s="478"/>
      <c r="I51" s="478"/>
    </row>
    <row r="52" spans="1:9" ht="20.5">
      <c r="A52" s="481" t="s">
        <v>42</v>
      </c>
      <c r="B52" s="482" t="s">
        <v>400</v>
      </c>
      <c r="C52" s="483">
        <v>46174</v>
      </c>
      <c r="D52" s="484">
        <v>46175</v>
      </c>
      <c r="E52" s="485">
        <v>46176</v>
      </c>
      <c r="F52" s="486">
        <v>46177</v>
      </c>
      <c r="G52" s="487">
        <v>46178</v>
      </c>
      <c r="H52" s="488">
        <v>46179</v>
      </c>
      <c r="I52" s="489">
        <v>46180</v>
      </c>
    </row>
    <row r="53" spans="1:9" ht="13">
      <c r="A53" s="607" t="s">
        <v>503</v>
      </c>
      <c r="B53" s="479" t="s">
        <v>154</v>
      </c>
      <c r="C53" s="525"/>
      <c r="D53" s="525"/>
      <c r="E53" s="525"/>
      <c r="F53" s="525"/>
      <c r="G53" s="525"/>
      <c r="H53" s="525"/>
      <c r="I53" s="525"/>
    </row>
    <row r="54" spans="1:9" ht="13">
      <c r="A54" s="608"/>
      <c r="B54" s="480" t="s">
        <v>401</v>
      </c>
      <c r="C54" s="525"/>
      <c r="D54" s="525"/>
      <c r="E54" s="525"/>
      <c r="F54" s="525"/>
      <c r="G54" s="525"/>
      <c r="H54" s="525"/>
      <c r="I54" s="525"/>
    </row>
    <row r="55" spans="1:9" ht="13">
      <c r="A55" s="608"/>
      <c r="B55" s="480" t="s">
        <v>402</v>
      </c>
      <c r="C55" s="525"/>
      <c r="D55" s="525"/>
      <c r="E55" s="525"/>
      <c r="F55" s="525"/>
      <c r="G55" s="525"/>
      <c r="H55" s="525"/>
      <c r="I55" s="525"/>
    </row>
    <row r="56" spans="1:9" ht="13">
      <c r="A56" s="608"/>
      <c r="B56" s="480" t="s">
        <v>403</v>
      </c>
      <c r="C56" s="525"/>
      <c r="D56" s="525"/>
      <c r="E56" s="525"/>
      <c r="F56" s="525"/>
      <c r="G56" s="525"/>
      <c r="H56" s="525"/>
      <c r="I56" s="525"/>
    </row>
    <row r="57" spans="1:9" ht="13">
      <c r="A57" s="608"/>
      <c r="B57" s="480" t="s">
        <v>404</v>
      </c>
      <c r="C57" s="525"/>
      <c r="D57" s="525"/>
      <c r="E57" s="525"/>
      <c r="F57" s="525"/>
      <c r="G57" s="525"/>
      <c r="H57" s="525"/>
      <c r="I57" s="525"/>
    </row>
    <row r="58" spans="1:9" ht="13">
      <c r="A58" s="476"/>
      <c r="B58" s="477"/>
      <c r="C58" s="478"/>
      <c r="D58" s="478"/>
      <c r="E58" s="478"/>
      <c r="F58" s="478"/>
      <c r="G58" s="478"/>
      <c r="H58" s="478"/>
      <c r="I58" s="478"/>
    </row>
    <row r="59" spans="1:9" ht="20.5">
      <c r="A59" s="481" t="s">
        <v>42</v>
      </c>
      <c r="B59" s="482" t="s">
        <v>400</v>
      </c>
      <c r="C59" s="524">
        <v>46181</v>
      </c>
      <c r="D59" s="484">
        <v>46182</v>
      </c>
      <c r="E59" s="485">
        <v>46183</v>
      </c>
      <c r="F59" s="486">
        <v>46184</v>
      </c>
      <c r="G59" s="487">
        <v>46185</v>
      </c>
      <c r="H59" s="488">
        <v>46186</v>
      </c>
      <c r="I59" s="489">
        <v>46187</v>
      </c>
    </row>
    <row r="60" spans="1:9" ht="13">
      <c r="A60" s="609" t="s">
        <v>504</v>
      </c>
      <c r="B60" s="523" t="s">
        <v>154</v>
      </c>
      <c r="C60" s="525"/>
      <c r="D60" s="525"/>
      <c r="E60" s="525"/>
      <c r="F60" s="525"/>
      <c r="G60" s="525"/>
      <c r="H60" s="525"/>
      <c r="I60" s="525"/>
    </row>
    <row r="61" spans="1:9" ht="13">
      <c r="A61" s="608"/>
      <c r="B61" s="480" t="s">
        <v>401</v>
      </c>
      <c r="C61" s="525"/>
      <c r="D61" s="525"/>
      <c r="E61" s="525"/>
      <c r="F61" s="525"/>
      <c r="G61" s="525"/>
      <c r="H61" s="525"/>
      <c r="I61" s="525"/>
    </row>
    <row r="62" spans="1:9" ht="13">
      <c r="A62" s="608"/>
      <c r="B62" s="480" t="s">
        <v>402</v>
      </c>
      <c r="C62" s="525"/>
      <c r="D62" s="525"/>
      <c r="E62" s="525"/>
      <c r="F62" s="525"/>
      <c r="G62" s="525"/>
      <c r="H62" s="525"/>
      <c r="I62" s="525"/>
    </row>
    <row r="63" spans="1:9" ht="13">
      <c r="A63" s="608"/>
      <c r="B63" s="480" t="s">
        <v>403</v>
      </c>
      <c r="C63" s="525"/>
      <c r="D63" s="525"/>
      <c r="E63" s="525"/>
      <c r="F63" s="525"/>
      <c r="G63" s="525"/>
      <c r="H63" s="525"/>
      <c r="I63" s="525"/>
    </row>
    <row r="64" spans="1:9" ht="13">
      <c r="A64" s="608"/>
      <c r="B64" s="480" t="s">
        <v>404</v>
      </c>
      <c r="C64" s="525"/>
      <c r="D64" s="525"/>
      <c r="E64" s="525"/>
      <c r="F64" s="525"/>
      <c r="G64" s="525"/>
      <c r="H64" s="525"/>
      <c r="I64" s="525"/>
    </row>
    <row r="65" spans="1:9" ht="20.5">
      <c r="A65" s="300"/>
      <c r="B65" s="301"/>
      <c r="C65" s="478"/>
      <c r="D65" s="478"/>
      <c r="E65" s="478"/>
      <c r="F65" s="478"/>
      <c r="G65" s="478"/>
      <c r="H65" s="478"/>
      <c r="I65" s="478"/>
    </row>
    <row r="66" spans="1:9" ht="20.5">
      <c r="A66" s="481" t="s">
        <v>42</v>
      </c>
      <c r="B66" s="482" t="s">
        <v>400</v>
      </c>
      <c r="C66" s="483">
        <v>46174</v>
      </c>
      <c r="D66" s="484">
        <v>46175</v>
      </c>
      <c r="E66" s="485">
        <v>46176</v>
      </c>
      <c r="F66" s="486">
        <v>46177</v>
      </c>
      <c r="G66" s="487">
        <v>46178</v>
      </c>
      <c r="H66" s="488">
        <v>46179</v>
      </c>
      <c r="I66" s="489">
        <v>46180</v>
      </c>
    </row>
    <row r="67" spans="1:9" ht="13">
      <c r="A67" s="607" t="s">
        <v>503</v>
      </c>
      <c r="B67" s="479" t="s">
        <v>154</v>
      </c>
      <c r="C67" s="525"/>
      <c r="D67" s="525"/>
      <c r="E67" s="525"/>
      <c r="F67" s="525"/>
      <c r="G67" s="525"/>
      <c r="H67" s="525"/>
      <c r="I67" s="525"/>
    </row>
    <row r="68" spans="1:9" ht="13">
      <c r="A68" s="608"/>
      <c r="B68" s="480" t="s">
        <v>401</v>
      </c>
      <c r="C68" s="525"/>
      <c r="D68" s="525"/>
      <c r="E68" s="525"/>
      <c r="F68" s="525"/>
      <c r="G68" s="525"/>
      <c r="H68" s="525"/>
      <c r="I68" s="525"/>
    </row>
    <row r="69" spans="1:9" ht="13">
      <c r="A69" s="608"/>
      <c r="B69" s="480" t="s">
        <v>402</v>
      </c>
      <c r="C69" s="525"/>
      <c r="D69" s="525"/>
      <c r="E69" s="525"/>
      <c r="F69" s="525"/>
      <c r="G69" s="525"/>
      <c r="H69" s="525"/>
      <c r="I69" s="525"/>
    </row>
    <row r="70" spans="1:9" ht="13">
      <c r="A70" s="608"/>
      <c r="B70" s="480" t="s">
        <v>403</v>
      </c>
      <c r="C70" s="525"/>
      <c r="D70" s="525"/>
      <c r="E70" s="525"/>
      <c r="F70" s="525"/>
      <c r="G70" s="525"/>
      <c r="H70" s="525"/>
      <c r="I70" s="525"/>
    </row>
    <row r="71" spans="1:9" ht="13">
      <c r="A71" s="608"/>
      <c r="B71" s="480" t="s">
        <v>404</v>
      </c>
      <c r="C71" s="525"/>
      <c r="D71" s="525"/>
      <c r="E71" s="525"/>
      <c r="F71" s="525"/>
      <c r="G71" s="525"/>
      <c r="H71" s="525"/>
      <c r="I71" s="525"/>
    </row>
    <row r="72" spans="1:9" ht="13">
      <c r="A72" s="476"/>
      <c r="B72" s="477"/>
      <c r="C72" s="478"/>
      <c r="D72" s="478"/>
      <c r="E72" s="478"/>
      <c r="F72" s="478"/>
      <c r="G72" s="478"/>
      <c r="H72" s="478"/>
      <c r="I72" s="478"/>
    </row>
    <row r="73" spans="1:9" ht="21" thickBot="1">
      <c r="A73" s="481" t="s">
        <v>42</v>
      </c>
      <c r="B73" s="482" t="s">
        <v>400</v>
      </c>
      <c r="C73" s="483">
        <v>46209</v>
      </c>
      <c r="D73" s="484">
        <v>46210</v>
      </c>
      <c r="E73" s="485">
        <v>46211</v>
      </c>
      <c r="F73" s="486">
        <v>46212</v>
      </c>
      <c r="G73" s="487">
        <v>46213</v>
      </c>
      <c r="H73" s="488">
        <v>46214</v>
      </c>
      <c r="I73" s="489">
        <v>46215</v>
      </c>
    </row>
    <row r="74" spans="1:9" ht="13.5" thickBot="1">
      <c r="A74" s="609" t="s">
        <v>511</v>
      </c>
      <c r="B74" s="523" t="s">
        <v>154</v>
      </c>
      <c r="C74" s="295" t="s">
        <v>128</v>
      </c>
      <c r="D74" s="491" t="s">
        <v>2</v>
      </c>
      <c r="E74" s="295" t="s">
        <v>128</v>
      </c>
      <c r="F74" s="295" t="s">
        <v>128</v>
      </c>
      <c r="G74" s="295" t="s">
        <v>128</v>
      </c>
      <c r="H74" s="490" t="s">
        <v>45</v>
      </c>
      <c r="I74" s="491" t="s">
        <v>2</v>
      </c>
    </row>
    <row r="75" spans="1:9" ht="13.5" thickBot="1">
      <c r="A75" s="608"/>
      <c r="B75" s="480" t="s">
        <v>401</v>
      </c>
      <c r="C75" s="102" t="s">
        <v>27</v>
      </c>
      <c r="D75" s="102" t="s">
        <v>27</v>
      </c>
      <c r="E75" s="102" t="s">
        <v>27</v>
      </c>
      <c r="F75" s="102" t="s">
        <v>27</v>
      </c>
      <c r="G75" s="102" t="s">
        <v>27</v>
      </c>
      <c r="H75" s="491" t="s">
        <v>2</v>
      </c>
      <c r="I75" s="491" t="s">
        <v>2</v>
      </c>
    </row>
    <row r="76" spans="1:9" ht="13.5" thickBot="1">
      <c r="A76" s="608"/>
      <c r="B76" s="480" t="s">
        <v>402</v>
      </c>
      <c r="C76" s="297" t="s">
        <v>119</v>
      </c>
      <c r="D76" s="297" t="s">
        <v>119</v>
      </c>
      <c r="E76" s="297" t="s">
        <v>119</v>
      </c>
      <c r="F76" s="491" t="s">
        <v>2</v>
      </c>
      <c r="G76" s="491" t="s">
        <v>2</v>
      </c>
      <c r="H76" s="295" t="s">
        <v>128</v>
      </c>
      <c r="I76" s="295" t="s">
        <v>128</v>
      </c>
    </row>
    <row r="77" spans="1:9" ht="13.5" thickBot="1">
      <c r="A77" s="608"/>
      <c r="B77" s="480" t="s">
        <v>403</v>
      </c>
      <c r="C77" s="492" t="s">
        <v>67</v>
      </c>
      <c r="D77" s="490" t="s">
        <v>45</v>
      </c>
      <c r="E77" s="492" t="s">
        <v>67</v>
      </c>
      <c r="F77" s="492" t="s">
        <v>67</v>
      </c>
      <c r="G77" s="492" t="s">
        <v>67</v>
      </c>
      <c r="H77" s="491" t="s">
        <v>2</v>
      </c>
      <c r="I77" s="491" t="s">
        <v>2</v>
      </c>
    </row>
    <row r="78" spans="1:9" ht="13.5" thickBot="1">
      <c r="A78" s="608"/>
      <c r="B78" s="480" t="s">
        <v>404</v>
      </c>
      <c r="C78" s="491" t="s">
        <v>2</v>
      </c>
      <c r="D78" s="295" t="s">
        <v>128</v>
      </c>
      <c r="E78" s="491" t="s">
        <v>2</v>
      </c>
      <c r="F78" s="297" t="s">
        <v>119</v>
      </c>
      <c r="G78" s="297" t="s">
        <v>119</v>
      </c>
      <c r="H78" s="297" t="s">
        <v>119</v>
      </c>
      <c r="I78" s="297" t="s">
        <v>152</v>
      </c>
    </row>
    <row r="79" spans="1:9" ht="20.5">
      <c r="A79" s="300"/>
      <c r="B79" s="301"/>
      <c r="C79" s="478"/>
      <c r="D79" s="478"/>
      <c r="E79" s="478"/>
      <c r="F79" s="478"/>
      <c r="G79" s="478"/>
      <c r="H79" s="478"/>
      <c r="I79" s="478"/>
    </row>
    <row r="80" spans="1:9" ht="20.5">
      <c r="A80" s="481" t="s">
        <v>42</v>
      </c>
      <c r="B80" s="482" t="s">
        <v>400</v>
      </c>
      <c r="C80" s="483">
        <v>46202</v>
      </c>
      <c r="D80" s="484">
        <v>46203</v>
      </c>
      <c r="E80" s="485">
        <v>46204</v>
      </c>
      <c r="F80" s="486">
        <v>46205</v>
      </c>
      <c r="G80" s="487">
        <v>46206</v>
      </c>
      <c r="H80" s="488">
        <v>46207</v>
      </c>
      <c r="I80" s="489">
        <v>46208</v>
      </c>
    </row>
    <row r="81" spans="1:9" ht="13.5" thickBot="1">
      <c r="A81" s="607" t="s">
        <v>510</v>
      </c>
      <c r="B81" s="479" t="s">
        <v>154</v>
      </c>
      <c r="C81" s="490" t="s">
        <v>45</v>
      </c>
      <c r="D81" s="490" t="s">
        <v>45</v>
      </c>
      <c r="E81" s="490" t="s">
        <v>45</v>
      </c>
      <c r="F81" s="490" t="s">
        <v>45</v>
      </c>
      <c r="G81" s="490" t="s">
        <v>45</v>
      </c>
      <c r="H81" s="491" t="s">
        <v>2</v>
      </c>
      <c r="I81" s="491" t="s">
        <v>2</v>
      </c>
    </row>
    <row r="82" spans="1:9" ht="13.5" thickBot="1">
      <c r="A82" s="608"/>
      <c r="B82" s="480" t="s">
        <v>401</v>
      </c>
      <c r="C82" s="491" t="s">
        <v>2</v>
      </c>
      <c r="D82" s="295" t="s">
        <v>128</v>
      </c>
      <c r="E82" s="491" t="s">
        <v>2</v>
      </c>
      <c r="F82" s="297" t="s">
        <v>119</v>
      </c>
      <c r="G82" s="297" t="s">
        <v>119</v>
      </c>
      <c r="H82" s="297" t="s">
        <v>119</v>
      </c>
      <c r="I82" s="297" t="s">
        <v>152</v>
      </c>
    </row>
    <row r="83" spans="1:9" ht="13.5" thickBot="1">
      <c r="A83" s="608"/>
      <c r="B83" s="480" t="s">
        <v>402</v>
      </c>
      <c r="C83" s="297" t="s">
        <v>119</v>
      </c>
      <c r="D83" s="297" t="s">
        <v>119</v>
      </c>
      <c r="E83" s="297" t="s">
        <v>119</v>
      </c>
      <c r="F83" s="491" t="s">
        <v>2</v>
      </c>
      <c r="G83" s="491" t="s">
        <v>2</v>
      </c>
      <c r="H83" s="490" t="s">
        <v>45</v>
      </c>
      <c r="I83" s="295" t="s">
        <v>128</v>
      </c>
    </row>
    <row r="84" spans="1:9" ht="13.5" thickBot="1">
      <c r="A84" s="608"/>
      <c r="B84" s="480" t="s">
        <v>403</v>
      </c>
      <c r="C84" s="492" t="s">
        <v>67</v>
      </c>
      <c r="D84" s="492" t="s">
        <v>67</v>
      </c>
      <c r="E84" s="492" t="s">
        <v>67</v>
      </c>
      <c r="F84" s="492" t="s">
        <v>67</v>
      </c>
      <c r="G84" s="492" t="s">
        <v>67</v>
      </c>
      <c r="H84" s="491" t="s">
        <v>2</v>
      </c>
      <c r="I84" s="491" t="s">
        <v>2</v>
      </c>
    </row>
    <row r="85" spans="1:9" ht="13.5" thickBot="1">
      <c r="A85" s="608"/>
      <c r="B85" s="480" t="s">
        <v>404</v>
      </c>
      <c r="C85" s="295" t="s">
        <v>128</v>
      </c>
      <c r="D85" s="491" t="s">
        <v>2</v>
      </c>
      <c r="E85" s="295" t="s">
        <v>128</v>
      </c>
      <c r="F85" s="295" t="s">
        <v>128</v>
      </c>
      <c r="G85" s="295" t="s">
        <v>128</v>
      </c>
      <c r="H85" s="295" t="s">
        <v>128</v>
      </c>
      <c r="I85" s="491" t="s">
        <v>2</v>
      </c>
    </row>
    <row r="86" spans="1:9" ht="13">
      <c r="A86" s="476"/>
      <c r="B86" s="477"/>
      <c r="C86" s="478"/>
      <c r="D86" s="478"/>
      <c r="E86" s="478"/>
      <c r="F86" s="478"/>
      <c r="G86" s="478"/>
      <c r="H86" s="478"/>
      <c r="I86" s="478"/>
    </row>
    <row r="87" spans="1:9" ht="20.5">
      <c r="A87" s="481" t="s">
        <v>42</v>
      </c>
      <c r="B87" s="482" t="s">
        <v>400</v>
      </c>
      <c r="C87" s="483">
        <v>46195</v>
      </c>
      <c r="D87" s="484">
        <v>46196</v>
      </c>
      <c r="E87" s="485">
        <v>46197</v>
      </c>
      <c r="F87" s="486">
        <v>46198</v>
      </c>
      <c r="G87" s="487">
        <v>46199</v>
      </c>
      <c r="H87" s="488">
        <v>46200</v>
      </c>
      <c r="I87" s="489">
        <v>46201</v>
      </c>
    </row>
    <row r="88" spans="1:9" ht="13.5" thickBot="1">
      <c r="A88" s="609" t="s">
        <v>509</v>
      </c>
      <c r="B88" s="523" t="s">
        <v>154</v>
      </c>
      <c r="C88" s="490" t="s">
        <v>45</v>
      </c>
      <c r="D88" s="490" t="s">
        <v>45</v>
      </c>
      <c r="E88" s="490" t="s">
        <v>45</v>
      </c>
      <c r="F88" s="490" t="s">
        <v>45</v>
      </c>
      <c r="G88" s="490" t="s">
        <v>45</v>
      </c>
      <c r="H88" s="491" t="s">
        <v>2</v>
      </c>
      <c r="I88" s="491" t="s">
        <v>2</v>
      </c>
    </row>
    <row r="89" spans="1:9" ht="13.5" thickBot="1">
      <c r="A89" s="608"/>
      <c r="B89" s="480" t="s">
        <v>401</v>
      </c>
      <c r="C89" s="491" t="s">
        <v>2</v>
      </c>
      <c r="D89" s="295" t="s">
        <v>128</v>
      </c>
      <c r="E89" s="295" t="s">
        <v>128</v>
      </c>
      <c r="F89" s="295" t="s">
        <v>128</v>
      </c>
      <c r="G89" s="295" t="s">
        <v>128</v>
      </c>
      <c r="H89" s="295" t="s">
        <v>128</v>
      </c>
      <c r="I89" s="491" t="s">
        <v>2</v>
      </c>
    </row>
    <row r="90" spans="1:9" ht="13.5" thickBot="1">
      <c r="A90" s="608"/>
      <c r="B90" s="480" t="s">
        <v>402</v>
      </c>
      <c r="C90" s="295" t="s">
        <v>128</v>
      </c>
      <c r="D90" s="297" t="s">
        <v>119</v>
      </c>
      <c r="E90" s="297" t="s">
        <v>119</v>
      </c>
      <c r="F90" s="491" t="s">
        <v>2</v>
      </c>
      <c r="G90" s="491" t="s">
        <v>2</v>
      </c>
      <c r="H90" s="297" t="s">
        <v>119</v>
      </c>
      <c r="I90" s="297" t="s">
        <v>152</v>
      </c>
    </row>
    <row r="91" spans="1:9" ht="13.5" thickBot="1">
      <c r="A91" s="608"/>
      <c r="B91" s="480" t="s">
        <v>403</v>
      </c>
      <c r="C91" s="492" t="s">
        <v>67</v>
      </c>
      <c r="D91" s="492" t="s">
        <v>67</v>
      </c>
      <c r="E91" s="492" t="s">
        <v>67</v>
      </c>
      <c r="F91" s="492" t="s">
        <v>67</v>
      </c>
      <c r="G91" s="492" t="s">
        <v>67</v>
      </c>
      <c r="H91" s="491" t="s">
        <v>2</v>
      </c>
      <c r="I91" s="491" t="s">
        <v>2</v>
      </c>
    </row>
    <row r="92" spans="1:9" ht="13.5" thickBot="1">
      <c r="A92" s="608"/>
      <c r="B92" s="480" t="s">
        <v>404</v>
      </c>
      <c r="C92" s="297" t="s">
        <v>119</v>
      </c>
      <c r="D92" s="491" t="s">
        <v>2</v>
      </c>
      <c r="E92" s="491" t="s">
        <v>2</v>
      </c>
      <c r="F92" s="297" t="s">
        <v>119</v>
      </c>
      <c r="G92" s="297" t="s">
        <v>119</v>
      </c>
      <c r="H92" s="490" t="s">
        <v>45</v>
      </c>
      <c r="I92" s="295" t="s">
        <v>128</v>
      </c>
    </row>
    <row r="93" spans="1:9" ht="20.5">
      <c r="A93" s="300"/>
      <c r="B93" s="301"/>
      <c r="C93" s="478"/>
      <c r="D93" s="478"/>
      <c r="E93" s="478"/>
      <c r="F93" s="478"/>
      <c r="G93" s="478"/>
      <c r="H93" s="478"/>
      <c r="I93" s="478"/>
    </row>
    <row r="94" spans="1:9" ht="20.5">
      <c r="A94" s="481" t="s">
        <v>42</v>
      </c>
      <c r="B94" s="482" t="s">
        <v>400</v>
      </c>
      <c r="C94" s="483">
        <v>46188</v>
      </c>
      <c r="D94" s="484">
        <v>46189</v>
      </c>
      <c r="E94" s="485">
        <v>46190</v>
      </c>
      <c r="F94" s="486">
        <v>46191</v>
      </c>
      <c r="G94" s="487">
        <v>46192</v>
      </c>
      <c r="H94" s="488">
        <v>46193</v>
      </c>
      <c r="I94" s="489">
        <v>46194</v>
      </c>
    </row>
    <row r="95" spans="1:9" ht="13.5" thickBot="1">
      <c r="A95" s="607" t="s">
        <v>508</v>
      </c>
      <c r="B95" s="479" t="s">
        <v>154</v>
      </c>
      <c r="C95" s="490" t="s">
        <v>45</v>
      </c>
      <c r="D95" s="490" t="s">
        <v>45</v>
      </c>
      <c r="E95" s="490" t="s">
        <v>45</v>
      </c>
      <c r="F95" s="490" t="s">
        <v>45</v>
      </c>
      <c r="G95" s="490" t="s">
        <v>45</v>
      </c>
      <c r="H95" s="491" t="s">
        <v>2</v>
      </c>
      <c r="I95" s="491" t="s">
        <v>2</v>
      </c>
    </row>
    <row r="96" spans="1:9" ht="13.5" thickBot="1">
      <c r="A96" s="608"/>
      <c r="B96" s="480" t="s">
        <v>401</v>
      </c>
      <c r="C96" s="295" t="s">
        <v>128</v>
      </c>
      <c r="D96" s="491" t="s">
        <v>2</v>
      </c>
      <c r="E96" s="297" t="s">
        <v>119</v>
      </c>
      <c r="F96" s="297" t="s">
        <v>119</v>
      </c>
      <c r="G96" s="297" t="s">
        <v>119</v>
      </c>
      <c r="H96" s="490" t="s">
        <v>45</v>
      </c>
      <c r="I96" s="491" t="s">
        <v>2</v>
      </c>
    </row>
    <row r="97" spans="1:9" ht="13.5" thickBot="1">
      <c r="A97" s="608"/>
      <c r="B97" s="480" t="s">
        <v>402</v>
      </c>
      <c r="C97" s="491" t="s">
        <v>2</v>
      </c>
      <c r="D97" s="295" t="s">
        <v>128</v>
      </c>
      <c r="E97" s="295" t="s">
        <v>128</v>
      </c>
      <c r="F97" s="295" t="s">
        <v>128</v>
      </c>
      <c r="G97" s="491" t="s">
        <v>2</v>
      </c>
      <c r="H97" s="295" t="s">
        <v>128</v>
      </c>
      <c r="I97" s="295" t="s">
        <v>128</v>
      </c>
    </row>
    <row r="98" spans="1:9" ht="13.5" thickBot="1">
      <c r="A98" s="608"/>
      <c r="B98" s="480" t="s">
        <v>403</v>
      </c>
      <c r="C98" s="492" t="s">
        <v>67</v>
      </c>
      <c r="D98" s="492" t="s">
        <v>67</v>
      </c>
      <c r="E98" s="492" t="s">
        <v>67</v>
      </c>
      <c r="F98" s="492" t="s">
        <v>67</v>
      </c>
      <c r="G98" s="492" t="s">
        <v>67</v>
      </c>
      <c r="H98" s="491" t="s">
        <v>2</v>
      </c>
      <c r="I98" s="491" t="s">
        <v>2</v>
      </c>
    </row>
    <row r="99" spans="1:9" ht="13.5" thickBot="1">
      <c r="A99" s="608"/>
      <c r="B99" s="480" t="s">
        <v>404</v>
      </c>
      <c r="C99" s="297" t="s">
        <v>119</v>
      </c>
      <c r="D99" s="297" t="s">
        <v>119</v>
      </c>
      <c r="E99" s="491" t="s">
        <v>2</v>
      </c>
      <c r="F99" s="491" t="s">
        <v>2</v>
      </c>
      <c r="G99" s="295" t="s">
        <v>128</v>
      </c>
      <c r="H99" s="297" t="s">
        <v>119</v>
      </c>
      <c r="I99" s="297" t="s">
        <v>152</v>
      </c>
    </row>
    <row r="100" spans="1:9" ht="13">
      <c r="A100" s="476"/>
      <c r="B100" s="477"/>
      <c r="C100" s="478"/>
      <c r="D100" s="478"/>
      <c r="E100" s="478"/>
      <c r="F100" s="478"/>
      <c r="G100" s="478"/>
      <c r="H100" s="478"/>
      <c r="I100" s="478"/>
    </row>
    <row r="101" spans="1:9" ht="20.5">
      <c r="A101" s="481" t="s">
        <v>42</v>
      </c>
      <c r="B101" s="482" t="s">
        <v>400</v>
      </c>
      <c r="C101" s="483">
        <v>46181</v>
      </c>
      <c r="D101" s="484">
        <v>46182</v>
      </c>
      <c r="E101" s="485">
        <v>46183</v>
      </c>
      <c r="F101" s="486">
        <v>46184</v>
      </c>
      <c r="G101" s="487">
        <v>46185</v>
      </c>
      <c r="H101" s="488">
        <v>46186</v>
      </c>
      <c r="I101" s="489">
        <v>46187</v>
      </c>
    </row>
    <row r="102" spans="1:9" ht="13.5" thickBot="1">
      <c r="A102" s="609" t="s">
        <v>504</v>
      </c>
      <c r="B102" s="479" t="s">
        <v>154</v>
      </c>
      <c r="C102" s="490" t="s">
        <v>45</v>
      </c>
      <c r="D102" s="490" t="s">
        <v>45</v>
      </c>
      <c r="E102" s="490" t="s">
        <v>45</v>
      </c>
      <c r="F102" s="490" t="s">
        <v>45</v>
      </c>
      <c r="G102" s="490" t="s">
        <v>45</v>
      </c>
      <c r="H102" s="491" t="s">
        <v>2</v>
      </c>
      <c r="I102" s="491" t="s">
        <v>2</v>
      </c>
    </row>
    <row r="103" spans="1:9" ht="13.5" thickBot="1">
      <c r="A103" s="608"/>
      <c r="B103" s="480" t="s">
        <v>401</v>
      </c>
      <c r="C103" s="491" t="s">
        <v>2</v>
      </c>
      <c r="D103" s="297" t="s">
        <v>119</v>
      </c>
      <c r="E103" s="297" t="s">
        <v>119</v>
      </c>
      <c r="F103" s="297" t="s">
        <v>119</v>
      </c>
      <c r="G103" s="491" t="s">
        <v>2</v>
      </c>
      <c r="H103" s="490" t="s">
        <v>45</v>
      </c>
      <c r="I103" s="295" t="s">
        <v>128</v>
      </c>
    </row>
    <row r="104" spans="1:9" ht="13.5" thickBot="1">
      <c r="A104" s="608"/>
      <c r="B104" s="480" t="s">
        <v>402</v>
      </c>
      <c r="C104" s="295" t="s">
        <v>128</v>
      </c>
      <c r="D104" s="295" t="s">
        <v>128</v>
      </c>
      <c r="E104" s="491" t="s">
        <v>2</v>
      </c>
      <c r="F104" s="491" t="s">
        <v>2</v>
      </c>
      <c r="G104" s="297" t="s">
        <v>119</v>
      </c>
      <c r="H104" s="297" t="s">
        <v>119</v>
      </c>
      <c r="I104" s="297" t="s">
        <v>152</v>
      </c>
    </row>
    <row r="105" spans="1:9" ht="13.5" thickBot="1">
      <c r="A105" s="608"/>
      <c r="B105" s="480" t="s">
        <v>403</v>
      </c>
      <c r="C105" s="492" t="s">
        <v>67</v>
      </c>
      <c r="D105" s="492" t="s">
        <v>67</v>
      </c>
      <c r="E105" s="492" t="s">
        <v>67</v>
      </c>
      <c r="F105" s="492" t="s">
        <v>67</v>
      </c>
      <c r="G105" s="492" t="s">
        <v>67</v>
      </c>
      <c r="H105" s="491" t="s">
        <v>2</v>
      </c>
      <c r="I105" s="491" t="s">
        <v>2</v>
      </c>
    </row>
    <row r="106" spans="1:9" ht="13.5" thickBot="1">
      <c r="A106" s="608"/>
      <c r="B106" s="480" t="s">
        <v>404</v>
      </c>
      <c r="C106" s="297" t="s">
        <v>119</v>
      </c>
      <c r="D106" s="491" t="s">
        <v>2</v>
      </c>
      <c r="E106" s="295" t="s">
        <v>128</v>
      </c>
      <c r="F106" s="295" t="s">
        <v>128</v>
      </c>
      <c r="G106" s="295" t="s">
        <v>128</v>
      </c>
      <c r="H106" s="295" t="s">
        <v>128</v>
      </c>
      <c r="I106" s="491" t="s">
        <v>2</v>
      </c>
    </row>
    <row r="107" spans="1:9" ht="20.5">
      <c r="A107" s="300"/>
      <c r="B107" s="301"/>
      <c r="C107" s="478"/>
      <c r="D107" s="478"/>
      <c r="E107" s="478"/>
      <c r="F107" s="478"/>
      <c r="G107" s="478"/>
      <c r="H107" s="478"/>
      <c r="I107" s="478"/>
    </row>
    <row r="108" spans="1:9" ht="20.5">
      <c r="A108" s="481" t="s">
        <v>42</v>
      </c>
      <c r="B108" s="482" t="s">
        <v>400</v>
      </c>
      <c r="C108" s="483">
        <v>46174</v>
      </c>
      <c r="D108" s="484">
        <v>46175</v>
      </c>
      <c r="E108" s="485">
        <v>46176</v>
      </c>
      <c r="F108" s="486">
        <v>46177</v>
      </c>
      <c r="G108" s="487">
        <v>46178</v>
      </c>
      <c r="H108" s="488">
        <v>46179</v>
      </c>
      <c r="I108" s="489">
        <v>46180</v>
      </c>
    </row>
    <row r="109" spans="1:9" ht="13.5" thickBot="1">
      <c r="A109" s="607" t="s">
        <v>503</v>
      </c>
      <c r="B109" s="479" t="s">
        <v>154</v>
      </c>
      <c r="C109" s="490" t="s">
        <v>45</v>
      </c>
      <c r="D109" s="490" t="s">
        <v>45</v>
      </c>
      <c r="E109" s="490" t="s">
        <v>45</v>
      </c>
      <c r="F109" s="490" t="s">
        <v>45</v>
      </c>
      <c r="G109" s="490" t="s">
        <v>45</v>
      </c>
      <c r="H109" s="491" t="s">
        <v>2</v>
      </c>
      <c r="I109" s="491" t="s">
        <v>2</v>
      </c>
    </row>
    <row r="110" spans="1:9" ht="13.5" thickBot="1">
      <c r="A110" s="608"/>
      <c r="B110" s="480" t="s">
        <v>401</v>
      </c>
      <c r="C110" s="297" t="s">
        <v>119</v>
      </c>
      <c r="D110" s="297" t="s">
        <v>119</v>
      </c>
      <c r="E110" s="491" t="s">
        <v>2</v>
      </c>
      <c r="F110" s="295" t="s">
        <v>128</v>
      </c>
      <c r="G110" s="295" t="s">
        <v>128</v>
      </c>
      <c r="H110" s="295" t="s">
        <v>128</v>
      </c>
      <c r="I110" s="491" t="s">
        <v>2</v>
      </c>
    </row>
    <row r="111" spans="1:9" ht="13.5" thickBot="1">
      <c r="A111" s="608"/>
      <c r="B111" s="480" t="s">
        <v>402</v>
      </c>
      <c r="C111" s="491" t="s">
        <v>2</v>
      </c>
      <c r="D111" s="295" t="s">
        <v>128</v>
      </c>
      <c r="E111" s="295" t="s">
        <v>128</v>
      </c>
      <c r="F111" s="491" t="s">
        <v>2</v>
      </c>
      <c r="G111" s="297" t="s">
        <v>119</v>
      </c>
      <c r="H111" s="490" t="s">
        <v>45</v>
      </c>
      <c r="I111" s="295" t="s">
        <v>128</v>
      </c>
    </row>
    <row r="112" spans="1:9" ht="13.5" thickBot="1">
      <c r="A112" s="608"/>
      <c r="B112" s="480" t="s">
        <v>403</v>
      </c>
      <c r="C112" s="492" t="s">
        <v>67</v>
      </c>
      <c r="D112" s="492" t="s">
        <v>67</v>
      </c>
      <c r="E112" s="492" t="s">
        <v>67</v>
      </c>
      <c r="F112" s="492" t="s">
        <v>67</v>
      </c>
      <c r="G112" s="492" t="s">
        <v>67</v>
      </c>
      <c r="H112" s="491" t="s">
        <v>2</v>
      </c>
      <c r="I112" s="491" t="s">
        <v>2</v>
      </c>
    </row>
    <row r="113" spans="1:9" ht="13.5" thickBot="1">
      <c r="A113" s="608"/>
      <c r="B113" s="480" t="s">
        <v>404</v>
      </c>
      <c r="C113" s="295" t="s">
        <v>128</v>
      </c>
      <c r="D113" s="491" t="s">
        <v>2</v>
      </c>
      <c r="E113" s="493" t="s">
        <v>119</v>
      </c>
      <c r="F113" s="297" t="s">
        <v>119</v>
      </c>
      <c r="G113" s="491" t="s">
        <v>2</v>
      </c>
      <c r="H113" s="297" t="s">
        <v>119</v>
      </c>
      <c r="I113" s="297" t="s">
        <v>152</v>
      </c>
    </row>
    <row r="114" spans="1:9" ht="13">
      <c r="A114" s="478"/>
      <c r="B114" s="478"/>
      <c r="C114" s="478"/>
      <c r="D114" s="478"/>
      <c r="E114" s="478"/>
      <c r="F114" s="478"/>
      <c r="G114" s="478"/>
      <c r="H114" s="478"/>
      <c r="I114" s="478"/>
    </row>
    <row r="115" spans="1:9" ht="20.5">
      <c r="A115" s="481" t="s">
        <v>42</v>
      </c>
      <c r="B115" s="482" t="s">
        <v>400</v>
      </c>
      <c r="C115" s="483">
        <v>46167</v>
      </c>
      <c r="D115" s="484">
        <v>46168</v>
      </c>
      <c r="E115" s="485">
        <v>46169</v>
      </c>
      <c r="F115" s="486">
        <v>46170</v>
      </c>
      <c r="G115" s="487">
        <v>46171</v>
      </c>
      <c r="H115" s="488">
        <v>46172</v>
      </c>
      <c r="I115" s="489">
        <v>46173</v>
      </c>
    </row>
    <row r="116" spans="1:9" ht="13.5" customHeight="1" thickBot="1">
      <c r="A116" s="617" t="s">
        <v>502</v>
      </c>
      <c r="B116" s="479" t="s">
        <v>154</v>
      </c>
      <c r="C116" s="490" t="s">
        <v>45</v>
      </c>
      <c r="D116" s="490" t="s">
        <v>45</v>
      </c>
      <c r="E116" s="490" t="s">
        <v>45</v>
      </c>
      <c r="F116" s="490" t="s">
        <v>45</v>
      </c>
      <c r="G116" s="490" t="s">
        <v>45</v>
      </c>
      <c r="H116" s="491" t="s">
        <v>2</v>
      </c>
      <c r="I116" s="491" t="s">
        <v>2</v>
      </c>
    </row>
    <row r="117" spans="1:9" ht="13" customHeight="1" thickBot="1">
      <c r="A117" s="608"/>
      <c r="B117" s="480" t="s">
        <v>401</v>
      </c>
      <c r="C117" s="491" t="s">
        <v>2</v>
      </c>
      <c r="D117" s="295" t="s">
        <v>128</v>
      </c>
      <c r="E117" s="295" t="s">
        <v>128</v>
      </c>
      <c r="F117" s="491" t="s">
        <v>2</v>
      </c>
      <c r="G117" s="297" t="s">
        <v>119</v>
      </c>
      <c r="H117" s="297" t="s">
        <v>119</v>
      </c>
      <c r="I117" s="297" t="s">
        <v>152</v>
      </c>
    </row>
    <row r="118" spans="1:9" ht="13.5" thickBot="1">
      <c r="A118" s="608"/>
      <c r="B118" s="480" t="s">
        <v>402</v>
      </c>
      <c r="C118" s="295" t="s">
        <v>128</v>
      </c>
      <c r="D118" s="297" t="s">
        <v>119</v>
      </c>
      <c r="E118" s="297" t="s">
        <v>119</v>
      </c>
      <c r="F118" s="297" t="s">
        <v>119</v>
      </c>
      <c r="G118" s="491" t="s">
        <v>2</v>
      </c>
      <c r="H118" s="490" t="s">
        <v>45</v>
      </c>
      <c r="I118" s="491" t="s">
        <v>2</v>
      </c>
    </row>
    <row r="119" spans="1:9" ht="13.5" thickBot="1">
      <c r="A119" s="608"/>
      <c r="B119" s="480" t="s">
        <v>403</v>
      </c>
      <c r="C119" s="492" t="s">
        <v>67</v>
      </c>
      <c r="D119" s="492" t="s">
        <v>67</v>
      </c>
      <c r="E119" s="492" t="s">
        <v>67</v>
      </c>
      <c r="F119" s="492" t="s">
        <v>67</v>
      </c>
      <c r="G119" s="492" t="s">
        <v>67</v>
      </c>
      <c r="H119" s="491" t="s">
        <v>2</v>
      </c>
      <c r="I119" s="491" t="s">
        <v>2</v>
      </c>
    </row>
    <row r="120" spans="1:9" ht="13.5" thickBot="1">
      <c r="A120" s="608"/>
      <c r="B120" s="480" t="s">
        <v>404</v>
      </c>
      <c r="C120" s="297" t="s">
        <v>119</v>
      </c>
      <c r="D120" s="491" t="s">
        <v>2</v>
      </c>
      <c r="E120" s="491" t="s">
        <v>2</v>
      </c>
      <c r="F120" s="295" t="s">
        <v>128</v>
      </c>
      <c r="G120" s="295" t="s">
        <v>128</v>
      </c>
      <c r="H120" s="295" t="s">
        <v>128</v>
      </c>
      <c r="I120" s="295" t="s">
        <v>128</v>
      </c>
    </row>
    <row r="121" spans="1:9" ht="20.5">
      <c r="A121" s="300"/>
      <c r="B121" s="301"/>
      <c r="C121" s="478"/>
      <c r="D121" s="478"/>
      <c r="E121" s="478"/>
      <c r="F121" s="478"/>
      <c r="G121" s="478"/>
      <c r="H121" s="478"/>
      <c r="I121" s="478"/>
    </row>
    <row r="122" spans="1:9" ht="20.5">
      <c r="A122" s="481" t="s">
        <v>42</v>
      </c>
      <c r="B122" s="482" t="s">
        <v>400</v>
      </c>
      <c r="C122" s="483">
        <v>46160</v>
      </c>
      <c r="D122" s="484">
        <v>46161</v>
      </c>
      <c r="E122" s="485">
        <v>46162</v>
      </c>
      <c r="F122" s="486">
        <v>46163</v>
      </c>
      <c r="G122" s="487">
        <v>46164</v>
      </c>
      <c r="H122" s="488">
        <v>46165</v>
      </c>
      <c r="I122" s="489">
        <v>46166</v>
      </c>
    </row>
    <row r="123" spans="1:9" ht="13.5" customHeight="1" thickBot="1">
      <c r="A123" s="618" t="s">
        <v>501</v>
      </c>
      <c r="B123" s="479" t="s">
        <v>154</v>
      </c>
      <c r="C123" s="490" t="s">
        <v>45</v>
      </c>
      <c r="D123" s="490" t="s">
        <v>45</v>
      </c>
      <c r="E123" s="490" t="s">
        <v>45</v>
      </c>
      <c r="F123" s="490" t="s">
        <v>45</v>
      </c>
      <c r="G123" s="490" t="s">
        <v>45</v>
      </c>
      <c r="H123" s="491" t="s">
        <v>2</v>
      </c>
      <c r="I123" s="491" t="s">
        <v>2</v>
      </c>
    </row>
    <row r="124" spans="1:9" ht="13" customHeight="1" thickBot="1">
      <c r="A124" s="608"/>
      <c r="B124" s="480" t="s">
        <v>401</v>
      </c>
      <c r="C124" s="491" t="s">
        <v>2</v>
      </c>
      <c r="D124" s="491" t="s">
        <v>2</v>
      </c>
      <c r="E124" s="297" t="s">
        <v>119</v>
      </c>
      <c r="F124" s="297" t="s">
        <v>119</v>
      </c>
      <c r="G124" s="297" t="s">
        <v>119</v>
      </c>
      <c r="H124" s="490" t="s">
        <v>45</v>
      </c>
      <c r="I124" s="295" t="s">
        <v>128</v>
      </c>
    </row>
    <row r="125" spans="1:9" ht="13.5" thickBot="1">
      <c r="A125" s="608"/>
      <c r="B125" s="480" t="s">
        <v>402</v>
      </c>
      <c r="C125" s="297" t="s">
        <v>119</v>
      </c>
      <c r="D125" s="297" t="s">
        <v>119</v>
      </c>
      <c r="E125" s="491" t="s">
        <v>2</v>
      </c>
      <c r="F125" s="295" t="s">
        <v>128</v>
      </c>
      <c r="G125" s="295" t="s">
        <v>128</v>
      </c>
      <c r="H125" s="295" t="s">
        <v>128</v>
      </c>
      <c r="I125" s="491" t="s">
        <v>2</v>
      </c>
    </row>
    <row r="126" spans="1:9" ht="13.5" thickBot="1">
      <c r="A126" s="608"/>
      <c r="B126" s="480" t="s">
        <v>403</v>
      </c>
      <c r="C126" s="492" t="s">
        <v>67</v>
      </c>
      <c r="D126" s="492" t="s">
        <v>67</v>
      </c>
      <c r="E126" s="492" t="s">
        <v>67</v>
      </c>
      <c r="F126" s="492" t="s">
        <v>67</v>
      </c>
      <c r="G126" s="492" t="s">
        <v>67</v>
      </c>
      <c r="H126" s="491" t="s">
        <v>2</v>
      </c>
      <c r="I126" s="491" t="s">
        <v>2</v>
      </c>
    </row>
    <row r="127" spans="1:9" ht="13.5" thickBot="1">
      <c r="A127" s="608"/>
      <c r="B127" s="480" t="s">
        <v>404</v>
      </c>
      <c r="C127" s="295" t="s">
        <v>128</v>
      </c>
      <c r="D127" s="295" t="s">
        <v>128</v>
      </c>
      <c r="E127" s="295" t="s">
        <v>128</v>
      </c>
      <c r="F127" s="491" t="s">
        <v>2</v>
      </c>
      <c r="G127" s="491" t="s">
        <v>2</v>
      </c>
      <c r="H127" s="297" t="s">
        <v>119</v>
      </c>
      <c r="I127" s="297" t="s">
        <v>152</v>
      </c>
    </row>
    <row r="128" spans="1:9" ht="21.5" thickBot="1">
      <c r="A128" s="285"/>
      <c r="B128" s="286"/>
      <c r="C128" s="286"/>
      <c r="D128" s="286"/>
      <c r="E128" s="286"/>
      <c r="F128" s="286"/>
      <c r="G128" s="286"/>
      <c r="H128" s="286"/>
      <c r="I128" s="286"/>
    </row>
    <row r="129" spans="1:9" ht="21" thickBot="1">
      <c r="A129" s="287" t="s">
        <v>42</v>
      </c>
      <c r="B129" s="262" t="s">
        <v>400</v>
      </c>
      <c r="C129" s="288">
        <v>46153</v>
      </c>
      <c r="D129" s="289">
        <v>46154</v>
      </c>
      <c r="E129" s="290">
        <v>46155</v>
      </c>
      <c r="F129" s="291">
        <v>46156</v>
      </c>
      <c r="G129" s="292">
        <v>46157</v>
      </c>
      <c r="H129" s="293">
        <v>46158</v>
      </c>
      <c r="I129" s="294">
        <v>46159</v>
      </c>
    </row>
    <row r="130" spans="1:9" ht="13">
      <c r="A130" s="610" t="s">
        <v>406</v>
      </c>
      <c r="B130" s="281" t="s">
        <v>401</v>
      </c>
      <c r="C130" s="295" t="s">
        <v>128</v>
      </c>
      <c r="D130" s="295" t="s">
        <v>128</v>
      </c>
      <c r="E130" s="296" t="s">
        <v>2</v>
      </c>
      <c r="F130" s="297" t="s">
        <v>119</v>
      </c>
      <c r="G130" s="297" t="s">
        <v>119</v>
      </c>
      <c r="H130" s="297" t="s">
        <v>119</v>
      </c>
      <c r="I130" s="296" t="s">
        <v>2</v>
      </c>
    </row>
    <row r="131" spans="1:9" ht="13">
      <c r="A131" s="568"/>
      <c r="B131" s="283" t="s">
        <v>402</v>
      </c>
      <c r="C131" s="298" t="s">
        <v>45</v>
      </c>
      <c r="D131" s="296" t="s">
        <v>2</v>
      </c>
      <c r="E131" s="299" t="s">
        <v>67</v>
      </c>
      <c r="F131" s="299" t="s">
        <v>67</v>
      </c>
      <c r="G131" s="299" t="s">
        <v>67</v>
      </c>
      <c r="H131" s="299" t="s">
        <v>67</v>
      </c>
      <c r="I131" s="296" t="s">
        <v>2</v>
      </c>
    </row>
    <row r="132" spans="1:9" ht="13">
      <c r="A132" s="568"/>
      <c r="B132" s="283" t="s">
        <v>403</v>
      </c>
      <c r="C132" s="297" t="s">
        <v>119</v>
      </c>
      <c r="D132" s="297" t="s">
        <v>119</v>
      </c>
      <c r="E132" s="297" t="s">
        <v>119</v>
      </c>
      <c r="F132" s="296" t="s">
        <v>2</v>
      </c>
      <c r="G132" s="296" t="s">
        <v>2</v>
      </c>
      <c r="H132" s="295" t="s">
        <v>128</v>
      </c>
      <c r="I132" s="297" t="s">
        <v>152</v>
      </c>
    </row>
    <row r="133" spans="1:9" ht="13.5" thickBot="1">
      <c r="A133" s="568"/>
      <c r="B133" s="283" t="s">
        <v>404</v>
      </c>
      <c r="C133" s="296" t="s">
        <v>2</v>
      </c>
      <c r="D133" s="299" t="s">
        <v>67</v>
      </c>
      <c r="E133" s="295" t="s">
        <v>128</v>
      </c>
      <c r="F133" s="295" t="s">
        <v>128</v>
      </c>
      <c r="G133" s="295" t="s">
        <v>128</v>
      </c>
      <c r="H133" s="296" t="s">
        <v>2</v>
      </c>
      <c r="I133" s="295" t="s">
        <v>128</v>
      </c>
    </row>
    <row r="134" spans="1:9" ht="21" thickBot="1">
      <c r="A134" s="300"/>
      <c r="B134" s="301"/>
      <c r="C134" s="302"/>
      <c r="D134" s="302"/>
      <c r="E134" s="302"/>
      <c r="F134" s="302"/>
      <c r="G134" s="302"/>
      <c r="H134" s="302"/>
      <c r="I134" s="302"/>
    </row>
    <row r="135" spans="1:9" ht="20.5">
      <c r="A135" s="287" t="s">
        <v>42</v>
      </c>
      <c r="B135" s="262" t="s">
        <v>400</v>
      </c>
      <c r="C135" s="288">
        <v>46146</v>
      </c>
      <c r="D135" s="289">
        <v>46147</v>
      </c>
      <c r="E135" s="290">
        <v>46148</v>
      </c>
      <c r="F135" s="291">
        <v>46149</v>
      </c>
      <c r="G135" s="292">
        <v>46150</v>
      </c>
      <c r="H135" s="293">
        <v>46151</v>
      </c>
      <c r="I135" s="294">
        <v>46152</v>
      </c>
    </row>
    <row r="136" spans="1:9" ht="13">
      <c r="A136" s="611" t="s">
        <v>407</v>
      </c>
      <c r="B136" s="281" t="s">
        <v>401</v>
      </c>
      <c r="C136" s="296" t="s">
        <v>2</v>
      </c>
      <c r="D136" s="295" t="s">
        <v>128</v>
      </c>
      <c r="E136" s="295" t="s">
        <v>128</v>
      </c>
      <c r="F136" s="297" t="s">
        <v>119</v>
      </c>
      <c r="G136" s="296" t="s">
        <v>2</v>
      </c>
      <c r="H136" s="295" t="s">
        <v>128</v>
      </c>
      <c r="I136" s="295" t="s">
        <v>128</v>
      </c>
    </row>
    <row r="137" spans="1:9" ht="13">
      <c r="A137" s="568"/>
      <c r="B137" s="283" t="s">
        <v>402</v>
      </c>
      <c r="C137" s="295" t="s">
        <v>128</v>
      </c>
      <c r="D137" s="296" t="s">
        <v>2</v>
      </c>
      <c r="E137" s="296" t="s">
        <v>2</v>
      </c>
      <c r="F137" s="295" t="s">
        <v>128</v>
      </c>
      <c r="G137" s="295" t="s">
        <v>128</v>
      </c>
      <c r="H137" s="298" t="s">
        <v>45</v>
      </c>
      <c r="I137" s="297" t="s">
        <v>152</v>
      </c>
    </row>
    <row r="138" spans="1:9" ht="13">
      <c r="A138" s="568"/>
      <c r="B138" s="283" t="s">
        <v>403</v>
      </c>
      <c r="C138" s="298" t="s">
        <v>45</v>
      </c>
      <c r="D138" s="298" t="s">
        <v>45</v>
      </c>
      <c r="E138" s="298" t="s">
        <v>45</v>
      </c>
      <c r="F138" s="298" t="s">
        <v>45</v>
      </c>
      <c r="G138" s="298" t="s">
        <v>45</v>
      </c>
      <c r="H138" s="296" t="s">
        <v>2</v>
      </c>
      <c r="I138" s="296" t="s">
        <v>2</v>
      </c>
    </row>
    <row r="139" spans="1:9" ht="13">
      <c r="A139" s="568"/>
      <c r="B139" s="283" t="s">
        <v>404</v>
      </c>
      <c r="C139" s="299" t="s">
        <v>67</v>
      </c>
      <c r="D139" s="299" t="s">
        <v>67</v>
      </c>
      <c r="E139" s="299" t="s">
        <v>67</v>
      </c>
      <c r="F139" s="299" t="s">
        <v>67</v>
      </c>
      <c r="G139" s="299" t="s">
        <v>67</v>
      </c>
      <c r="H139" s="296" t="s">
        <v>2</v>
      </c>
      <c r="I139" s="296" t="s">
        <v>2</v>
      </c>
    </row>
    <row r="140" spans="1:9" ht="13">
      <c r="A140" s="569"/>
      <c r="B140" s="284" t="s">
        <v>405</v>
      </c>
      <c r="C140" s="297" t="s">
        <v>119</v>
      </c>
      <c r="D140" s="297" t="s">
        <v>119</v>
      </c>
      <c r="E140" s="297" t="s">
        <v>119</v>
      </c>
      <c r="F140" s="296" t="s">
        <v>2</v>
      </c>
      <c r="G140" s="297" t="s">
        <v>119</v>
      </c>
      <c r="H140" s="297" t="s">
        <v>119</v>
      </c>
      <c r="I140" s="296" t="s">
        <v>2</v>
      </c>
    </row>
    <row r="141" spans="1:9" ht="20.5">
      <c r="A141" s="300"/>
      <c r="B141" s="301"/>
      <c r="C141" s="302"/>
      <c r="D141" s="302"/>
      <c r="E141" s="302"/>
      <c r="F141" s="302"/>
      <c r="G141" s="302"/>
      <c r="H141" s="302"/>
      <c r="I141" s="302"/>
    </row>
    <row r="142" spans="1:9" ht="20.5">
      <c r="A142" s="287" t="s">
        <v>42</v>
      </c>
      <c r="B142" s="262" t="s">
        <v>400</v>
      </c>
      <c r="C142" s="274">
        <v>46139</v>
      </c>
      <c r="D142" s="275">
        <v>46140</v>
      </c>
      <c r="E142" s="276">
        <v>46141</v>
      </c>
      <c r="F142" s="277">
        <v>46142</v>
      </c>
      <c r="G142" s="278">
        <v>46143</v>
      </c>
      <c r="H142" s="279">
        <v>46144</v>
      </c>
      <c r="I142" s="280">
        <v>46145</v>
      </c>
    </row>
    <row r="143" spans="1:9" ht="13">
      <c r="A143" s="610" t="s">
        <v>408</v>
      </c>
      <c r="B143" s="303" t="s">
        <v>401</v>
      </c>
      <c r="C143" s="299" t="s">
        <v>67</v>
      </c>
      <c r="D143" s="299" t="s">
        <v>67</v>
      </c>
      <c r="E143" s="299" t="s">
        <v>67</v>
      </c>
      <c r="F143" s="299" t="s">
        <v>67</v>
      </c>
      <c r="G143" s="304" t="s">
        <v>130</v>
      </c>
      <c r="H143" s="296" t="s">
        <v>2</v>
      </c>
      <c r="I143" s="296" t="s">
        <v>2</v>
      </c>
    </row>
    <row r="144" spans="1:9" ht="13">
      <c r="A144" s="568"/>
      <c r="B144" s="305" t="s">
        <v>402</v>
      </c>
      <c r="C144" s="296" t="s">
        <v>2</v>
      </c>
      <c r="D144" s="298" t="s">
        <v>45</v>
      </c>
      <c r="E144" s="296" t="s">
        <v>2</v>
      </c>
      <c r="F144" s="295" t="s">
        <v>128</v>
      </c>
      <c r="G144" s="304" t="s">
        <v>130</v>
      </c>
      <c r="H144" s="295" t="s">
        <v>128</v>
      </c>
      <c r="I144" s="295" t="s">
        <v>128</v>
      </c>
    </row>
    <row r="145" spans="1:9" ht="13">
      <c r="A145" s="568"/>
      <c r="B145" s="305" t="s">
        <v>403</v>
      </c>
      <c r="C145" s="298" t="s">
        <v>45</v>
      </c>
      <c r="D145" s="296" t="s">
        <v>2</v>
      </c>
      <c r="E145" s="298" t="s">
        <v>45</v>
      </c>
      <c r="F145" s="296" t="s">
        <v>2</v>
      </c>
      <c r="G145" s="304" t="s">
        <v>130</v>
      </c>
      <c r="H145" s="296" t="s">
        <v>2</v>
      </c>
      <c r="I145" s="297" t="s">
        <v>152</v>
      </c>
    </row>
    <row r="146" spans="1:9" ht="13">
      <c r="A146" s="568"/>
      <c r="B146" s="305" t="s">
        <v>404</v>
      </c>
      <c r="C146" s="295" t="s">
        <v>128</v>
      </c>
      <c r="D146" s="295" t="s">
        <v>128</v>
      </c>
      <c r="E146" s="295" t="s">
        <v>128</v>
      </c>
      <c r="F146" s="298" t="s">
        <v>45</v>
      </c>
      <c r="G146" s="296" t="s">
        <v>2</v>
      </c>
      <c r="H146" s="298" t="s">
        <v>45</v>
      </c>
      <c r="I146" s="296" t="s">
        <v>2</v>
      </c>
    </row>
    <row r="147" spans="1:9" ht="13">
      <c r="A147" s="569"/>
      <c r="B147" s="306" t="s">
        <v>405</v>
      </c>
      <c r="C147" s="297" t="s">
        <v>119</v>
      </c>
      <c r="D147" s="297" t="s">
        <v>119</v>
      </c>
      <c r="E147" s="297" t="s">
        <v>119</v>
      </c>
      <c r="F147" s="297" t="s">
        <v>119</v>
      </c>
      <c r="G147" s="304" t="s">
        <v>130</v>
      </c>
      <c r="H147" s="297" t="s">
        <v>119</v>
      </c>
      <c r="I147" s="296" t="s">
        <v>2</v>
      </c>
    </row>
    <row r="148" spans="1:9" ht="21">
      <c r="A148" s="285"/>
      <c r="B148" s="286"/>
      <c r="C148" s="286"/>
      <c r="D148" s="286"/>
      <c r="E148" s="286"/>
      <c r="F148" s="286"/>
      <c r="G148" s="286"/>
      <c r="H148" s="286"/>
      <c r="I148" s="286"/>
    </row>
    <row r="149" spans="1:9" ht="20.5">
      <c r="A149" s="287" t="s">
        <v>42</v>
      </c>
      <c r="B149" s="262" t="s">
        <v>400</v>
      </c>
      <c r="C149" s="274">
        <v>46132</v>
      </c>
      <c r="D149" s="275">
        <v>46133</v>
      </c>
      <c r="E149" s="276">
        <v>46134</v>
      </c>
      <c r="F149" s="277">
        <v>46135</v>
      </c>
      <c r="G149" s="278">
        <v>46136</v>
      </c>
      <c r="H149" s="279">
        <v>46137</v>
      </c>
      <c r="I149" s="280">
        <v>46138</v>
      </c>
    </row>
    <row r="150" spans="1:9" ht="13">
      <c r="A150" s="611" t="s">
        <v>409</v>
      </c>
      <c r="B150" s="303" t="s">
        <v>401</v>
      </c>
      <c r="C150" s="299" t="s">
        <v>67</v>
      </c>
      <c r="D150" s="296" t="s">
        <v>2</v>
      </c>
      <c r="E150" s="297" t="s">
        <v>119</v>
      </c>
      <c r="F150" s="297" t="s">
        <v>119</v>
      </c>
      <c r="G150" s="297" t="s">
        <v>119</v>
      </c>
      <c r="H150" s="295" t="s">
        <v>128</v>
      </c>
      <c r="I150" s="296" t="s">
        <v>2</v>
      </c>
    </row>
    <row r="151" spans="1:9" ht="13">
      <c r="A151" s="568"/>
      <c r="B151" s="305" t="s">
        <v>402</v>
      </c>
      <c r="C151" s="297" t="s">
        <v>119</v>
      </c>
      <c r="D151" s="297" t="s">
        <v>119</v>
      </c>
      <c r="E151" s="298" t="s">
        <v>146</v>
      </c>
      <c r="F151" s="295" t="s">
        <v>128</v>
      </c>
      <c r="G151" s="295" t="s">
        <v>128</v>
      </c>
      <c r="H151" s="296" t="s">
        <v>2</v>
      </c>
      <c r="I151" s="296" t="s">
        <v>2</v>
      </c>
    </row>
    <row r="152" spans="1:9" ht="13">
      <c r="A152" s="568"/>
      <c r="B152" s="305" t="s">
        <v>403</v>
      </c>
      <c r="C152" s="298" t="s">
        <v>45</v>
      </c>
      <c r="D152" s="298" t="s">
        <v>45</v>
      </c>
      <c r="E152" s="296" t="s">
        <v>2</v>
      </c>
      <c r="F152" s="298" t="s">
        <v>45</v>
      </c>
      <c r="G152" s="298" t="s">
        <v>45</v>
      </c>
      <c r="H152" s="298" t="s">
        <v>45</v>
      </c>
      <c r="I152" s="297" t="s">
        <v>152</v>
      </c>
    </row>
    <row r="153" spans="1:9" ht="13">
      <c r="A153" s="568"/>
      <c r="B153" s="305" t="s">
        <v>404</v>
      </c>
      <c r="C153" s="296" t="s">
        <v>2</v>
      </c>
      <c r="D153" s="299" t="s">
        <v>67</v>
      </c>
      <c r="E153" s="299" t="s">
        <v>67</v>
      </c>
      <c r="F153" s="299" t="s">
        <v>67</v>
      </c>
      <c r="G153" s="299" t="s">
        <v>67</v>
      </c>
      <c r="H153" s="296" t="s">
        <v>2</v>
      </c>
      <c r="I153" s="295" t="s">
        <v>128</v>
      </c>
    </row>
    <row r="154" spans="1:9" ht="13">
      <c r="A154" s="569"/>
      <c r="B154" s="306" t="s">
        <v>405</v>
      </c>
      <c r="C154" s="295" t="s">
        <v>128</v>
      </c>
      <c r="D154" s="295" t="s">
        <v>128</v>
      </c>
      <c r="E154" s="295" t="s">
        <v>128</v>
      </c>
      <c r="F154" s="296" t="s">
        <v>2</v>
      </c>
      <c r="G154" s="296" t="s">
        <v>2</v>
      </c>
      <c r="H154" s="297" t="s">
        <v>119</v>
      </c>
      <c r="I154" s="296" t="s">
        <v>2</v>
      </c>
    </row>
    <row r="155" spans="1:9" ht="21">
      <c r="A155" s="285"/>
      <c r="B155" s="286"/>
      <c r="C155" s="286"/>
      <c r="D155" s="286"/>
      <c r="E155" s="286"/>
      <c r="F155" s="286"/>
      <c r="G155" s="286"/>
      <c r="H155" s="286"/>
      <c r="I155" s="286"/>
    </row>
    <row r="156" spans="1:9" ht="20.5">
      <c r="A156" s="287" t="s">
        <v>42</v>
      </c>
      <c r="B156" s="262" t="s">
        <v>400</v>
      </c>
      <c r="C156" s="288">
        <v>46125</v>
      </c>
      <c r="D156" s="289">
        <v>46126</v>
      </c>
      <c r="E156" s="290">
        <v>46127</v>
      </c>
      <c r="F156" s="291">
        <v>46128</v>
      </c>
      <c r="G156" s="292">
        <v>46129</v>
      </c>
      <c r="H156" s="293">
        <v>46130</v>
      </c>
      <c r="I156" s="294">
        <v>46131</v>
      </c>
    </row>
    <row r="157" spans="1:9" ht="13">
      <c r="A157" s="610" t="s">
        <v>43</v>
      </c>
      <c r="B157" s="281" t="s">
        <v>401</v>
      </c>
      <c r="C157" s="299" t="s">
        <v>67</v>
      </c>
      <c r="D157" s="296" t="s">
        <v>2</v>
      </c>
      <c r="E157" s="296" t="s">
        <v>2</v>
      </c>
      <c r="F157" s="297" t="s">
        <v>119</v>
      </c>
      <c r="G157" s="298" t="s">
        <v>45</v>
      </c>
      <c r="H157" s="295" t="s">
        <v>128</v>
      </c>
      <c r="I157" s="295" t="s">
        <v>51</v>
      </c>
    </row>
    <row r="158" spans="1:9" ht="13">
      <c r="A158" s="568"/>
      <c r="B158" s="283" t="s">
        <v>402</v>
      </c>
      <c r="C158" s="296" t="s">
        <v>2</v>
      </c>
      <c r="D158" s="299" t="s">
        <v>67</v>
      </c>
      <c r="E158" s="299" t="s">
        <v>67</v>
      </c>
      <c r="F158" s="299" t="s">
        <v>67</v>
      </c>
      <c r="G158" s="299" t="s">
        <v>67</v>
      </c>
      <c r="H158" s="296" t="s">
        <v>2</v>
      </c>
      <c r="I158" s="297" t="s">
        <v>151</v>
      </c>
    </row>
    <row r="159" spans="1:9" ht="13">
      <c r="A159" s="568"/>
      <c r="B159" s="283" t="s">
        <v>403</v>
      </c>
      <c r="C159" s="298" t="s">
        <v>45</v>
      </c>
      <c r="D159" s="298" t="s">
        <v>45</v>
      </c>
      <c r="E159" s="298" t="s">
        <v>45</v>
      </c>
      <c r="F159" s="298" t="s">
        <v>45</v>
      </c>
      <c r="G159" s="296" t="s">
        <v>2</v>
      </c>
      <c r="H159" s="298" t="s">
        <v>45</v>
      </c>
      <c r="I159" s="296" t="s">
        <v>2</v>
      </c>
    </row>
    <row r="160" spans="1:9" ht="13">
      <c r="A160" s="568"/>
      <c r="B160" s="283" t="s">
        <v>404</v>
      </c>
      <c r="C160" s="295" t="s">
        <v>128</v>
      </c>
      <c r="D160" s="295" t="s">
        <v>128</v>
      </c>
      <c r="E160" s="295" t="s">
        <v>128</v>
      </c>
      <c r="F160" s="295" t="s">
        <v>128</v>
      </c>
      <c r="G160" s="295" t="s">
        <v>128</v>
      </c>
      <c r="H160" s="296" t="s">
        <v>2</v>
      </c>
      <c r="I160" s="296" t="s">
        <v>2</v>
      </c>
    </row>
    <row r="161" spans="1:9" ht="13">
      <c r="A161" s="569"/>
      <c r="B161" s="284" t="s">
        <v>405</v>
      </c>
      <c r="C161" s="297" t="s">
        <v>119</v>
      </c>
      <c r="D161" s="297" t="s">
        <v>119</v>
      </c>
      <c r="E161" s="297" t="s">
        <v>119</v>
      </c>
      <c r="F161" s="296" t="s">
        <v>2</v>
      </c>
      <c r="G161" s="297" t="s">
        <v>119</v>
      </c>
      <c r="H161" s="297" t="s">
        <v>119</v>
      </c>
      <c r="I161" s="296" t="s">
        <v>2</v>
      </c>
    </row>
    <row r="162" spans="1:9" ht="21">
      <c r="A162" s="285"/>
      <c r="B162" s="286"/>
      <c r="C162" s="286"/>
      <c r="D162" s="286"/>
      <c r="E162" s="286"/>
      <c r="F162" s="286"/>
      <c r="G162" s="286"/>
      <c r="H162" s="286"/>
      <c r="I162" s="286"/>
    </row>
    <row r="163" spans="1:9" ht="20.5">
      <c r="A163" s="287" t="s">
        <v>42</v>
      </c>
      <c r="B163" s="262" t="s">
        <v>400</v>
      </c>
      <c r="C163" s="274">
        <v>46118</v>
      </c>
      <c r="D163" s="275">
        <v>46119</v>
      </c>
      <c r="E163" s="276">
        <v>46120</v>
      </c>
      <c r="F163" s="277">
        <v>46121</v>
      </c>
      <c r="G163" s="278">
        <v>46122</v>
      </c>
      <c r="H163" s="279">
        <v>46123</v>
      </c>
      <c r="I163" s="280">
        <v>46124</v>
      </c>
    </row>
    <row r="164" spans="1:9" ht="13">
      <c r="A164" s="611" t="s">
        <v>49</v>
      </c>
      <c r="B164" s="303" t="s">
        <v>401</v>
      </c>
      <c r="C164" s="307" t="s">
        <v>27</v>
      </c>
      <c r="D164" s="307" t="s">
        <v>27</v>
      </c>
      <c r="E164" s="296" t="s">
        <v>2</v>
      </c>
      <c r="F164" s="58" t="s">
        <v>67</v>
      </c>
      <c r="G164" s="295" t="s">
        <v>128</v>
      </c>
      <c r="H164" s="296" t="s">
        <v>2</v>
      </c>
      <c r="I164" s="297" t="s">
        <v>151</v>
      </c>
    </row>
    <row r="165" spans="1:9" ht="13">
      <c r="A165" s="568"/>
      <c r="B165" s="305" t="s">
        <v>402</v>
      </c>
      <c r="C165" s="295" t="s">
        <v>128</v>
      </c>
      <c r="D165" s="295" t="s">
        <v>128</v>
      </c>
      <c r="E165" s="296" t="s">
        <v>2</v>
      </c>
      <c r="F165" s="296" t="s">
        <v>2</v>
      </c>
      <c r="G165" s="58" t="s">
        <v>67</v>
      </c>
      <c r="H165" s="295" t="s">
        <v>128</v>
      </c>
      <c r="I165" s="295" t="s">
        <v>51</v>
      </c>
    </row>
    <row r="166" spans="1:9" ht="13">
      <c r="A166" s="568"/>
      <c r="B166" s="305" t="s">
        <v>403</v>
      </c>
      <c r="C166" s="298" t="s">
        <v>45</v>
      </c>
      <c r="D166" s="299" t="s">
        <v>67</v>
      </c>
      <c r="E166" s="298" t="s">
        <v>45</v>
      </c>
      <c r="F166" s="298" t="s">
        <v>45</v>
      </c>
      <c r="G166" s="298" t="s">
        <v>45</v>
      </c>
      <c r="H166" s="296" t="s">
        <v>2</v>
      </c>
      <c r="I166" s="296" t="s">
        <v>2</v>
      </c>
    </row>
    <row r="167" spans="1:9" ht="13">
      <c r="A167" s="568"/>
      <c r="B167" s="305" t="s">
        <v>404</v>
      </c>
      <c r="C167" s="296" t="s">
        <v>2</v>
      </c>
      <c r="D167" s="297" t="s">
        <v>119</v>
      </c>
      <c r="E167" s="297" t="s">
        <v>119</v>
      </c>
      <c r="F167" s="297" t="s">
        <v>119</v>
      </c>
      <c r="G167" s="297" t="s">
        <v>119</v>
      </c>
      <c r="H167" s="298" t="s">
        <v>45</v>
      </c>
      <c r="I167" s="296" t="s">
        <v>2</v>
      </c>
    </row>
    <row r="168" spans="1:9" ht="13">
      <c r="A168" s="569"/>
      <c r="B168" s="306" t="s">
        <v>405</v>
      </c>
      <c r="C168" s="297" t="s">
        <v>119</v>
      </c>
      <c r="D168" s="298" t="s">
        <v>45</v>
      </c>
      <c r="E168" s="295" t="s">
        <v>128</v>
      </c>
      <c r="F168" s="295" t="s">
        <v>128</v>
      </c>
      <c r="G168" s="296" t="s">
        <v>2</v>
      </c>
      <c r="H168" s="297" t="s">
        <v>163</v>
      </c>
      <c r="I168" s="296" t="s">
        <v>2</v>
      </c>
    </row>
    <row r="169" spans="1:9" ht="21">
      <c r="A169" s="285"/>
      <c r="B169" s="286"/>
      <c r="C169" s="286"/>
      <c r="D169" s="286"/>
      <c r="E169" s="286"/>
      <c r="F169" s="286"/>
      <c r="G169" s="286"/>
      <c r="H169" s="286"/>
      <c r="I169" s="286"/>
    </row>
    <row r="170" spans="1:9" ht="20.5">
      <c r="A170" s="287" t="s">
        <v>42</v>
      </c>
      <c r="B170" s="262" t="s">
        <v>400</v>
      </c>
      <c r="C170" s="274">
        <v>46111</v>
      </c>
      <c r="D170" s="275">
        <v>46112</v>
      </c>
      <c r="E170" s="276">
        <v>46113</v>
      </c>
      <c r="F170" s="277">
        <v>46114</v>
      </c>
      <c r="G170" s="278">
        <v>46115</v>
      </c>
      <c r="H170" s="279">
        <v>46116</v>
      </c>
      <c r="I170" s="280">
        <v>46117</v>
      </c>
    </row>
    <row r="171" spans="1:9" ht="13">
      <c r="A171" s="610" t="s">
        <v>50</v>
      </c>
      <c r="B171" s="303" t="s">
        <v>401</v>
      </c>
      <c r="C171" s="295" t="s">
        <v>128</v>
      </c>
      <c r="D171" s="295" t="s">
        <v>128</v>
      </c>
      <c r="E171" s="295" t="s">
        <v>128</v>
      </c>
      <c r="F171" s="295" t="s">
        <v>128</v>
      </c>
      <c r="G171" s="295" t="s">
        <v>51</v>
      </c>
      <c r="H171" s="296" t="s">
        <v>2</v>
      </c>
      <c r="I171" s="296" t="s">
        <v>2</v>
      </c>
    </row>
    <row r="172" spans="1:9" ht="13">
      <c r="A172" s="568"/>
      <c r="B172" s="305" t="s">
        <v>402</v>
      </c>
      <c r="C172" s="297" t="s">
        <v>119</v>
      </c>
      <c r="D172" s="296" t="s">
        <v>2</v>
      </c>
      <c r="E172" s="296" t="s">
        <v>2</v>
      </c>
      <c r="F172" s="297" t="s">
        <v>163</v>
      </c>
      <c r="G172" s="297" t="s">
        <v>163</v>
      </c>
      <c r="H172" s="297" t="s">
        <v>119</v>
      </c>
      <c r="I172" s="297" t="s">
        <v>151</v>
      </c>
    </row>
    <row r="173" spans="1:9" ht="13">
      <c r="A173" s="568"/>
      <c r="B173" s="305" t="s">
        <v>403</v>
      </c>
      <c r="C173" s="299" t="s">
        <v>67</v>
      </c>
      <c r="D173" s="298" t="s">
        <v>45</v>
      </c>
      <c r="E173" s="298" t="s">
        <v>45</v>
      </c>
      <c r="F173" s="298" t="s">
        <v>45</v>
      </c>
      <c r="G173" s="296" t="s">
        <v>2</v>
      </c>
      <c r="H173" s="298" t="s">
        <v>45</v>
      </c>
      <c r="I173" s="296" t="s">
        <v>2</v>
      </c>
    </row>
    <row r="174" spans="1:9" ht="13">
      <c r="A174" s="568"/>
      <c r="B174" s="305" t="s">
        <v>404</v>
      </c>
      <c r="C174" s="296" t="s">
        <v>2</v>
      </c>
      <c r="D174" s="299" t="s">
        <v>67</v>
      </c>
      <c r="E174" s="299" t="s">
        <v>67</v>
      </c>
      <c r="F174" s="296" t="s">
        <v>2</v>
      </c>
      <c r="G174" s="298" t="s">
        <v>45</v>
      </c>
      <c r="H174" s="295" t="s">
        <v>128</v>
      </c>
      <c r="I174" s="295" t="s">
        <v>51</v>
      </c>
    </row>
    <row r="175" spans="1:9" ht="13">
      <c r="A175" s="569"/>
      <c r="B175" s="306" t="s">
        <v>405</v>
      </c>
      <c r="C175" s="298" t="s">
        <v>45</v>
      </c>
      <c r="D175" s="297" t="s">
        <v>119</v>
      </c>
      <c r="E175" s="297" t="s">
        <v>119</v>
      </c>
      <c r="F175" s="308" t="s">
        <v>27</v>
      </c>
      <c r="G175" s="308" t="s">
        <v>27</v>
      </c>
      <c r="H175" s="296" t="s">
        <v>2</v>
      </c>
      <c r="I175" s="296" t="s">
        <v>2</v>
      </c>
    </row>
    <row r="176" spans="1:9" ht="21">
      <c r="A176" s="285"/>
      <c r="B176" s="286"/>
      <c r="C176" s="286"/>
      <c r="D176" s="286"/>
      <c r="E176" s="286"/>
      <c r="F176" s="286"/>
      <c r="G176" s="286"/>
      <c r="H176" s="286"/>
      <c r="I176" s="286"/>
    </row>
    <row r="177" spans="1:9" ht="20.5">
      <c r="A177" s="287" t="s">
        <v>42</v>
      </c>
      <c r="B177" s="262" t="s">
        <v>400</v>
      </c>
      <c r="C177" s="274">
        <v>46104</v>
      </c>
      <c r="D177" s="275">
        <v>46105</v>
      </c>
      <c r="E177" s="276">
        <v>46106</v>
      </c>
      <c r="F177" s="277">
        <v>46107</v>
      </c>
      <c r="G177" s="278">
        <v>46108</v>
      </c>
      <c r="H177" s="279">
        <v>46109</v>
      </c>
      <c r="I177" s="280">
        <v>46110</v>
      </c>
    </row>
    <row r="178" spans="1:9" ht="13">
      <c r="A178" s="611" t="s">
        <v>52</v>
      </c>
      <c r="B178" s="303" t="s">
        <v>401</v>
      </c>
      <c r="C178" s="295" t="s">
        <v>54</v>
      </c>
      <c r="D178" s="295" t="s">
        <v>54</v>
      </c>
      <c r="E178" s="295" t="s">
        <v>54</v>
      </c>
      <c r="F178" s="295" t="s">
        <v>54</v>
      </c>
      <c r="G178" s="295" t="s">
        <v>54</v>
      </c>
      <c r="H178" s="296" t="s">
        <v>2</v>
      </c>
      <c r="I178" s="296" t="s">
        <v>2</v>
      </c>
    </row>
    <row r="179" spans="1:9" ht="13">
      <c r="A179" s="568"/>
      <c r="B179" s="305" t="s">
        <v>402</v>
      </c>
      <c r="C179" s="296" t="s">
        <v>2</v>
      </c>
      <c r="D179" s="296" t="s">
        <v>2</v>
      </c>
      <c r="E179" s="297" t="s">
        <v>147</v>
      </c>
      <c r="F179" s="297" t="s">
        <v>147</v>
      </c>
      <c r="G179" s="297" t="s">
        <v>147</v>
      </c>
      <c r="H179" s="297" t="s">
        <v>147</v>
      </c>
      <c r="I179" s="297" t="s">
        <v>151</v>
      </c>
    </row>
    <row r="180" spans="1:9" ht="13">
      <c r="A180" s="568"/>
      <c r="B180" s="305" t="s">
        <v>403</v>
      </c>
      <c r="C180" s="298" t="s">
        <v>146</v>
      </c>
      <c r="D180" s="298" t="s">
        <v>146</v>
      </c>
      <c r="E180" s="298" t="s">
        <v>146</v>
      </c>
      <c r="F180" s="298" t="s">
        <v>146</v>
      </c>
      <c r="G180" s="298" t="s">
        <v>146</v>
      </c>
      <c r="H180" s="296" t="s">
        <v>2</v>
      </c>
      <c r="I180" s="296" t="s">
        <v>2</v>
      </c>
    </row>
    <row r="181" spans="1:9" ht="13">
      <c r="A181" s="568"/>
      <c r="B181" s="305" t="s">
        <v>404</v>
      </c>
      <c r="C181" s="297" t="s">
        <v>147</v>
      </c>
      <c r="D181" s="297" t="s">
        <v>147</v>
      </c>
      <c r="E181" s="296" t="s">
        <v>2</v>
      </c>
      <c r="F181" s="296" t="s">
        <v>2</v>
      </c>
      <c r="G181" s="299" t="s">
        <v>45</v>
      </c>
      <c r="H181" s="298" t="s">
        <v>146</v>
      </c>
      <c r="I181" s="295" t="s">
        <v>51</v>
      </c>
    </row>
    <row r="182" spans="1:9" ht="13">
      <c r="A182" s="569"/>
      <c r="B182" s="306" t="s">
        <v>405</v>
      </c>
      <c r="C182" s="299" t="s">
        <v>45</v>
      </c>
      <c r="D182" s="299" t="s">
        <v>45</v>
      </c>
      <c r="E182" s="299" t="s">
        <v>45</v>
      </c>
      <c r="F182" s="299" t="s">
        <v>45</v>
      </c>
      <c r="G182" s="296" t="s">
        <v>2</v>
      </c>
      <c r="H182" s="295" t="s">
        <v>54</v>
      </c>
      <c r="I182" s="296" t="s">
        <v>2</v>
      </c>
    </row>
    <row r="183" spans="1:9" ht="21">
      <c r="A183" s="285"/>
      <c r="B183" s="286"/>
      <c r="C183" s="286"/>
      <c r="D183" s="286"/>
      <c r="E183" s="286"/>
      <c r="F183" s="286"/>
      <c r="G183" s="286"/>
      <c r="H183" s="286"/>
      <c r="I183" s="286"/>
    </row>
    <row r="184" spans="1:9" ht="20.5">
      <c r="A184" s="287" t="s">
        <v>42</v>
      </c>
      <c r="B184" s="262" t="s">
        <v>400</v>
      </c>
      <c r="C184" s="274">
        <v>46097</v>
      </c>
      <c r="D184" s="275">
        <v>46098</v>
      </c>
      <c r="E184" s="276">
        <v>46099</v>
      </c>
      <c r="F184" s="277">
        <v>46100</v>
      </c>
      <c r="G184" s="278">
        <v>46101</v>
      </c>
      <c r="H184" s="279">
        <v>46102</v>
      </c>
      <c r="I184" s="280">
        <v>46103</v>
      </c>
    </row>
    <row r="185" spans="1:9" ht="14">
      <c r="A185" s="610" t="s">
        <v>55</v>
      </c>
      <c r="B185" s="303" t="s">
        <v>401</v>
      </c>
      <c r="C185" s="265" t="s">
        <v>316</v>
      </c>
      <c r="D185" s="265" t="s">
        <v>396</v>
      </c>
      <c r="E185" s="265" t="s">
        <v>396</v>
      </c>
      <c r="F185" s="265" t="s">
        <v>410</v>
      </c>
      <c r="G185" s="265" t="s">
        <v>410</v>
      </c>
      <c r="H185" s="309" t="s">
        <v>2</v>
      </c>
      <c r="I185" s="309" t="s">
        <v>2</v>
      </c>
    </row>
    <row r="186" spans="1:9" ht="14">
      <c r="A186" s="568"/>
      <c r="B186" s="305" t="s">
        <v>402</v>
      </c>
      <c r="C186" s="307" t="s">
        <v>27</v>
      </c>
      <c r="D186" s="309" t="s">
        <v>2</v>
      </c>
      <c r="E186" s="309" t="s">
        <v>2</v>
      </c>
      <c r="F186" s="307" t="s">
        <v>27</v>
      </c>
      <c r="G186" s="307" t="s">
        <v>27</v>
      </c>
      <c r="H186" s="307" t="s">
        <v>27</v>
      </c>
      <c r="I186" s="307" t="s">
        <v>27</v>
      </c>
    </row>
    <row r="187" spans="1:9" ht="13">
      <c r="A187" s="568"/>
      <c r="B187" s="305" t="s">
        <v>403</v>
      </c>
      <c r="C187" s="296" t="s">
        <v>2</v>
      </c>
      <c r="D187" s="310" t="s">
        <v>58</v>
      </c>
      <c r="E187" s="310" t="s">
        <v>58</v>
      </c>
      <c r="F187" s="310" t="s">
        <v>58</v>
      </c>
      <c r="G187" s="310" t="s">
        <v>58</v>
      </c>
      <c r="H187" s="310" t="s">
        <v>58</v>
      </c>
      <c r="I187" s="296" t="s">
        <v>2</v>
      </c>
    </row>
    <row r="188" spans="1:9" ht="13">
      <c r="A188" s="568"/>
      <c r="B188" s="305" t="s">
        <v>404</v>
      </c>
      <c r="C188" s="311" t="s">
        <v>411</v>
      </c>
      <c r="D188" s="296" t="s">
        <v>2</v>
      </c>
      <c r="E188" s="296" t="s">
        <v>2</v>
      </c>
      <c r="F188" s="311" t="s">
        <v>120</v>
      </c>
      <c r="G188" s="311" t="s">
        <v>120</v>
      </c>
      <c r="H188" s="311" t="s">
        <v>163</v>
      </c>
      <c r="I188" s="311" t="s">
        <v>163</v>
      </c>
    </row>
    <row r="189" spans="1:9" ht="13">
      <c r="A189" s="569"/>
      <c r="B189" s="306" t="s">
        <v>405</v>
      </c>
      <c r="C189" s="310" t="s">
        <v>412</v>
      </c>
      <c r="D189" s="311" t="s">
        <v>120</v>
      </c>
      <c r="E189" s="311" t="s">
        <v>120</v>
      </c>
      <c r="F189" s="296" t="s">
        <v>2</v>
      </c>
      <c r="G189" s="296" t="s">
        <v>2</v>
      </c>
      <c r="H189" s="265" t="s">
        <v>413</v>
      </c>
      <c r="I189" s="310" t="s">
        <v>287</v>
      </c>
    </row>
    <row r="190" spans="1:9" ht="21">
      <c r="A190" s="285"/>
      <c r="B190" s="286"/>
      <c r="C190" s="286"/>
      <c r="D190" s="286"/>
      <c r="E190" s="286"/>
      <c r="F190" s="286"/>
      <c r="G190" s="286"/>
      <c r="H190" s="286"/>
      <c r="I190" s="286"/>
    </row>
    <row r="191" spans="1:9" ht="20.5">
      <c r="A191" s="287" t="s">
        <v>42</v>
      </c>
      <c r="B191" s="262" t="s">
        <v>400</v>
      </c>
      <c r="C191" s="274">
        <v>46090</v>
      </c>
      <c r="D191" s="275">
        <v>46091</v>
      </c>
      <c r="E191" s="276">
        <v>46092</v>
      </c>
      <c r="F191" s="277">
        <v>46093</v>
      </c>
      <c r="G191" s="278">
        <v>46094</v>
      </c>
      <c r="H191" s="279">
        <v>46095</v>
      </c>
      <c r="I191" s="280">
        <v>46096</v>
      </c>
    </row>
    <row r="192" spans="1:9" ht="13">
      <c r="A192" s="611" t="s">
        <v>60</v>
      </c>
      <c r="B192" s="303" t="s">
        <v>401</v>
      </c>
      <c r="C192" s="265" t="s">
        <v>316</v>
      </c>
      <c r="D192" s="265" t="s">
        <v>316</v>
      </c>
      <c r="E192" s="265" t="s">
        <v>316</v>
      </c>
      <c r="F192" s="265" t="s">
        <v>316</v>
      </c>
      <c r="G192" s="265" t="s">
        <v>316</v>
      </c>
      <c r="H192" s="312" t="s">
        <v>2</v>
      </c>
      <c r="I192" s="312" t="s">
        <v>2</v>
      </c>
    </row>
    <row r="193" spans="1:9" ht="13">
      <c r="A193" s="568"/>
      <c r="B193" s="305" t="s">
        <v>402</v>
      </c>
      <c r="C193" s="312" t="s">
        <v>2</v>
      </c>
      <c r="D193" s="264" t="s">
        <v>56</v>
      </c>
      <c r="E193" s="312" t="s">
        <v>2</v>
      </c>
      <c r="F193" s="266" t="s">
        <v>414</v>
      </c>
      <c r="G193" s="266" t="s">
        <v>414</v>
      </c>
      <c r="H193" s="266" t="s">
        <v>414</v>
      </c>
      <c r="I193" s="264" t="s">
        <v>141</v>
      </c>
    </row>
    <row r="194" spans="1:9" ht="13">
      <c r="A194" s="568"/>
      <c r="B194" s="305" t="s">
        <v>403</v>
      </c>
      <c r="C194" s="267" t="s">
        <v>415</v>
      </c>
      <c r="D194" s="312" t="s">
        <v>2</v>
      </c>
      <c r="E194" s="264" t="s">
        <v>56</v>
      </c>
      <c r="F194" s="264" t="s">
        <v>56</v>
      </c>
      <c r="G194" s="264" t="s">
        <v>56</v>
      </c>
      <c r="H194" s="264" t="s">
        <v>56</v>
      </c>
      <c r="I194" s="312" t="s">
        <v>2</v>
      </c>
    </row>
    <row r="195" spans="1:9" ht="13">
      <c r="A195" s="568"/>
      <c r="B195" s="305" t="s">
        <v>404</v>
      </c>
      <c r="C195" s="264" t="s">
        <v>56</v>
      </c>
      <c r="D195" s="267" t="s">
        <v>415</v>
      </c>
      <c r="E195" s="266" t="s">
        <v>414</v>
      </c>
      <c r="F195" s="312" t="s">
        <v>2</v>
      </c>
      <c r="G195" s="312" t="s">
        <v>2</v>
      </c>
      <c r="H195" s="267" t="s">
        <v>415</v>
      </c>
      <c r="I195" s="267" t="s">
        <v>416</v>
      </c>
    </row>
    <row r="196" spans="1:9" ht="13">
      <c r="A196" s="569"/>
      <c r="B196" s="306" t="s">
        <v>405</v>
      </c>
      <c r="C196" s="266" t="s">
        <v>414</v>
      </c>
      <c r="D196" s="313" t="s">
        <v>417</v>
      </c>
      <c r="E196" s="267" t="s">
        <v>415</v>
      </c>
      <c r="F196" s="267" t="s">
        <v>415</v>
      </c>
      <c r="G196" s="267" t="s">
        <v>415</v>
      </c>
      <c r="H196" s="312" t="s">
        <v>2</v>
      </c>
      <c r="I196" s="312" t="s">
        <v>2</v>
      </c>
    </row>
    <row r="197" spans="1:9" ht="21">
      <c r="A197" s="285"/>
      <c r="B197" s="314"/>
      <c r="C197" s="314"/>
      <c r="D197" s="314"/>
      <c r="E197" s="314"/>
      <c r="F197" s="314"/>
      <c r="G197" s="314"/>
      <c r="H197" s="314"/>
      <c r="I197" s="314"/>
    </row>
    <row r="198" spans="1:9" ht="20.5">
      <c r="A198" s="287" t="s">
        <v>42</v>
      </c>
      <c r="B198" s="262" t="s">
        <v>400</v>
      </c>
      <c r="C198" s="274">
        <v>46083</v>
      </c>
      <c r="D198" s="275">
        <v>46084</v>
      </c>
      <c r="E198" s="276">
        <v>46085</v>
      </c>
      <c r="F198" s="277">
        <v>46086</v>
      </c>
      <c r="G198" s="278">
        <v>46087</v>
      </c>
      <c r="H198" s="279">
        <v>46088</v>
      </c>
      <c r="I198" s="280">
        <v>46089</v>
      </c>
    </row>
    <row r="199" spans="1:9" ht="13">
      <c r="A199" s="610" t="s">
        <v>64</v>
      </c>
      <c r="B199" s="303" t="s">
        <v>401</v>
      </c>
      <c r="C199" s="265" t="s">
        <v>316</v>
      </c>
      <c r="D199" s="265" t="s">
        <v>316</v>
      </c>
      <c r="E199" s="265" t="s">
        <v>316</v>
      </c>
      <c r="F199" s="265" t="s">
        <v>316</v>
      </c>
      <c r="G199" s="265" t="s">
        <v>316</v>
      </c>
      <c r="H199" s="312" t="s">
        <v>2</v>
      </c>
      <c r="I199" s="312" t="s">
        <v>2</v>
      </c>
    </row>
    <row r="200" spans="1:9" ht="13">
      <c r="A200" s="568"/>
      <c r="B200" s="305" t="s">
        <v>402</v>
      </c>
      <c r="C200" s="266" t="s">
        <v>414</v>
      </c>
      <c r="D200" s="266" t="s">
        <v>414</v>
      </c>
      <c r="E200" s="266" t="s">
        <v>414</v>
      </c>
      <c r="F200" s="264" t="s">
        <v>56</v>
      </c>
      <c r="G200" s="264" t="s">
        <v>56</v>
      </c>
      <c r="H200" s="312" t="s">
        <v>2</v>
      </c>
      <c r="I200" s="312" t="s">
        <v>2</v>
      </c>
    </row>
    <row r="201" spans="1:9" ht="13">
      <c r="A201" s="568"/>
      <c r="B201" s="305" t="s">
        <v>403</v>
      </c>
      <c r="C201" s="264" t="s">
        <v>56</v>
      </c>
      <c r="D201" s="312" t="s">
        <v>2</v>
      </c>
      <c r="E201" s="312" t="s">
        <v>2</v>
      </c>
      <c r="F201" s="267" t="s">
        <v>415</v>
      </c>
      <c r="G201" s="267" t="s">
        <v>415</v>
      </c>
      <c r="H201" s="267" t="s">
        <v>415</v>
      </c>
      <c r="I201" s="267" t="s">
        <v>416</v>
      </c>
    </row>
    <row r="202" spans="1:9" ht="13">
      <c r="A202" s="568"/>
      <c r="B202" s="305" t="s">
        <v>404</v>
      </c>
      <c r="C202" s="267" t="s">
        <v>415</v>
      </c>
      <c r="D202" s="267" t="s">
        <v>415</v>
      </c>
      <c r="E202" s="267" t="s">
        <v>415</v>
      </c>
      <c r="F202" s="312" t="s">
        <v>2</v>
      </c>
      <c r="G202" s="312" t="s">
        <v>2</v>
      </c>
      <c r="H202" s="264" t="s">
        <v>56</v>
      </c>
      <c r="I202" s="264" t="s">
        <v>141</v>
      </c>
    </row>
    <row r="203" spans="1:9" ht="13">
      <c r="A203" s="569"/>
      <c r="B203" s="306" t="s">
        <v>405</v>
      </c>
      <c r="C203" s="312" t="s">
        <v>2</v>
      </c>
      <c r="D203" s="264" t="s">
        <v>56</v>
      </c>
      <c r="E203" s="264" t="s">
        <v>56</v>
      </c>
      <c r="F203" s="266" t="s">
        <v>414</v>
      </c>
      <c r="G203" s="266" t="s">
        <v>414</v>
      </c>
      <c r="H203" s="266" t="s">
        <v>414</v>
      </c>
      <c r="I203" s="312" t="s">
        <v>2</v>
      </c>
    </row>
    <row r="204" spans="1:9" ht="21">
      <c r="A204" s="285"/>
      <c r="B204" s="314"/>
      <c r="C204" s="314"/>
      <c r="D204" s="314"/>
      <c r="E204" s="314"/>
      <c r="F204" s="314"/>
      <c r="G204" s="314"/>
      <c r="H204" s="314"/>
      <c r="I204" s="314"/>
    </row>
    <row r="205" spans="1:9" ht="20.5">
      <c r="A205" s="287" t="s">
        <v>42</v>
      </c>
      <c r="B205" s="262" t="s">
        <v>400</v>
      </c>
      <c r="C205" s="274">
        <v>46076</v>
      </c>
      <c r="D205" s="275">
        <v>46077</v>
      </c>
      <c r="E205" s="276">
        <v>46078</v>
      </c>
      <c r="F205" s="277">
        <v>46079</v>
      </c>
      <c r="G205" s="278">
        <v>46080</v>
      </c>
      <c r="H205" s="279">
        <v>46081</v>
      </c>
      <c r="I205" s="280">
        <v>46082</v>
      </c>
    </row>
    <row r="206" spans="1:9" ht="13">
      <c r="A206" s="611" t="s">
        <v>65</v>
      </c>
      <c r="B206" s="303" t="s">
        <v>401</v>
      </c>
      <c r="C206" s="265" t="s">
        <v>316</v>
      </c>
      <c r="D206" s="265" t="s">
        <v>316</v>
      </c>
      <c r="E206" s="265" t="s">
        <v>316</v>
      </c>
      <c r="F206" s="265" t="s">
        <v>316</v>
      </c>
      <c r="G206" s="265" t="s">
        <v>316</v>
      </c>
      <c r="H206" s="312" t="s">
        <v>2</v>
      </c>
      <c r="I206" s="312" t="s">
        <v>2</v>
      </c>
    </row>
    <row r="207" spans="1:9" ht="13">
      <c r="A207" s="568"/>
      <c r="B207" s="305" t="s">
        <v>402</v>
      </c>
      <c r="C207" s="264" t="s">
        <v>56</v>
      </c>
      <c r="D207" s="312" t="s">
        <v>2</v>
      </c>
      <c r="E207" s="267" t="s">
        <v>415</v>
      </c>
      <c r="F207" s="267" t="s">
        <v>415</v>
      </c>
      <c r="G207" s="267" t="s">
        <v>415</v>
      </c>
      <c r="H207" s="267" t="s">
        <v>415</v>
      </c>
      <c r="I207" s="312" t="s">
        <v>2</v>
      </c>
    </row>
    <row r="208" spans="1:9" ht="13">
      <c r="A208" s="568"/>
      <c r="B208" s="305" t="s">
        <v>403</v>
      </c>
      <c r="C208" s="312" t="s">
        <v>2</v>
      </c>
      <c r="D208" s="266" t="s">
        <v>414</v>
      </c>
      <c r="E208" s="266" t="s">
        <v>414</v>
      </c>
      <c r="F208" s="266" t="s">
        <v>414</v>
      </c>
      <c r="G208" s="312" t="s">
        <v>2</v>
      </c>
      <c r="H208" s="264" t="s">
        <v>56</v>
      </c>
      <c r="I208" s="264" t="s">
        <v>141</v>
      </c>
    </row>
    <row r="209" spans="1:9" ht="13">
      <c r="A209" s="568"/>
      <c r="B209" s="305" t="s">
        <v>404</v>
      </c>
      <c r="C209" s="266" t="s">
        <v>414</v>
      </c>
      <c r="D209" s="264" t="s">
        <v>56</v>
      </c>
      <c r="E209" s="264" t="s">
        <v>56</v>
      </c>
      <c r="F209" s="264" t="s">
        <v>56</v>
      </c>
      <c r="G209" s="264" t="s">
        <v>56</v>
      </c>
      <c r="H209" s="312" t="s">
        <v>2</v>
      </c>
      <c r="I209" s="312" t="s">
        <v>2</v>
      </c>
    </row>
    <row r="210" spans="1:9" ht="13">
      <c r="A210" s="569"/>
      <c r="B210" s="306" t="s">
        <v>405</v>
      </c>
      <c r="C210" s="267" t="s">
        <v>415</v>
      </c>
      <c r="D210" s="267" t="s">
        <v>415</v>
      </c>
      <c r="E210" s="312" t="s">
        <v>2</v>
      </c>
      <c r="F210" s="312" t="s">
        <v>2</v>
      </c>
      <c r="G210" s="266" t="s">
        <v>414</v>
      </c>
      <c r="H210" s="266" t="s">
        <v>414</v>
      </c>
      <c r="I210" s="267" t="s">
        <v>416</v>
      </c>
    </row>
    <row r="211" spans="1:9" ht="21">
      <c r="A211" s="285"/>
      <c r="B211" s="314"/>
      <c r="C211" s="314"/>
      <c r="D211" s="314"/>
      <c r="E211" s="314"/>
      <c r="F211" s="314"/>
      <c r="G211" s="314"/>
      <c r="H211" s="314"/>
      <c r="I211" s="314"/>
    </row>
    <row r="212" spans="1:9" ht="20.5">
      <c r="A212" s="287" t="s">
        <v>42</v>
      </c>
      <c r="B212" s="262" t="s">
        <v>400</v>
      </c>
      <c r="C212" s="288">
        <v>46069</v>
      </c>
      <c r="D212" s="289">
        <v>46070</v>
      </c>
      <c r="E212" s="290">
        <v>46071</v>
      </c>
      <c r="F212" s="291">
        <v>46072</v>
      </c>
      <c r="G212" s="292">
        <v>46073</v>
      </c>
      <c r="H212" s="293">
        <v>46074</v>
      </c>
      <c r="I212" s="294">
        <v>46075</v>
      </c>
    </row>
    <row r="213" spans="1:9" ht="13">
      <c r="A213" s="610" t="s">
        <v>66</v>
      </c>
      <c r="B213" s="281" t="s">
        <v>401</v>
      </c>
      <c r="C213" s="265" t="s">
        <v>322</v>
      </c>
      <c r="D213" s="265" t="s">
        <v>322</v>
      </c>
      <c r="E213" s="265" t="s">
        <v>322</v>
      </c>
      <c r="F213" s="265" t="s">
        <v>316</v>
      </c>
      <c r="G213" s="265" t="s">
        <v>418</v>
      </c>
      <c r="H213" s="269" t="s">
        <v>2</v>
      </c>
      <c r="I213" s="269" t="s">
        <v>2</v>
      </c>
    </row>
    <row r="214" spans="1:9" ht="13">
      <c r="A214" s="568"/>
      <c r="B214" s="283" t="s">
        <v>402</v>
      </c>
      <c r="C214" s="264" t="s">
        <v>47</v>
      </c>
      <c r="D214" s="269" t="s">
        <v>2</v>
      </c>
      <c r="E214" s="264" t="s">
        <v>47</v>
      </c>
      <c r="F214" s="264" t="s">
        <v>56</v>
      </c>
      <c r="G214" s="269" t="s">
        <v>2</v>
      </c>
      <c r="H214" s="264" t="s">
        <v>56</v>
      </c>
      <c r="I214" s="264" t="s">
        <v>56</v>
      </c>
    </row>
    <row r="215" spans="1:9" ht="13">
      <c r="A215" s="568"/>
      <c r="B215" s="283" t="s">
        <v>403</v>
      </c>
      <c r="C215" s="266" t="s">
        <v>314</v>
      </c>
      <c r="D215" s="266" t="s">
        <v>314</v>
      </c>
      <c r="E215" s="267" t="s">
        <v>419</v>
      </c>
      <c r="F215" s="267" t="s">
        <v>415</v>
      </c>
      <c r="G215" s="267" t="s">
        <v>415</v>
      </c>
      <c r="H215" s="269" t="s">
        <v>2</v>
      </c>
      <c r="I215" s="269" t="s">
        <v>2</v>
      </c>
    </row>
    <row r="216" spans="1:9" ht="13">
      <c r="A216" s="568"/>
      <c r="B216" s="283" t="s">
        <v>404</v>
      </c>
      <c r="C216" s="269" t="s">
        <v>2</v>
      </c>
      <c r="D216" s="264" t="s">
        <v>47</v>
      </c>
      <c r="E216" s="266" t="s">
        <v>314</v>
      </c>
      <c r="F216" s="266" t="s">
        <v>414</v>
      </c>
      <c r="G216" s="266" t="s">
        <v>414</v>
      </c>
      <c r="H216" s="266" t="s">
        <v>414</v>
      </c>
      <c r="I216" s="269" t="s">
        <v>2</v>
      </c>
    </row>
    <row r="217" spans="1:9" ht="13">
      <c r="A217" s="569"/>
      <c r="B217" s="284" t="s">
        <v>405</v>
      </c>
      <c r="C217" s="267" t="s">
        <v>419</v>
      </c>
      <c r="D217" s="267" t="s">
        <v>419</v>
      </c>
      <c r="E217" s="269" t="s">
        <v>2</v>
      </c>
      <c r="F217" s="269" t="s">
        <v>2</v>
      </c>
      <c r="G217" s="264" t="s">
        <v>56</v>
      </c>
      <c r="H217" s="267" t="s">
        <v>415</v>
      </c>
      <c r="I217" s="267" t="s">
        <v>420</v>
      </c>
    </row>
    <row r="218" spans="1:9" ht="21">
      <c r="A218" s="285"/>
      <c r="B218" s="314"/>
      <c r="C218" s="314"/>
      <c r="D218" s="314"/>
      <c r="E218" s="314"/>
      <c r="F218" s="314"/>
      <c r="G218" s="314"/>
      <c r="H218" s="314"/>
      <c r="I218" s="314"/>
    </row>
    <row r="219" spans="1:9" ht="20.5">
      <c r="A219" s="287" t="s">
        <v>42</v>
      </c>
      <c r="B219" s="262" t="s">
        <v>400</v>
      </c>
      <c r="C219" s="274">
        <v>46062</v>
      </c>
      <c r="D219" s="275">
        <v>46063</v>
      </c>
      <c r="E219" s="276">
        <v>46064</v>
      </c>
      <c r="F219" s="277">
        <v>46065</v>
      </c>
      <c r="G219" s="278">
        <v>46066</v>
      </c>
      <c r="H219" s="279">
        <v>46067</v>
      </c>
      <c r="I219" s="280">
        <v>46068</v>
      </c>
    </row>
    <row r="220" spans="1:9" ht="13">
      <c r="A220" s="611" t="s">
        <v>421</v>
      </c>
      <c r="B220" s="303" t="s">
        <v>401</v>
      </c>
      <c r="C220" s="265" t="s">
        <v>393</v>
      </c>
      <c r="D220" s="265" t="s">
        <v>393</v>
      </c>
      <c r="E220" s="265" t="s">
        <v>393</v>
      </c>
      <c r="F220" s="265" t="s">
        <v>393</v>
      </c>
      <c r="G220" s="265" t="s">
        <v>393</v>
      </c>
      <c r="H220" s="269" t="s">
        <v>2</v>
      </c>
      <c r="I220" s="269" t="s">
        <v>2</v>
      </c>
    </row>
    <row r="221" spans="1:9" ht="13">
      <c r="A221" s="568"/>
      <c r="B221" s="305" t="s">
        <v>402</v>
      </c>
      <c r="C221" s="267" t="s">
        <v>394</v>
      </c>
      <c r="D221" s="269" t="s">
        <v>2</v>
      </c>
      <c r="E221" s="269" t="s">
        <v>2</v>
      </c>
      <c r="F221" s="266" t="s">
        <v>129</v>
      </c>
      <c r="G221" s="266" t="s">
        <v>129</v>
      </c>
      <c r="H221" s="264" t="s">
        <v>422</v>
      </c>
      <c r="I221" s="264" t="s">
        <v>47</v>
      </c>
    </row>
    <row r="222" spans="1:9" ht="13">
      <c r="A222" s="568"/>
      <c r="B222" s="305" t="s">
        <v>403</v>
      </c>
      <c r="C222" s="269" t="s">
        <v>2</v>
      </c>
      <c r="D222" s="264" t="s">
        <v>422</v>
      </c>
      <c r="E222" s="264" t="s">
        <v>422</v>
      </c>
      <c r="F222" s="264" t="s">
        <v>422</v>
      </c>
      <c r="G222" s="264" t="s">
        <v>422</v>
      </c>
      <c r="H222" s="267" t="s">
        <v>394</v>
      </c>
      <c r="I222" s="269" t="s">
        <v>2</v>
      </c>
    </row>
    <row r="223" spans="1:9" ht="13">
      <c r="A223" s="568"/>
      <c r="B223" s="305" t="s">
        <v>404</v>
      </c>
      <c r="C223" s="264" t="s">
        <v>422</v>
      </c>
      <c r="D223" s="267" t="s">
        <v>394</v>
      </c>
      <c r="E223" s="267" t="s">
        <v>394</v>
      </c>
      <c r="F223" s="267" t="s">
        <v>394</v>
      </c>
      <c r="G223" s="267" t="s">
        <v>394</v>
      </c>
      <c r="H223" s="269" t="s">
        <v>2</v>
      </c>
      <c r="I223" s="269" t="s">
        <v>2</v>
      </c>
    </row>
    <row r="224" spans="1:9" ht="13">
      <c r="A224" s="569"/>
      <c r="B224" s="306" t="s">
        <v>405</v>
      </c>
      <c r="C224" s="266" t="s">
        <v>314</v>
      </c>
      <c r="D224" s="266" t="s">
        <v>129</v>
      </c>
      <c r="E224" s="266" t="s">
        <v>129</v>
      </c>
      <c r="F224" s="269" t="s">
        <v>2</v>
      </c>
      <c r="G224" s="269" t="s">
        <v>2</v>
      </c>
      <c r="H224" s="266" t="s">
        <v>314</v>
      </c>
      <c r="I224" s="267" t="s">
        <v>423</v>
      </c>
    </row>
    <row r="225" spans="1:9" ht="20">
      <c r="A225" s="315"/>
      <c r="B225" s="314"/>
      <c r="C225" s="314"/>
      <c r="D225" s="314"/>
      <c r="E225" s="314"/>
      <c r="F225" s="314"/>
      <c r="G225" s="314"/>
      <c r="H225" s="314"/>
      <c r="I225" s="314"/>
    </row>
    <row r="226" spans="1:9" ht="20.5">
      <c r="A226" s="287" t="s">
        <v>42</v>
      </c>
      <c r="B226" s="262" t="s">
        <v>400</v>
      </c>
      <c r="C226" s="274">
        <v>46055</v>
      </c>
      <c r="D226" s="275">
        <v>46056</v>
      </c>
      <c r="E226" s="276">
        <v>46057</v>
      </c>
      <c r="F226" s="277">
        <v>46058</v>
      </c>
      <c r="G226" s="278">
        <v>46059</v>
      </c>
      <c r="H226" s="279">
        <v>46060</v>
      </c>
      <c r="I226" s="280">
        <v>46061</v>
      </c>
    </row>
    <row r="227" spans="1:9" ht="13">
      <c r="A227" s="610" t="s">
        <v>424</v>
      </c>
      <c r="B227" s="316" t="s">
        <v>401</v>
      </c>
      <c r="C227" s="317" t="s">
        <v>425</v>
      </c>
      <c r="D227" s="317" t="s">
        <v>425</v>
      </c>
      <c r="E227" s="317" t="s">
        <v>425</v>
      </c>
      <c r="F227" s="317" t="s">
        <v>425</v>
      </c>
      <c r="G227" s="317" t="s">
        <v>425</v>
      </c>
      <c r="H227" s="269" t="s">
        <v>2</v>
      </c>
      <c r="I227" s="269" t="s">
        <v>2</v>
      </c>
    </row>
    <row r="228" spans="1:9" ht="13">
      <c r="A228" s="568"/>
      <c r="B228" s="316" t="s">
        <v>404</v>
      </c>
      <c r="C228" s="318" t="s">
        <v>426</v>
      </c>
      <c r="D228" s="318" t="s">
        <v>426</v>
      </c>
      <c r="E228" s="318" t="s">
        <v>426</v>
      </c>
      <c r="F228" s="319" t="s">
        <v>427</v>
      </c>
      <c r="G228" s="319" t="s">
        <v>427</v>
      </c>
      <c r="H228" s="269" t="s">
        <v>2</v>
      </c>
      <c r="I228" s="269" t="s">
        <v>2</v>
      </c>
    </row>
    <row r="229" spans="1:9" ht="13">
      <c r="A229" s="568"/>
      <c r="B229" s="316" t="s">
        <v>405</v>
      </c>
      <c r="C229" s="319" t="s">
        <v>427</v>
      </c>
      <c r="D229" s="319" t="s">
        <v>427</v>
      </c>
      <c r="E229" s="319" t="s">
        <v>427</v>
      </c>
      <c r="F229" s="269" t="s">
        <v>2</v>
      </c>
      <c r="G229" s="269" t="s">
        <v>2</v>
      </c>
      <c r="H229" s="318" t="s">
        <v>426</v>
      </c>
      <c r="I229" s="318" t="s">
        <v>426</v>
      </c>
    </row>
    <row r="230" spans="1:9" ht="13">
      <c r="A230" s="568"/>
      <c r="B230" s="316" t="s">
        <v>403</v>
      </c>
      <c r="C230" s="269" t="s">
        <v>2</v>
      </c>
      <c r="D230" s="317" t="s">
        <v>428</v>
      </c>
      <c r="E230" s="317" t="s">
        <v>428</v>
      </c>
      <c r="F230" s="317" t="s">
        <v>428</v>
      </c>
      <c r="G230" s="317" t="s">
        <v>428</v>
      </c>
      <c r="H230" s="317" t="s">
        <v>428</v>
      </c>
      <c r="I230" s="269" t="s">
        <v>2</v>
      </c>
    </row>
    <row r="231" spans="1:9" ht="13">
      <c r="A231" s="569"/>
      <c r="B231" s="316" t="s">
        <v>402</v>
      </c>
      <c r="C231" s="317" t="s">
        <v>429</v>
      </c>
      <c r="D231" s="269" t="s">
        <v>2</v>
      </c>
      <c r="E231" s="269" t="s">
        <v>2</v>
      </c>
      <c r="F231" s="318" t="s">
        <v>426</v>
      </c>
      <c r="G231" s="318" t="s">
        <v>426</v>
      </c>
      <c r="H231" s="319" t="s">
        <v>430</v>
      </c>
      <c r="I231" s="319" t="s">
        <v>430</v>
      </c>
    </row>
    <row r="232" spans="1:9" ht="20">
      <c r="A232" s="315"/>
      <c r="B232" s="314"/>
      <c r="C232" s="314"/>
      <c r="D232" s="314"/>
      <c r="E232" s="314"/>
      <c r="F232" s="314"/>
      <c r="G232" s="314"/>
      <c r="H232" s="314"/>
      <c r="I232" s="314"/>
    </row>
    <row r="233" spans="1:9" ht="20.5">
      <c r="A233" s="287" t="s">
        <v>42</v>
      </c>
      <c r="B233" s="262" t="s">
        <v>400</v>
      </c>
      <c r="C233" s="274">
        <v>46048</v>
      </c>
      <c r="D233" s="275">
        <v>46049</v>
      </c>
      <c r="E233" s="276">
        <v>46050</v>
      </c>
      <c r="F233" s="277">
        <v>46051</v>
      </c>
      <c r="G233" s="278">
        <v>46052</v>
      </c>
      <c r="H233" s="279">
        <v>46053</v>
      </c>
      <c r="I233" s="280">
        <v>46054</v>
      </c>
    </row>
    <row r="234" spans="1:9" ht="13">
      <c r="A234" s="611" t="s">
        <v>431</v>
      </c>
      <c r="B234" s="316" t="s">
        <v>401</v>
      </c>
      <c r="C234" s="317" t="s">
        <v>425</v>
      </c>
      <c r="D234" s="317" t="s">
        <v>425</v>
      </c>
      <c r="E234" s="317" t="s">
        <v>425</v>
      </c>
      <c r="F234" s="317" t="s">
        <v>425</v>
      </c>
      <c r="G234" s="317" t="s">
        <v>425</v>
      </c>
      <c r="H234" s="269" t="s">
        <v>2</v>
      </c>
      <c r="I234" s="269" t="s">
        <v>2</v>
      </c>
    </row>
    <row r="235" spans="1:9" ht="13">
      <c r="A235" s="568"/>
      <c r="B235" s="316" t="s">
        <v>404</v>
      </c>
      <c r="C235" s="317" t="s">
        <v>428</v>
      </c>
      <c r="D235" s="317" t="s">
        <v>428</v>
      </c>
      <c r="E235" s="317" t="s">
        <v>428</v>
      </c>
      <c r="F235" s="319" t="s">
        <v>427</v>
      </c>
      <c r="G235" s="319" t="s">
        <v>427</v>
      </c>
      <c r="H235" s="269" t="s">
        <v>2</v>
      </c>
      <c r="I235" s="269" t="s">
        <v>2</v>
      </c>
    </row>
    <row r="236" spans="1:9" ht="13">
      <c r="A236" s="568"/>
      <c r="B236" s="316" t="s">
        <v>405</v>
      </c>
      <c r="C236" s="318" t="s">
        <v>426</v>
      </c>
      <c r="D236" s="319" t="s">
        <v>427</v>
      </c>
      <c r="E236" s="319" t="s">
        <v>427</v>
      </c>
      <c r="F236" s="269" t="s">
        <v>2</v>
      </c>
      <c r="G236" s="269" t="s">
        <v>2</v>
      </c>
      <c r="H236" s="319" t="s">
        <v>427</v>
      </c>
      <c r="I236" s="319" t="s">
        <v>427</v>
      </c>
    </row>
    <row r="237" spans="1:9" ht="13">
      <c r="A237" s="568"/>
      <c r="B237" s="316" t="s">
        <v>403</v>
      </c>
      <c r="C237" s="269" t="s">
        <v>2</v>
      </c>
      <c r="D237" s="318" t="s">
        <v>426</v>
      </c>
      <c r="E237" s="318" t="s">
        <v>426</v>
      </c>
      <c r="F237" s="318" t="s">
        <v>426</v>
      </c>
      <c r="G237" s="318" t="s">
        <v>426</v>
      </c>
      <c r="H237" s="317" t="s">
        <v>429</v>
      </c>
      <c r="I237" s="269" t="s">
        <v>2</v>
      </c>
    </row>
    <row r="238" spans="1:9" ht="13">
      <c r="A238" s="569"/>
      <c r="B238" s="316" t="s">
        <v>402</v>
      </c>
      <c r="C238" s="319" t="s">
        <v>427</v>
      </c>
      <c r="D238" s="269" t="s">
        <v>2</v>
      </c>
      <c r="E238" s="269" t="s">
        <v>2</v>
      </c>
      <c r="F238" s="317" t="s">
        <v>428</v>
      </c>
      <c r="G238" s="317" t="s">
        <v>428</v>
      </c>
      <c r="H238" s="318" t="s">
        <v>426</v>
      </c>
      <c r="I238" s="318" t="s">
        <v>426</v>
      </c>
    </row>
    <row r="239" spans="1:9" ht="20">
      <c r="A239" s="315"/>
      <c r="B239" s="314"/>
      <c r="C239" s="314"/>
      <c r="D239" s="314"/>
      <c r="E239" s="314"/>
      <c r="F239" s="314"/>
      <c r="G239" s="314"/>
      <c r="H239" s="314"/>
      <c r="I239" s="314"/>
    </row>
    <row r="240" spans="1:9" ht="20.5">
      <c r="A240" s="287" t="s">
        <v>42</v>
      </c>
      <c r="B240" s="262" t="s">
        <v>400</v>
      </c>
      <c r="C240" s="274">
        <v>46041</v>
      </c>
      <c r="D240" s="275">
        <v>46042</v>
      </c>
      <c r="E240" s="276">
        <v>46043</v>
      </c>
      <c r="F240" s="277">
        <v>46044</v>
      </c>
      <c r="G240" s="278">
        <v>46045</v>
      </c>
      <c r="H240" s="279">
        <v>46046</v>
      </c>
      <c r="I240" s="280">
        <v>46047</v>
      </c>
    </row>
    <row r="241" spans="1:9" ht="13">
      <c r="A241" s="610" t="s">
        <v>432</v>
      </c>
      <c r="B241" s="316" t="s">
        <v>401</v>
      </c>
      <c r="C241" s="317" t="s">
        <v>425</v>
      </c>
      <c r="D241" s="317" t="s">
        <v>429</v>
      </c>
      <c r="E241" s="317" t="s">
        <v>429</v>
      </c>
      <c r="F241" s="317" t="s">
        <v>425</v>
      </c>
      <c r="G241" s="317" t="s">
        <v>425</v>
      </c>
      <c r="H241" s="269" t="s">
        <v>2</v>
      </c>
      <c r="I241" s="269" t="s">
        <v>2</v>
      </c>
    </row>
    <row r="242" spans="1:9" ht="13">
      <c r="A242" s="568"/>
      <c r="B242" s="316" t="s">
        <v>404</v>
      </c>
      <c r="C242" s="318" t="s">
        <v>426</v>
      </c>
      <c r="D242" s="319" t="s">
        <v>427</v>
      </c>
      <c r="E242" s="319" t="s">
        <v>427</v>
      </c>
      <c r="F242" s="319" t="s">
        <v>427</v>
      </c>
      <c r="G242" s="319" t="s">
        <v>427</v>
      </c>
      <c r="H242" s="269" t="s">
        <v>2</v>
      </c>
      <c r="I242" s="269" t="s">
        <v>2</v>
      </c>
    </row>
    <row r="243" spans="1:9" ht="13">
      <c r="A243" s="568"/>
      <c r="B243" s="316" t="s">
        <v>405</v>
      </c>
      <c r="C243" s="317" t="s">
        <v>428</v>
      </c>
      <c r="D243" s="318" t="s">
        <v>426</v>
      </c>
      <c r="E243" s="318" t="s">
        <v>426</v>
      </c>
      <c r="F243" s="269" t="s">
        <v>2</v>
      </c>
      <c r="G243" s="269" t="s">
        <v>2</v>
      </c>
      <c r="H243" s="317" t="s">
        <v>428</v>
      </c>
      <c r="I243" s="318" t="s">
        <v>426</v>
      </c>
    </row>
    <row r="244" spans="1:9" ht="13">
      <c r="A244" s="568"/>
      <c r="B244" s="316" t="s">
        <v>403</v>
      </c>
      <c r="C244" s="269" t="s">
        <v>2</v>
      </c>
      <c r="D244" s="317" t="s">
        <v>433</v>
      </c>
      <c r="E244" s="317" t="s">
        <v>433</v>
      </c>
      <c r="F244" s="318" t="s">
        <v>426</v>
      </c>
      <c r="G244" s="318" t="s">
        <v>426</v>
      </c>
      <c r="H244" s="318" t="s">
        <v>426</v>
      </c>
      <c r="I244" s="269" t="s">
        <v>2</v>
      </c>
    </row>
    <row r="245" spans="1:9" ht="13">
      <c r="A245" s="569"/>
      <c r="B245" s="316" t="s">
        <v>402</v>
      </c>
      <c r="C245" s="319" t="s">
        <v>427</v>
      </c>
      <c r="D245" s="269" t="s">
        <v>2</v>
      </c>
      <c r="E245" s="269" t="s">
        <v>2</v>
      </c>
      <c r="F245" s="317" t="s">
        <v>433</v>
      </c>
      <c r="G245" s="317" t="s">
        <v>433</v>
      </c>
      <c r="H245" s="319" t="s">
        <v>427</v>
      </c>
      <c r="I245" s="319" t="s">
        <v>427</v>
      </c>
    </row>
    <row r="246" spans="1:9" ht="20">
      <c r="A246" s="315"/>
      <c r="B246" s="314"/>
      <c r="C246" s="314"/>
      <c r="D246" s="314"/>
      <c r="E246" s="314"/>
      <c r="F246" s="314"/>
      <c r="G246" s="314"/>
      <c r="H246" s="314"/>
      <c r="I246" s="314"/>
    </row>
    <row r="247" spans="1:9" ht="20.5">
      <c r="A247" s="287" t="s">
        <v>42</v>
      </c>
      <c r="B247" s="262" t="s">
        <v>400</v>
      </c>
      <c r="C247" s="274">
        <v>46034</v>
      </c>
      <c r="D247" s="275">
        <v>46035</v>
      </c>
      <c r="E247" s="276">
        <v>46036</v>
      </c>
      <c r="F247" s="277">
        <v>46037</v>
      </c>
      <c r="G247" s="278">
        <v>46038</v>
      </c>
      <c r="H247" s="279">
        <v>46039</v>
      </c>
      <c r="I247" s="280">
        <v>46040</v>
      </c>
    </row>
    <row r="248" spans="1:9" ht="13">
      <c r="A248" s="611" t="s">
        <v>434</v>
      </c>
      <c r="B248" s="320" t="s">
        <v>401</v>
      </c>
      <c r="C248" s="317" t="s">
        <v>425</v>
      </c>
      <c r="D248" s="317" t="s">
        <v>429</v>
      </c>
      <c r="E248" s="317" t="s">
        <v>429</v>
      </c>
      <c r="F248" s="317" t="s">
        <v>425</v>
      </c>
      <c r="G248" s="317" t="s">
        <v>425</v>
      </c>
      <c r="H248" s="269" t="s">
        <v>2</v>
      </c>
      <c r="I248" s="269" t="s">
        <v>2</v>
      </c>
    </row>
    <row r="249" spans="1:9" ht="13">
      <c r="A249" s="568"/>
      <c r="B249" s="320" t="s">
        <v>404</v>
      </c>
      <c r="C249" s="318" t="s">
        <v>426</v>
      </c>
      <c r="D249" s="319" t="s">
        <v>427</v>
      </c>
      <c r="E249" s="319" t="s">
        <v>427</v>
      </c>
      <c r="F249" s="319" t="s">
        <v>427</v>
      </c>
      <c r="G249" s="319" t="s">
        <v>427</v>
      </c>
      <c r="H249" s="269" t="s">
        <v>2</v>
      </c>
      <c r="I249" s="269" t="s">
        <v>2</v>
      </c>
    </row>
    <row r="250" spans="1:9" ht="13">
      <c r="A250" s="568"/>
      <c r="B250" s="320" t="s">
        <v>405</v>
      </c>
      <c r="C250" s="317" t="s">
        <v>428</v>
      </c>
      <c r="D250" s="318" t="s">
        <v>426</v>
      </c>
      <c r="E250" s="318" t="s">
        <v>426</v>
      </c>
      <c r="F250" s="269" t="s">
        <v>2</v>
      </c>
      <c r="G250" s="269" t="s">
        <v>2</v>
      </c>
      <c r="H250" s="317" t="s">
        <v>428</v>
      </c>
      <c r="I250" s="318" t="s">
        <v>426</v>
      </c>
    </row>
    <row r="251" spans="1:9" ht="13">
      <c r="A251" s="568"/>
      <c r="B251" s="320" t="s">
        <v>403</v>
      </c>
      <c r="C251" s="269" t="s">
        <v>2</v>
      </c>
      <c r="D251" s="317" t="s">
        <v>433</v>
      </c>
      <c r="E251" s="317" t="s">
        <v>433</v>
      </c>
      <c r="F251" s="318" t="s">
        <v>426</v>
      </c>
      <c r="G251" s="318" t="s">
        <v>426</v>
      </c>
      <c r="H251" s="318" t="s">
        <v>426</v>
      </c>
      <c r="I251" s="269" t="s">
        <v>2</v>
      </c>
    </row>
    <row r="252" spans="1:9" ht="13">
      <c r="A252" s="569"/>
      <c r="B252" s="321" t="s">
        <v>402</v>
      </c>
      <c r="C252" s="319" t="s">
        <v>427</v>
      </c>
      <c r="D252" s="269" t="s">
        <v>2</v>
      </c>
      <c r="E252" s="269" t="s">
        <v>2</v>
      </c>
      <c r="F252" s="317" t="s">
        <v>433</v>
      </c>
      <c r="G252" s="317" t="s">
        <v>433</v>
      </c>
      <c r="H252" s="319" t="s">
        <v>427</v>
      </c>
      <c r="I252" s="319" t="s">
        <v>427</v>
      </c>
    </row>
    <row r="253" spans="1:9" ht="20">
      <c r="A253" s="315"/>
      <c r="B253" s="314"/>
      <c r="C253" s="314"/>
      <c r="D253" s="314"/>
      <c r="E253" s="314"/>
      <c r="F253" s="314"/>
      <c r="G253" s="314"/>
      <c r="H253" s="314"/>
      <c r="I253" s="314"/>
    </row>
    <row r="254" spans="1:9" ht="20.5">
      <c r="A254" s="287" t="s">
        <v>42</v>
      </c>
      <c r="B254" s="262" t="s">
        <v>400</v>
      </c>
      <c r="C254" s="274">
        <v>46020</v>
      </c>
      <c r="D254" s="275">
        <v>46021</v>
      </c>
      <c r="E254" s="276">
        <v>46022</v>
      </c>
      <c r="F254" s="277">
        <v>46023</v>
      </c>
      <c r="G254" s="278">
        <v>46024</v>
      </c>
      <c r="H254" s="279">
        <v>46025</v>
      </c>
      <c r="I254" s="280">
        <v>46026</v>
      </c>
    </row>
    <row r="255" spans="1:9" ht="13">
      <c r="A255" s="610" t="s">
        <v>435</v>
      </c>
      <c r="B255" s="320" t="s">
        <v>436</v>
      </c>
      <c r="C255" s="318" t="s">
        <v>426</v>
      </c>
      <c r="D255" s="269" t="s">
        <v>2</v>
      </c>
      <c r="E255" s="269" t="s">
        <v>2</v>
      </c>
      <c r="F255" s="322" t="s">
        <v>130</v>
      </c>
      <c r="G255" s="318" t="s">
        <v>426</v>
      </c>
      <c r="H255" s="318" t="s">
        <v>437</v>
      </c>
      <c r="I255" s="318" t="s">
        <v>437</v>
      </c>
    </row>
    <row r="256" spans="1:9" ht="13">
      <c r="A256" s="568"/>
      <c r="B256" s="320" t="s">
        <v>404</v>
      </c>
      <c r="C256" s="317" t="s">
        <v>428</v>
      </c>
      <c r="D256" s="317" t="s">
        <v>428</v>
      </c>
      <c r="E256" s="317" t="s">
        <v>428</v>
      </c>
      <c r="F256" s="322" t="s">
        <v>130</v>
      </c>
      <c r="G256" s="317" t="s">
        <v>428</v>
      </c>
      <c r="H256" s="269" t="s">
        <v>2</v>
      </c>
      <c r="I256" s="269" t="s">
        <v>2</v>
      </c>
    </row>
    <row r="257" spans="1:9" ht="13">
      <c r="A257" s="568"/>
      <c r="B257" s="320" t="s">
        <v>405</v>
      </c>
      <c r="C257" s="319" t="s">
        <v>427</v>
      </c>
      <c r="D257" s="319" t="s">
        <v>427</v>
      </c>
      <c r="E257" s="269" t="s">
        <v>2</v>
      </c>
      <c r="F257" s="322" t="s">
        <v>130</v>
      </c>
      <c r="G257" s="269" t="s">
        <v>2</v>
      </c>
      <c r="H257" s="319" t="s">
        <v>438</v>
      </c>
      <c r="I257" s="319" t="s">
        <v>439</v>
      </c>
    </row>
    <row r="258" spans="1:9" ht="13">
      <c r="A258" s="568"/>
      <c r="B258" s="320" t="s">
        <v>403</v>
      </c>
      <c r="C258" s="269" t="s">
        <v>2</v>
      </c>
      <c r="D258" s="318" t="s">
        <v>426</v>
      </c>
      <c r="E258" s="318" t="s">
        <v>426</v>
      </c>
      <c r="F258" s="322" t="s">
        <v>130</v>
      </c>
      <c r="G258" s="319" t="s">
        <v>427</v>
      </c>
      <c r="H258" s="317" t="s">
        <v>428</v>
      </c>
      <c r="I258" s="269" t="s">
        <v>2</v>
      </c>
    </row>
    <row r="259" spans="1:9" ht="13">
      <c r="A259" s="569"/>
      <c r="B259" s="321" t="s">
        <v>402</v>
      </c>
      <c r="C259" s="317" t="s">
        <v>429</v>
      </c>
      <c r="D259" s="317" t="s">
        <v>429</v>
      </c>
      <c r="E259" s="319" t="s">
        <v>427</v>
      </c>
      <c r="F259" s="322" t="s">
        <v>130</v>
      </c>
      <c r="G259" s="317" t="s">
        <v>429</v>
      </c>
      <c r="H259" s="269" t="s">
        <v>2</v>
      </c>
      <c r="I259" s="269" t="s">
        <v>2</v>
      </c>
    </row>
    <row r="260" spans="1:9" ht="20">
      <c r="A260" s="315"/>
      <c r="B260" s="314"/>
      <c r="C260" s="314"/>
      <c r="D260" s="314"/>
      <c r="E260" s="314"/>
      <c r="F260" s="314"/>
      <c r="G260" s="314"/>
      <c r="H260" s="314"/>
      <c r="I260" s="314"/>
    </row>
    <row r="261" spans="1:9" ht="20.5">
      <c r="A261" s="287" t="s">
        <v>42</v>
      </c>
      <c r="B261" s="262" t="s">
        <v>400</v>
      </c>
      <c r="C261" s="274">
        <v>46013</v>
      </c>
      <c r="D261" s="275">
        <v>46014</v>
      </c>
      <c r="E261" s="276">
        <v>46015</v>
      </c>
      <c r="F261" s="277">
        <v>46016</v>
      </c>
      <c r="G261" s="278">
        <v>46017</v>
      </c>
      <c r="H261" s="279">
        <v>46018</v>
      </c>
      <c r="I261" s="280">
        <v>46019</v>
      </c>
    </row>
    <row r="262" spans="1:9" ht="13">
      <c r="A262" s="611" t="s">
        <v>440</v>
      </c>
      <c r="B262" s="320" t="s">
        <v>436</v>
      </c>
      <c r="C262" s="318" t="s">
        <v>426</v>
      </c>
      <c r="D262" s="318" t="s">
        <v>426</v>
      </c>
      <c r="E262" s="269" t="s">
        <v>2</v>
      </c>
      <c r="F262" s="269" t="s">
        <v>2</v>
      </c>
      <c r="G262" s="318" t="s">
        <v>426</v>
      </c>
      <c r="H262" s="318" t="s">
        <v>426</v>
      </c>
      <c r="I262" s="318" t="s">
        <v>437</v>
      </c>
    </row>
    <row r="263" spans="1:9" ht="13">
      <c r="A263" s="568"/>
      <c r="B263" s="320" t="s">
        <v>404</v>
      </c>
      <c r="C263" s="317" t="s">
        <v>428</v>
      </c>
      <c r="D263" s="317" t="s">
        <v>428</v>
      </c>
      <c r="E263" s="317" t="s">
        <v>428</v>
      </c>
      <c r="F263" s="323" t="s">
        <v>27</v>
      </c>
      <c r="G263" s="317" t="s">
        <v>428</v>
      </c>
      <c r="H263" s="269" t="s">
        <v>2</v>
      </c>
      <c r="I263" s="269" t="s">
        <v>2</v>
      </c>
    </row>
    <row r="264" spans="1:9" ht="13">
      <c r="A264" s="568"/>
      <c r="B264" s="320" t="s">
        <v>405</v>
      </c>
      <c r="C264" s="319" t="s">
        <v>427</v>
      </c>
      <c r="D264" s="319" t="s">
        <v>427</v>
      </c>
      <c r="E264" s="319" t="s">
        <v>427</v>
      </c>
      <c r="F264" s="269" t="s">
        <v>2</v>
      </c>
      <c r="G264" s="269" t="s">
        <v>2</v>
      </c>
      <c r="H264" s="319" t="s">
        <v>427</v>
      </c>
      <c r="I264" s="319" t="s">
        <v>439</v>
      </c>
    </row>
    <row r="265" spans="1:9" ht="13">
      <c r="A265" s="568"/>
      <c r="B265" s="320" t="s">
        <v>403</v>
      </c>
      <c r="C265" s="317" t="s">
        <v>429</v>
      </c>
      <c r="D265" s="317" t="s">
        <v>429</v>
      </c>
      <c r="E265" s="318" t="s">
        <v>426</v>
      </c>
      <c r="F265" s="269" t="s">
        <v>2</v>
      </c>
      <c r="G265" s="319" t="s">
        <v>427</v>
      </c>
      <c r="H265" s="317" t="s">
        <v>428</v>
      </c>
      <c r="I265" s="269" t="s">
        <v>2</v>
      </c>
    </row>
    <row r="266" spans="1:9" ht="13">
      <c r="A266" s="569"/>
      <c r="B266" s="320" t="s">
        <v>402</v>
      </c>
      <c r="C266" s="317" t="s">
        <v>433</v>
      </c>
      <c r="D266" s="317" t="s">
        <v>433</v>
      </c>
      <c r="E266" s="317" t="s">
        <v>433</v>
      </c>
      <c r="F266" s="323" t="s">
        <v>27</v>
      </c>
      <c r="G266" s="317" t="s">
        <v>433</v>
      </c>
      <c r="H266" s="269" t="s">
        <v>2</v>
      </c>
      <c r="I266" s="269" t="s">
        <v>2</v>
      </c>
    </row>
    <row r="267" spans="1:9" ht="20">
      <c r="A267" s="315"/>
      <c r="B267" s="314"/>
      <c r="C267" s="314"/>
      <c r="D267" s="314"/>
      <c r="E267" s="314"/>
      <c r="F267" s="314"/>
      <c r="G267" s="314"/>
      <c r="H267" s="314"/>
      <c r="I267" s="314"/>
    </row>
    <row r="268" spans="1:9" ht="20.5">
      <c r="A268" s="287" t="s">
        <v>42</v>
      </c>
      <c r="B268" s="262" t="s">
        <v>400</v>
      </c>
      <c r="C268" s="274">
        <v>46006</v>
      </c>
      <c r="D268" s="275">
        <v>46007</v>
      </c>
      <c r="E268" s="276">
        <v>46008</v>
      </c>
      <c r="F268" s="277">
        <v>46009</v>
      </c>
      <c r="G268" s="278">
        <v>46010</v>
      </c>
      <c r="H268" s="279">
        <v>46011</v>
      </c>
      <c r="I268" s="280">
        <v>46012</v>
      </c>
    </row>
    <row r="269" spans="1:9" ht="13">
      <c r="A269" s="610" t="s">
        <v>441</v>
      </c>
      <c r="B269" s="320" t="s">
        <v>436</v>
      </c>
      <c r="C269" s="318" t="s">
        <v>426</v>
      </c>
      <c r="D269" s="269" t="s">
        <v>2</v>
      </c>
      <c r="E269" s="269" t="s">
        <v>2</v>
      </c>
      <c r="F269" s="318" t="s">
        <v>437</v>
      </c>
      <c r="G269" s="318" t="s">
        <v>426</v>
      </c>
      <c r="H269" s="318" t="s">
        <v>437</v>
      </c>
      <c r="I269" s="318" t="s">
        <v>437</v>
      </c>
    </row>
    <row r="270" spans="1:9" ht="13">
      <c r="A270" s="568"/>
      <c r="B270" s="320" t="s">
        <v>404</v>
      </c>
      <c r="C270" s="317" t="s">
        <v>428</v>
      </c>
      <c r="D270" s="317" t="s">
        <v>428</v>
      </c>
      <c r="E270" s="317" t="s">
        <v>428</v>
      </c>
      <c r="F270" s="317" t="s">
        <v>428</v>
      </c>
      <c r="G270" s="317" t="s">
        <v>428</v>
      </c>
      <c r="H270" s="269" t="s">
        <v>2</v>
      </c>
      <c r="I270" s="269" t="s">
        <v>2</v>
      </c>
    </row>
    <row r="271" spans="1:9" ht="13">
      <c r="A271" s="568"/>
      <c r="B271" s="320" t="s">
        <v>405</v>
      </c>
      <c r="C271" s="319" t="s">
        <v>427</v>
      </c>
      <c r="D271" s="319" t="s">
        <v>427</v>
      </c>
      <c r="E271" s="319" t="s">
        <v>427</v>
      </c>
      <c r="F271" s="269" t="s">
        <v>2</v>
      </c>
      <c r="G271" s="269" t="s">
        <v>2</v>
      </c>
      <c r="H271" s="319" t="s">
        <v>438</v>
      </c>
      <c r="I271" s="319" t="s">
        <v>439</v>
      </c>
    </row>
    <row r="272" spans="1:9" ht="13">
      <c r="A272" s="568"/>
      <c r="B272" s="320" t="s">
        <v>403</v>
      </c>
      <c r="C272" s="269" t="s">
        <v>2</v>
      </c>
      <c r="D272" s="318" t="s">
        <v>426</v>
      </c>
      <c r="E272" s="318" t="s">
        <v>426</v>
      </c>
      <c r="F272" s="319" t="s">
        <v>427</v>
      </c>
      <c r="G272" s="319" t="s">
        <v>427</v>
      </c>
      <c r="H272" s="317" t="s">
        <v>428</v>
      </c>
      <c r="I272" s="269" t="s">
        <v>2</v>
      </c>
    </row>
    <row r="273" spans="1:9" ht="13">
      <c r="A273" s="568"/>
      <c r="B273" s="321" t="s">
        <v>442</v>
      </c>
      <c r="C273" s="317" t="s">
        <v>429</v>
      </c>
      <c r="D273" s="317" t="s">
        <v>429</v>
      </c>
      <c r="E273" s="317" t="s">
        <v>429</v>
      </c>
      <c r="F273" s="317" t="s">
        <v>429</v>
      </c>
      <c r="G273" s="317" t="s">
        <v>429</v>
      </c>
      <c r="H273" s="269" t="s">
        <v>2</v>
      </c>
      <c r="I273" s="269" t="s">
        <v>2</v>
      </c>
    </row>
    <row r="274" spans="1:9" ht="13">
      <c r="A274" s="569"/>
      <c r="B274" s="320" t="s">
        <v>402</v>
      </c>
      <c r="C274" s="317" t="s">
        <v>433</v>
      </c>
      <c r="D274" s="317" t="s">
        <v>443</v>
      </c>
      <c r="E274" s="317" t="s">
        <v>433</v>
      </c>
      <c r="F274" s="317" t="s">
        <v>433</v>
      </c>
      <c r="G274" s="317" t="s">
        <v>433</v>
      </c>
      <c r="H274" s="269" t="s">
        <v>2</v>
      </c>
      <c r="I274" s="269" t="s">
        <v>2</v>
      </c>
    </row>
    <row r="275" spans="1:9" ht="20">
      <c r="A275" s="315"/>
      <c r="B275" s="314"/>
      <c r="C275" s="314"/>
      <c r="D275" s="314"/>
      <c r="E275" s="314"/>
      <c r="F275" s="314"/>
      <c r="G275" s="314"/>
      <c r="H275" s="314"/>
      <c r="I275" s="314"/>
    </row>
    <row r="276" spans="1:9" ht="20.5">
      <c r="A276" s="287" t="s">
        <v>42</v>
      </c>
      <c r="B276" s="262" t="s">
        <v>400</v>
      </c>
      <c r="C276" s="274">
        <v>45999</v>
      </c>
      <c r="D276" s="275">
        <v>46000</v>
      </c>
      <c r="E276" s="276">
        <v>46001</v>
      </c>
      <c r="F276" s="277">
        <v>46002</v>
      </c>
      <c r="G276" s="278">
        <v>46003</v>
      </c>
      <c r="H276" s="279">
        <v>46004</v>
      </c>
      <c r="I276" s="280">
        <v>46005</v>
      </c>
    </row>
    <row r="277" spans="1:9" ht="13">
      <c r="A277" s="611" t="s">
        <v>444</v>
      </c>
      <c r="B277" s="320" t="s">
        <v>436</v>
      </c>
      <c r="C277" s="318" t="s">
        <v>426</v>
      </c>
      <c r="D277" s="269" t="s">
        <v>2</v>
      </c>
      <c r="E277" s="269" t="s">
        <v>2</v>
      </c>
      <c r="F277" s="318" t="s">
        <v>426</v>
      </c>
      <c r="G277" s="318" t="s">
        <v>426</v>
      </c>
      <c r="H277" s="318" t="s">
        <v>426</v>
      </c>
      <c r="I277" s="318" t="s">
        <v>437</v>
      </c>
    </row>
    <row r="278" spans="1:9" ht="13">
      <c r="A278" s="568"/>
      <c r="B278" s="320" t="s">
        <v>404</v>
      </c>
      <c r="C278" s="317" t="s">
        <v>428</v>
      </c>
      <c r="D278" s="317" t="s">
        <v>428</v>
      </c>
      <c r="E278" s="317" t="s">
        <v>428</v>
      </c>
      <c r="F278" s="317" t="s">
        <v>428</v>
      </c>
      <c r="G278" s="317" t="s">
        <v>428</v>
      </c>
      <c r="H278" s="269" t="s">
        <v>2</v>
      </c>
      <c r="I278" s="269" t="s">
        <v>2</v>
      </c>
    </row>
    <row r="279" spans="1:9" ht="13">
      <c r="A279" s="568"/>
      <c r="B279" s="320" t="s">
        <v>405</v>
      </c>
      <c r="C279" s="319" t="s">
        <v>427</v>
      </c>
      <c r="D279" s="319" t="s">
        <v>427</v>
      </c>
      <c r="E279" s="319" t="s">
        <v>427</v>
      </c>
      <c r="F279" s="269" t="s">
        <v>2</v>
      </c>
      <c r="G279" s="269" t="s">
        <v>2</v>
      </c>
      <c r="H279" s="319" t="s">
        <v>427</v>
      </c>
      <c r="I279" s="319" t="s">
        <v>438</v>
      </c>
    </row>
    <row r="280" spans="1:9" ht="13">
      <c r="A280" s="568"/>
      <c r="B280" s="320" t="s">
        <v>403</v>
      </c>
      <c r="C280" s="269" t="s">
        <v>2</v>
      </c>
      <c r="D280" s="318" t="s">
        <v>426</v>
      </c>
      <c r="E280" s="318" t="s">
        <v>426</v>
      </c>
      <c r="F280" s="319" t="s">
        <v>427</v>
      </c>
      <c r="G280" s="319" t="s">
        <v>427</v>
      </c>
      <c r="H280" s="317" t="s">
        <v>428</v>
      </c>
      <c r="I280" s="269" t="s">
        <v>2</v>
      </c>
    </row>
    <row r="281" spans="1:9" ht="13">
      <c r="A281" s="569"/>
      <c r="B281" s="320" t="s">
        <v>442</v>
      </c>
      <c r="C281" s="317" t="s">
        <v>433</v>
      </c>
      <c r="D281" s="269" t="s">
        <v>2</v>
      </c>
      <c r="E281" s="269" t="s">
        <v>2</v>
      </c>
      <c r="F281" s="324" t="s">
        <v>429</v>
      </c>
      <c r="G281" s="317" t="s">
        <v>429</v>
      </c>
      <c r="H281" s="317" t="s">
        <v>429</v>
      </c>
      <c r="I281" s="317" t="s">
        <v>445</v>
      </c>
    </row>
    <row r="282" spans="1:9" ht="20">
      <c r="A282" s="315"/>
      <c r="B282" s="314"/>
      <c r="C282" s="314"/>
      <c r="D282" s="314"/>
      <c r="E282" s="314"/>
      <c r="F282" s="314"/>
      <c r="G282" s="314"/>
      <c r="H282" s="314"/>
      <c r="I282" s="314"/>
    </row>
    <row r="283" spans="1:9" ht="20.5">
      <c r="A283" s="287" t="s">
        <v>42</v>
      </c>
      <c r="B283" s="262" t="s">
        <v>400</v>
      </c>
      <c r="C283" s="274">
        <v>45992</v>
      </c>
      <c r="D283" s="275">
        <v>45993</v>
      </c>
      <c r="E283" s="276">
        <v>45994</v>
      </c>
      <c r="F283" s="277">
        <v>45995</v>
      </c>
      <c r="G283" s="278">
        <v>45996</v>
      </c>
      <c r="H283" s="279">
        <v>45997</v>
      </c>
      <c r="I283" s="280">
        <v>45998</v>
      </c>
    </row>
    <row r="284" spans="1:9" ht="13">
      <c r="A284" s="610" t="s">
        <v>446</v>
      </c>
      <c r="B284" s="320" t="s">
        <v>436</v>
      </c>
      <c r="C284" s="318" t="s">
        <v>426</v>
      </c>
      <c r="D284" s="318" t="s">
        <v>426</v>
      </c>
      <c r="E284" s="318" t="s">
        <v>426</v>
      </c>
      <c r="F284" s="318" t="s">
        <v>426</v>
      </c>
      <c r="G284" s="318" t="s">
        <v>426</v>
      </c>
      <c r="H284" s="269" t="s">
        <v>2</v>
      </c>
      <c r="I284" s="269" t="s">
        <v>2</v>
      </c>
    </row>
    <row r="285" spans="1:9" ht="13">
      <c r="A285" s="568"/>
      <c r="B285" s="320" t="s">
        <v>404</v>
      </c>
      <c r="C285" s="269" t="s">
        <v>2</v>
      </c>
      <c r="D285" s="317" t="s">
        <v>433</v>
      </c>
      <c r="E285" s="317" t="s">
        <v>433</v>
      </c>
      <c r="F285" s="317" t="s">
        <v>433</v>
      </c>
      <c r="G285" s="317" t="s">
        <v>433</v>
      </c>
      <c r="H285" s="317" t="s">
        <v>433</v>
      </c>
      <c r="I285" s="269" t="s">
        <v>2</v>
      </c>
    </row>
    <row r="286" spans="1:9" ht="13">
      <c r="A286" s="568"/>
      <c r="B286" s="320" t="s">
        <v>405</v>
      </c>
      <c r="C286" s="319" t="s">
        <v>427</v>
      </c>
      <c r="D286" s="319" t="s">
        <v>427</v>
      </c>
      <c r="E286" s="319" t="s">
        <v>427</v>
      </c>
      <c r="F286" s="319" t="s">
        <v>427</v>
      </c>
      <c r="G286" s="269" t="s">
        <v>2</v>
      </c>
      <c r="H286" s="269" t="s">
        <v>2</v>
      </c>
      <c r="I286" s="319" t="s">
        <v>438</v>
      </c>
    </row>
    <row r="287" spans="1:9" ht="13">
      <c r="A287" s="568"/>
      <c r="B287" s="320" t="s">
        <v>403</v>
      </c>
      <c r="C287" s="317" t="s">
        <v>433</v>
      </c>
      <c r="D287" s="269" t="s">
        <v>2</v>
      </c>
      <c r="E287" s="317" t="s">
        <v>429</v>
      </c>
      <c r="F287" s="317" t="s">
        <v>429</v>
      </c>
      <c r="G287" s="319" t="s">
        <v>427</v>
      </c>
      <c r="H287" s="319" t="s">
        <v>427</v>
      </c>
      <c r="I287" s="269" t="s">
        <v>2</v>
      </c>
    </row>
    <row r="288" spans="1:9" ht="13">
      <c r="A288" s="569"/>
      <c r="B288" s="320" t="s">
        <v>442</v>
      </c>
      <c r="C288" s="317" t="s">
        <v>429</v>
      </c>
      <c r="D288" s="317" t="s">
        <v>429</v>
      </c>
      <c r="E288" s="269" t="s">
        <v>2</v>
      </c>
      <c r="F288" s="269" t="s">
        <v>2</v>
      </c>
      <c r="G288" s="317" t="s">
        <v>447</v>
      </c>
      <c r="H288" s="325" t="s">
        <v>448</v>
      </c>
      <c r="I288" s="325" t="s">
        <v>449</v>
      </c>
    </row>
    <row r="289" spans="1:9" ht="20">
      <c r="A289" s="315"/>
      <c r="B289" s="314"/>
      <c r="C289" s="314"/>
      <c r="D289" s="314"/>
      <c r="E289" s="314"/>
      <c r="F289" s="314"/>
      <c r="G289" s="314"/>
      <c r="H289" s="314"/>
      <c r="I289" s="314"/>
    </row>
    <row r="290" spans="1:9" ht="20.5">
      <c r="A290" s="287" t="s">
        <v>42</v>
      </c>
      <c r="B290" s="262" t="s">
        <v>400</v>
      </c>
      <c r="C290" s="274">
        <v>45985</v>
      </c>
      <c r="D290" s="275">
        <v>45986</v>
      </c>
      <c r="E290" s="276">
        <v>45987</v>
      </c>
      <c r="F290" s="277">
        <v>45988</v>
      </c>
      <c r="G290" s="278">
        <v>45989</v>
      </c>
      <c r="H290" s="279">
        <v>45990</v>
      </c>
      <c r="I290" s="280">
        <v>45991</v>
      </c>
    </row>
    <row r="291" spans="1:9" ht="13">
      <c r="A291" s="611" t="s">
        <v>450</v>
      </c>
      <c r="B291" s="320" t="s">
        <v>436</v>
      </c>
      <c r="C291" s="318" t="s">
        <v>426</v>
      </c>
      <c r="D291" s="318" t="s">
        <v>451</v>
      </c>
      <c r="E291" s="318" t="s">
        <v>426</v>
      </c>
      <c r="F291" s="318" t="s">
        <v>426</v>
      </c>
      <c r="G291" s="318" t="s">
        <v>451</v>
      </c>
      <c r="H291" s="269" t="s">
        <v>2</v>
      </c>
      <c r="I291" s="269" t="s">
        <v>2</v>
      </c>
    </row>
    <row r="292" spans="1:9" ht="13">
      <c r="A292" s="568"/>
      <c r="B292" s="320" t="s">
        <v>404</v>
      </c>
      <c r="C292" s="317" t="s">
        <v>452</v>
      </c>
      <c r="D292" s="317" t="s">
        <v>452</v>
      </c>
      <c r="E292" s="317" t="s">
        <v>452</v>
      </c>
      <c r="F292" s="317" t="s">
        <v>433</v>
      </c>
      <c r="G292" s="317" t="s">
        <v>445</v>
      </c>
      <c r="H292" s="326" t="s">
        <v>453</v>
      </c>
      <c r="I292" s="269" t="s">
        <v>2</v>
      </c>
    </row>
    <row r="293" spans="1:9" ht="13">
      <c r="A293" s="568"/>
      <c r="B293" s="320" t="s">
        <v>405</v>
      </c>
      <c r="C293" s="317" t="s">
        <v>429</v>
      </c>
      <c r="D293" s="317" t="s">
        <v>429</v>
      </c>
      <c r="E293" s="319" t="s">
        <v>427</v>
      </c>
      <c r="F293" s="269" t="s">
        <v>2</v>
      </c>
      <c r="G293" s="269" t="s">
        <v>2</v>
      </c>
      <c r="H293" s="318" t="s">
        <v>426</v>
      </c>
      <c r="I293" s="319" t="s">
        <v>454</v>
      </c>
    </row>
    <row r="294" spans="1:9" ht="13">
      <c r="A294" s="568"/>
      <c r="B294" s="320" t="s">
        <v>403</v>
      </c>
      <c r="C294" s="319" t="s">
        <v>427</v>
      </c>
      <c r="D294" s="319" t="s">
        <v>427</v>
      </c>
      <c r="E294" s="326" t="s">
        <v>455</v>
      </c>
      <c r="F294" s="319" t="s">
        <v>427</v>
      </c>
      <c r="G294" s="319" t="s">
        <v>427</v>
      </c>
      <c r="H294" s="319" t="s">
        <v>427</v>
      </c>
      <c r="I294" s="269" t="s">
        <v>2</v>
      </c>
    </row>
    <row r="295" spans="1:9" ht="13">
      <c r="A295" s="569"/>
      <c r="B295" s="320" t="s">
        <v>442</v>
      </c>
      <c r="C295" s="269" t="s">
        <v>2</v>
      </c>
      <c r="D295" s="318" t="s">
        <v>456</v>
      </c>
      <c r="E295" s="317" t="s">
        <v>447</v>
      </c>
      <c r="F295" s="317" t="s">
        <v>447</v>
      </c>
      <c r="G295" s="317" t="s">
        <v>447</v>
      </c>
      <c r="H295" s="269" t="s">
        <v>2</v>
      </c>
      <c r="I295" s="318" t="s">
        <v>451</v>
      </c>
    </row>
    <row r="296" spans="1:9" ht="20">
      <c r="A296" s="315"/>
      <c r="B296" s="314"/>
      <c r="C296" s="314"/>
      <c r="D296" s="314"/>
      <c r="E296" s="314"/>
      <c r="F296" s="314"/>
      <c r="G296" s="314"/>
      <c r="H296" s="314"/>
      <c r="I296" s="314"/>
    </row>
    <row r="297" spans="1:9" ht="20.5">
      <c r="A297" s="287" t="s">
        <v>42</v>
      </c>
      <c r="B297" s="262" t="s">
        <v>400</v>
      </c>
      <c r="C297" s="274">
        <v>45978</v>
      </c>
      <c r="D297" s="275">
        <v>45979</v>
      </c>
      <c r="E297" s="276">
        <v>45980</v>
      </c>
      <c r="F297" s="277">
        <v>45981</v>
      </c>
      <c r="G297" s="278">
        <v>45982</v>
      </c>
      <c r="H297" s="279">
        <v>45983</v>
      </c>
      <c r="I297" s="280">
        <v>45984</v>
      </c>
    </row>
    <row r="298" spans="1:9" ht="13">
      <c r="A298" s="610" t="s">
        <v>457</v>
      </c>
      <c r="B298" s="320" t="s">
        <v>436</v>
      </c>
      <c r="C298" s="318" t="s">
        <v>426</v>
      </c>
      <c r="D298" s="318" t="s">
        <v>426</v>
      </c>
      <c r="E298" s="318" t="s">
        <v>437</v>
      </c>
      <c r="F298" s="318" t="s">
        <v>437</v>
      </c>
      <c r="G298" s="318" t="s">
        <v>437</v>
      </c>
      <c r="H298" s="269" t="s">
        <v>2</v>
      </c>
      <c r="I298" s="269" t="s">
        <v>2</v>
      </c>
    </row>
    <row r="299" spans="1:9" ht="13">
      <c r="A299" s="568"/>
      <c r="B299" s="320" t="s">
        <v>404</v>
      </c>
      <c r="C299" s="317" t="s">
        <v>433</v>
      </c>
      <c r="D299" s="317" t="s">
        <v>443</v>
      </c>
      <c r="E299" s="317" t="s">
        <v>433</v>
      </c>
      <c r="F299" s="317" t="s">
        <v>443</v>
      </c>
      <c r="G299" s="317" t="s">
        <v>433</v>
      </c>
      <c r="H299" s="269" t="s">
        <v>2</v>
      </c>
      <c r="I299" s="269" t="s">
        <v>2</v>
      </c>
    </row>
    <row r="300" spans="1:9" ht="13">
      <c r="A300" s="568"/>
      <c r="B300" s="320" t="s">
        <v>405</v>
      </c>
      <c r="C300" s="319" t="s">
        <v>427</v>
      </c>
      <c r="D300" s="319" t="s">
        <v>454</v>
      </c>
      <c r="E300" s="317" t="s">
        <v>458</v>
      </c>
      <c r="F300" s="269" t="s">
        <v>2</v>
      </c>
      <c r="G300" s="269" t="s">
        <v>2</v>
      </c>
      <c r="H300" s="318" t="s">
        <v>426</v>
      </c>
      <c r="I300" s="318" t="s">
        <v>451</v>
      </c>
    </row>
    <row r="301" spans="1:9" ht="13">
      <c r="A301" s="568"/>
      <c r="B301" s="320" t="s">
        <v>403</v>
      </c>
      <c r="C301" s="269" t="s">
        <v>2</v>
      </c>
      <c r="D301" s="317" t="s">
        <v>429</v>
      </c>
      <c r="E301" s="319" t="s">
        <v>427</v>
      </c>
      <c r="F301" s="317" t="s">
        <v>429</v>
      </c>
      <c r="G301" s="317" t="s">
        <v>459</v>
      </c>
      <c r="H301" s="317" t="s">
        <v>459</v>
      </c>
      <c r="I301" s="269" t="s">
        <v>2</v>
      </c>
    </row>
    <row r="302" spans="1:9" ht="13">
      <c r="A302" s="569"/>
      <c r="B302" s="320" t="s">
        <v>442</v>
      </c>
      <c r="C302" s="317" t="s">
        <v>459</v>
      </c>
      <c r="D302" s="269" t="s">
        <v>2</v>
      </c>
      <c r="E302" s="269" t="s">
        <v>2</v>
      </c>
      <c r="F302" s="319" t="s">
        <v>454</v>
      </c>
      <c r="G302" s="319" t="s">
        <v>427</v>
      </c>
      <c r="H302" s="319" t="s">
        <v>454</v>
      </c>
      <c r="I302" s="319" t="s">
        <v>454</v>
      </c>
    </row>
    <row r="303" spans="1:9" ht="20">
      <c r="A303" s="315"/>
      <c r="B303" s="314"/>
      <c r="C303" s="314"/>
      <c r="D303" s="314"/>
      <c r="E303" s="314"/>
      <c r="F303" s="314"/>
      <c r="G303" s="314"/>
      <c r="H303" s="314"/>
      <c r="I303" s="314"/>
    </row>
    <row r="304" spans="1:9" ht="20.5">
      <c r="A304" s="287" t="s">
        <v>42</v>
      </c>
      <c r="B304" s="262" t="s">
        <v>400</v>
      </c>
      <c r="C304" s="274">
        <v>45971</v>
      </c>
      <c r="D304" s="275">
        <v>45972</v>
      </c>
      <c r="E304" s="276">
        <v>45973</v>
      </c>
      <c r="F304" s="277">
        <v>45974</v>
      </c>
      <c r="G304" s="278">
        <v>45975</v>
      </c>
      <c r="H304" s="279">
        <v>45976</v>
      </c>
      <c r="I304" s="280">
        <v>45977</v>
      </c>
    </row>
    <row r="305" spans="1:9" ht="13">
      <c r="A305" s="611" t="s">
        <v>460</v>
      </c>
      <c r="B305" s="320" t="s">
        <v>436</v>
      </c>
      <c r="C305" s="318" t="s">
        <v>426</v>
      </c>
      <c r="D305" s="318" t="s">
        <v>426</v>
      </c>
      <c r="E305" s="318" t="s">
        <v>451</v>
      </c>
      <c r="F305" s="318" t="s">
        <v>451</v>
      </c>
      <c r="G305" s="318" t="s">
        <v>451</v>
      </c>
      <c r="H305" s="269" t="s">
        <v>2</v>
      </c>
      <c r="I305" s="269" t="s">
        <v>2</v>
      </c>
    </row>
    <row r="306" spans="1:9" ht="13">
      <c r="A306" s="568"/>
      <c r="B306" s="320" t="s">
        <v>404</v>
      </c>
      <c r="C306" s="317" t="s">
        <v>433</v>
      </c>
      <c r="D306" s="317" t="s">
        <v>433</v>
      </c>
      <c r="E306" s="317" t="s">
        <v>433</v>
      </c>
      <c r="F306" s="317" t="s">
        <v>433</v>
      </c>
      <c r="G306" s="317" t="s">
        <v>433</v>
      </c>
      <c r="H306" s="269" t="s">
        <v>2</v>
      </c>
      <c r="I306" s="269" t="s">
        <v>2</v>
      </c>
    </row>
    <row r="307" spans="1:9" ht="13">
      <c r="A307" s="568"/>
      <c r="B307" s="320" t="s">
        <v>405</v>
      </c>
      <c r="C307" s="325" t="s">
        <v>461</v>
      </c>
      <c r="D307" s="325" t="s">
        <v>462</v>
      </c>
      <c r="E307" s="325" t="s">
        <v>462</v>
      </c>
      <c r="F307" s="269" t="s">
        <v>2</v>
      </c>
      <c r="G307" s="269" t="s">
        <v>2</v>
      </c>
      <c r="H307" s="319" t="s">
        <v>427</v>
      </c>
      <c r="I307" s="319" t="s">
        <v>454</v>
      </c>
    </row>
    <row r="308" spans="1:9" ht="13">
      <c r="A308" s="568"/>
      <c r="B308" s="320" t="s">
        <v>403</v>
      </c>
      <c r="C308" s="269" t="s">
        <v>2</v>
      </c>
      <c r="D308" s="319" t="s">
        <v>427</v>
      </c>
      <c r="E308" s="319" t="s">
        <v>427</v>
      </c>
      <c r="F308" s="319" t="s">
        <v>427</v>
      </c>
      <c r="G308" s="319" t="s">
        <v>427</v>
      </c>
      <c r="H308" s="317" t="s">
        <v>463</v>
      </c>
      <c r="I308" s="269" t="s">
        <v>2</v>
      </c>
    </row>
    <row r="309" spans="1:9" ht="13">
      <c r="A309" s="569"/>
      <c r="B309" s="320" t="s">
        <v>442</v>
      </c>
      <c r="C309" s="319" t="s">
        <v>427</v>
      </c>
      <c r="D309" s="269" t="s">
        <v>2</v>
      </c>
      <c r="E309" s="269" t="s">
        <v>2</v>
      </c>
      <c r="F309" s="317" t="s">
        <v>445</v>
      </c>
      <c r="G309" s="317" t="s">
        <v>445</v>
      </c>
      <c r="H309" s="318" t="s">
        <v>437</v>
      </c>
      <c r="I309" s="318" t="s">
        <v>437</v>
      </c>
    </row>
    <row r="310" spans="1:9" ht="20">
      <c r="A310" s="315"/>
      <c r="B310" s="314"/>
      <c r="C310" s="314"/>
      <c r="D310" s="314"/>
      <c r="E310" s="314"/>
      <c r="F310" s="314"/>
      <c r="G310" s="314"/>
      <c r="H310" s="314"/>
      <c r="I310" s="314"/>
    </row>
    <row r="311" spans="1:9" ht="20.5">
      <c r="A311" s="287" t="s">
        <v>42</v>
      </c>
      <c r="B311" s="262" t="s">
        <v>400</v>
      </c>
      <c r="C311" s="274">
        <v>45964</v>
      </c>
      <c r="D311" s="275">
        <v>45965</v>
      </c>
      <c r="E311" s="276">
        <v>45966</v>
      </c>
      <c r="F311" s="277">
        <v>45967</v>
      </c>
      <c r="G311" s="278">
        <v>45968</v>
      </c>
      <c r="H311" s="279">
        <v>45969</v>
      </c>
      <c r="I311" s="280">
        <v>45970</v>
      </c>
    </row>
    <row r="312" spans="1:9" ht="13">
      <c r="A312" s="610" t="s">
        <v>464</v>
      </c>
      <c r="B312" s="320" t="s">
        <v>436</v>
      </c>
      <c r="C312" s="269" t="s">
        <v>2</v>
      </c>
      <c r="D312" s="317" t="s">
        <v>429</v>
      </c>
      <c r="E312" s="317" t="s">
        <v>429</v>
      </c>
      <c r="F312" s="317" t="s">
        <v>429</v>
      </c>
      <c r="G312" s="318" t="s">
        <v>426</v>
      </c>
      <c r="H312" s="318" t="s">
        <v>426</v>
      </c>
      <c r="I312" s="269" t="s">
        <v>2</v>
      </c>
    </row>
    <row r="313" spans="1:9" ht="13">
      <c r="A313" s="568"/>
      <c r="B313" s="320" t="s">
        <v>404</v>
      </c>
      <c r="C313" s="317" t="s">
        <v>433</v>
      </c>
      <c r="D313" s="317" t="s">
        <v>433</v>
      </c>
      <c r="E313" s="317" t="s">
        <v>433</v>
      </c>
      <c r="F313" s="317" t="s">
        <v>433</v>
      </c>
      <c r="G313" s="317" t="s">
        <v>433</v>
      </c>
      <c r="H313" s="269" t="s">
        <v>2</v>
      </c>
      <c r="I313" s="269" t="s">
        <v>2</v>
      </c>
    </row>
    <row r="314" spans="1:9" ht="13">
      <c r="A314" s="568"/>
      <c r="B314" s="320" t="s">
        <v>405</v>
      </c>
      <c r="C314" s="319" t="s">
        <v>427</v>
      </c>
      <c r="D314" s="319" t="s">
        <v>427</v>
      </c>
      <c r="E314" s="319" t="s">
        <v>427</v>
      </c>
      <c r="F314" s="269" t="s">
        <v>2</v>
      </c>
      <c r="G314" s="269" t="s">
        <v>2</v>
      </c>
      <c r="H314" s="317" t="s">
        <v>429</v>
      </c>
      <c r="I314" s="318" t="s">
        <v>426</v>
      </c>
    </row>
    <row r="315" spans="1:9" ht="13">
      <c r="A315" s="568"/>
      <c r="B315" s="320" t="s">
        <v>403</v>
      </c>
      <c r="C315" s="318" t="s">
        <v>426</v>
      </c>
      <c r="D315" s="318" t="s">
        <v>426</v>
      </c>
      <c r="E315" s="318" t="s">
        <v>426</v>
      </c>
      <c r="F315" s="318" t="s">
        <v>426</v>
      </c>
      <c r="G315" s="317" t="s">
        <v>429</v>
      </c>
      <c r="H315" s="269" t="s">
        <v>2</v>
      </c>
      <c r="I315" s="269" t="s">
        <v>2</v>
      </c>
    </row>
    <row r="316" spans="1:9" ht="13">
      <c r="A316" s="569"/>
      <c r="B316" s="320" t="s">
        <v>442</v>
      </c>
      <c r="C316" s="317" t="s">
        <v>429</v>
      </c>
      <c r="D316" s="269" t="s">
        <v>2</v>
      </c>
      <c r="E316" s="269" t="s">
        <v>2</v>
      </c>
      <c r="F316" s="319" t="s">
        <v>427</v>
      </c>
      <c r="G316" s="319" t="s">
        <v>427</v>
      </c>
      <c r="H316" s="319" t="s">
        <v>427</v>
      </c>
      <c r="I316" s="319" t="s">
        <v>427</v>
      </c>
    </row>
    <row r="317" spans="1:9" ht="20">
      <c r="A317" s="315"/>
      <c r="B317" s="314"/>
      <c r="C317" s="314"/>
      <c r="D317" s="314"/>
      <c r="E317" s="314"/>
      <c r="F317" s="314"/>
      <c r="G317" s="314"/>
      <c r="H317" s="314"/>
      <c r="I317" s="314"/>
    </row>
    <row r="318" spans="1:9" ht="20.5">
      <c r="A318" s="287" t="s">
        <v>42</v>
      </c>
      <c r="B318" s="262" t="s">
        <v>400</v>
      </c>
      <c r="C318" s="274">
        <v>45957</v>
      </c>
      <c r="D318" s="275">
        <v>45958</v>
      </c>
      <c r="E318" s="276">
        <v>45959</v>
      </c>
      <c r="F318" s="277">
        <v>45960</v>
      </c>
      <c r="G318" s="278">
        <v>45961</v>
      </c>
      <c r="H318" s="279">
        <v>45962</v>
      </c>
      <c r="I318" s="280">
        <v>45963</v>
      </c>
    </row>
    <row r="319" spans="1:9" ht="13">
      <c r="A319" s="611" t="s">
        <v>465</v>
      </c>
      <c r="B319" s="320" t="s">
        <v>436</v>
      </c>
      <c r="C319" s="317" t="s">
        <v>429</v>
      </c>
      <c r="D319" s="317" t="s">
        <v>429</v>
      </c>
      <c r="E319" s="317" t="s">
        <v>429</v>
      </c>
      <c r="F319" s="317" t="s">
        <v>429</v>
      </c>
      <c r="G319" s="317" t="s">
        <v>429</v>
      </c>
      <c r="H319" s="269" t="s">
        <v>2</v>
      </c>
      <c r="I319" s="269" t="s">
        <v>2</v>
      </c>
    </row>
    <row r="320" spans="1:9" ht="13">
      <c r="A320" s="568"/>
      <c r="B320" s="320" t="s">
        <v>404</v>
      </c>
      <c r="C320" s="269" t="s">
        <v>2</v>
      </c>
      <c r="D320" s="317" t="s">
        <v>433</v>
      </c>
      <c r="E320" s="317" t="s">
        <v>433</v>
      </c>
      <c r="F320" s="317" t="s">
        <v>433</v>
      </c>
      <c r="G320" s="317" t="s">
        <v>433</v>
      </c>
      <c r="H320" s="317" t="s">
        <v>463</v>
      </c>
      <c r="I320" s="269" t="s">
        <v>2</v>
      </c>
    </row>
    <row r="321" spans="1:9" ht="13">
      <c r="A321" s="568"/>
      <c r="B321" s="320" t="s">
        <v>405</v>
      </c>
      <c r="C321" s="318" t="s">
        <v>426</v>
      </c>
      <c r="D321" s="318" t="s">
        <v>426</v>
      </c>
      <c r="E321" s="318" t="s">
        <v>426</v>
      </c>
      <c r="F321" s="269" t="s">
        <v>2</v>
      </c>
      <c r="G321" s="269" t="s">
        <v>2</v>
      </c>
      <c r="H321" s="319" t="s">
        <v>427</v>
      </c>
      <c r="I321" s="319" t="s">
        <v>427</v>
      </c>
    </row>
    <row r="322" spans="1:9" ht="13">
      <c r="A322" s="568"/>
      <c r="B322" s="320" t="s">
        <v>403</v>
      </c>
      <c r="C322" s="317" t="s">
        <v>433</v>
      </c>
      <c r="D322" s="319" t="s">
        <v>427</v>
      </c>
      <c r="E322" s="319" t="s">
        <v>427</v>
      </c>
      <c r="F322" s="319" t="s">
        <v>427</v>
      </c>
      <c r="G322" s="319" t="s">
        <v>427</v>
      </c>
      <c r="H322" s="269" t="s">
        <v>2</v>
      </c>
      <c r="I322" s="269" t="s">
        <v>2</v>
      </c>
    </row>
    <row r="323" spans="1:9" ht="13">
      <c r="A323" s="569"/>
      <c r="B323" s="320" t="s">
        <v>442</v>
      </c>
      <c r="C323" s="319" t="s">
        <v>427</v>
      </c>
      <c r="D323" s="269" t="s">
        <v>2</v>
      </c>
      <c r="E323" s="269" t="s">
        <v>2</v>
      </c>
      <c r="F323" s="318" t="s">
        <v>426</v>
      </c>
      <c r="G323" s="318" t="s">
        <v>426</v>
      </c>
      <c r="H323" s="318" t="s">
        <v>426</v>
      </c>
      <c r="I323" s="318" t="s">
        <v>426</v>
      </c>
    </row>
    <row r="324" spans="1:9" ht="20">
      <c r="A324" s="315"/>
      <c r="B324" s="314"/>
      <c r="C324" s="314"/>
      <c r="D324" s="314"/>
      <c r="E324" s="314"/>
      <c r="F324" s="314"/>
      <c r="G324" s="314"/>
      <c r="H324" s="314"/>
      <c r="I324" s="314"/>
    </row>
    <row r="325" spans="1:9" ht="20.5">
      <c r="A325" s="287" t="s">
        <v>42</v>
      </c>
      <c r="B325" s="262" t="s">
        <v>400</v>
      </c>
      <c r="C325" s="274">
        <v>45950</v>
      </c>
      <c r="D325" s="275">
        <v>45951</v>
      </c>
      <c r="E325" s="276">
        <v>45952</v>
      </c>
      <c r="F325" s="277">
        <v>45953</v>
      </c>
      <c r="G325" s="278">
        <v>45954</v>
      </c>
      <c r="H325" s="279">
        <v>45955</v>
      </c>
      <c r="I325" s="280">
        <v>45956</v>
      </c>
    </row>
    <row r="326" spans="1:9" ht="13">
      <c r="A326" s="610" t="s">
        <v>466</v>
      </c>
      <c r="B326" s="320" t="s">
        <v>436</v>
      </c>
      <c r="C326" s="318" t="s">
        <v>426</v>
      </c>
      <c r="D326" s="318" t="s">
        <v>426</v>
      </c>
      <c r="E326" s="318" t="s">
        <v>426</v>
      </c>
      <c r="F326" s="269" t="s">
        <v>2</v>
      </c>
      <c r="G326" s="269" t="s">
        <v>2</v>
      </c>
      <c r="H326" s="318" t="s">
        <v>426</v>
      </c>
      <c r="I326" s="318" t="s">
        <v>426</v>
      </c>
    </row>
    <row r="327" spans="1:9" ht="13">
      <c r="A327" s="568"/>
      <c r="B327" s="320" t="s">
        <v>404</v>
      </c>
      <c r="C327" s="317" t="s">
        <v>433</v>
      </c>
      <c r="D327" s="317" t="s">
        <v>433</v>
      </c>
      <c r="E327" s="269" t="s">
        <v>2</v>
      </c>
      <c r="F327" s="317" t="s">
        <v>463</v>
      </c>
      <c r="G327" s="317" t="s">
        <v>463</v>
      </c>
      <c r="H327" s="317" t="s">
        <v>463</v>
      </c>
      <c r="I327" s="269" t="s">
        <v>2</v>
      </c>
    </row>
    <row r="328" spans="1:9" ht="13">
      <c r="A328" s="568"/>
      <c r="B328" s="320" t="s">
        <v>405</v>
      </c>
      <c r="C328" s="319" t="s">
        <v>427</v>
      </c>
      <c r="D328" s="319" t="s">
        <v>427</v>
      </c>
      <c r="E328" s="317" t="s">
        <v>433</v>
      </c>
      <c r="F328" s="317" t="s">
        <v>433</v>
      </c>
      <c r="G328" s="317" t="s">
        <v>433</v>
      </c>
      <c r="H328" s="269" t="s">
        <v>2</v>
      </c>
      <c r="I328" s="269" t="s">
        <v>2</v>
      </c>
    </row>
    <row r="329" spans="1:9" ht="13">
      <c r="A329" s="568"/>
      <c r="B329" s="320" t="s">
        <v>403</v>
      </c>
      <c r="C329" s="317" t="s">
        <v>429</v>
      </c>
      <c r="D329" s="317" t="s">
        <v>429</v>
      </c>
      <c r="E329" s="317" t="s">
        <v>429</v>
      </c>
      <c r="F329" s="318" t="s">
        <v>426</v>
      </c>
      <c r="G329" s="318" t="s">
        <v>426</v>
      </c>
      <c r="H329" s="269" t="s">
        <v>2</v>
      </c>
      <c r="I329" s="269" t="s">
        <v>2</v>
      </c>
    </row>
    <row r="330" spans="1:9" ht="13">
      <c r="A330" s="569"/>
      <c r="B330" s="320" t="s">
        <v>442</v>
      </c>
      <c r="C330" s="269" t="s">
        <v>2</v>
      </c>
      <c r="D330" s="269" t="s">
        <v>2</v>
      </c>
      <c r="E330" s="319" t="s">
        <v>427</v>
      </c>
      <c r="F330" s="319" t="s">
        <v>427</v>
      </c>
      <c r="G330" s="319" t="s">
        <v>427</v>
      </c>
      <c r="H330" s="319" t="s">
        <v>427</v>
      </c>
      <c r="I330" s="319" t="s">
        <v>427</v>
      </c>
    </row>
    <row r="331" spans="1:9" ht="20">
      <c r="A331" s="315"/>
      <c r="B331" s="314"/>
      <c r="C331" s="314"/>
      <c r="D331" s="314"/>
      <c r="E331" s="314"/>
      <c r="F331" s="314"/>
      <c r="G331" s="314"/>
      <c r="H331" s="314"/>
      <c r="I331" s="314"/>
    </row>
    <row r="332" spans="1:9" ht="20.5">
      <c r="A332" s="287" t="s">
        <v>42</v>
      </c>
      <c r="B332" s="262" t="s">
        <v>400</v>
      </c>
      <c r="C332" s="274">
        <v>45943</v>
      </c>
      <c r="D332" s="275">
        <v>45944</v>
      </c>
      <c r="E332" s="276">
        <v>45945</v>
      </c>
      <c r="F332" s="277">
        <v>45946</v>
      </c>
      <c r="G332" s="278">
        <v>45947</v>
      </c>
      <c r="H332" s="279">
        <v>45948</v>
      </c>
      <c r="I332" s="280">
        <v>45949</v>
      </c>
    </row>
    <row r="333" spans="1:9" ht="13">
      <c r="A333" s="611" t="s">
        <v>467</v>
      </c>
      <c r="B333" s="320" t="s">
        <v>436</v>
      </c>
      <c r="C333" s="317" t="s">
        <v>433</v>
      </c>
      <c r="D333" s="317" t="s">
        <v>433</v>
      </c>
      <c r="E333" s="317" t="s">
        <v>433</v>
      </c>
      <c r="F333" s="269" t="s">
        <v>2</v>
      </c>
      <c r="G333" s="269" t="s">
        <v>2</v>
      </c>
      <c r="H333" s="318" t="s">
        <v>426</v>
      </c>
      <c r="I333" s="318" t="s">
        <v>426</v>
      </c>
    </row>
    <row r="334" spans="1:9" ht="13">
      <c r="A334" s="568"/>
      <c r="B334" s="320" t="s">
        <v>404</v>
      </c>
      <c r="C334" s="317" t="s">
        <v>463</v>
      </c>
      <c r="D334" s="317" t="s">
        <v>463</v>
      </c>
      <c r="E334" s="317" t="s">
        <v>463</v>
      </c>
      <c r="F334" s="317" t="s">
        <v>463</v>
      </c>
      <c r="G334" s="317" t="s">
        <v>463</v>
      </c>
      <c r="H334" s="269" t="s">
        <v>2</v>
      </c>
      <c r="I334" s="269" t="s">
        <v>2</v>
      </c>
    </row>
    <row r="335" spans="1:9" ht="13">
      <c r="A335" s="568"/>
      <c r="B335" s="320" t="s">
        <v>405</v>
      </c>
      <c r="C335" s="319" t="s">
        <v>427</v>
      </c>
      <c r="D335" s="319" t="s">
        <v>427</v>
      </c>
      <c r="E335" s="319" t="s">
        <v>427</v>
      </c>
      <c r="F335" s="317" t="s">
        <v>433</v>
      </c>
      <c r="G335" s="317" t="s">
        <v>433</v>
      </c>
      <c r="H335" s="269" t="s">
        <v>2</v>
      </c>
      <c r="I335" s="269" t="s">
        <v>2</v>
      </c>
    </row>
    <row r="336" spans="1:9" ht="13">
      <c r="A336" s="568"/>
      <c r="B336" s="320" t="s">
        <v>403</v>
      </c>
      <c r="C336" s="318" t="s">
        <v>426</v>
      </c>
      <c r="D336" s="318" t="s">
        <v>426</v>
      </c>
      <c r="E336" s="269" t="s">
        <v>2</v>
      </c>
      <c r="F336" s="318" t="s">
        <v>426</v>
      </c>
      <c r="G336" s="318" t="s">
        <v>426</v>
      </c>
      <c r="H336" s="317" t="s">
        <v>468</v>
      </c>
      <c r="I336" s="269" t="s">
        <v>2</v>
      </c>
    </row>
    <row r="337" spans="1:9" ht="13">
      <c r="A337" s="569"/>
      <c r="B337" s="320" t="s">
        <v>442</v>
      </c>
      <c r="C337" s="269" t="s">
        <v>2</v>
      </c>
      <c r="D337" s="269" t="s">
        <v>2</v>
      </c>
      <c r="E337" s="318" t="s">
        <v>426</v>
      </c>
      <c r="F337" s="319" t="s">
        <v>427</v>
      </c>
      <c r="G337" s="319" t="s">
        <v>427</v>
      </c>
      <c r="H337" s="319" t="s">
        <v>427</v>
      </c>
      <c r="I337" s="319" t="s">
        <v>427</v>
      </c>
    </row>
    <row r="338" spans="1:9" ht="20">
      <c r="A338" s="315"/>
      <c r="B338" s="314"/>
      <c r="C338" s="314"/>
      <c r="D338" s="314"/>
      <c r="E338" s="314"/>
      <c r="F338" s="314"/>
      <c r="G338" s="314"/>
      <c r="H338" s="314"/>
      <c r="I338" s="314"/>
    </row>
    <row r="339" spans="1:9" ht="20.5">
      <c r="A339" s="287" t="s">
        <v>42</v>
      </c>
      <c r="B339" s="262" t="s">
        <v>400</v>
      </c>
      <c r="C339" s="274">
        <v>45936</v>
      </c>
      <c r="D339" s="275">
        <v>45937</v>
      </c>
      <c r="E339" s="276">
        <v>45938</v>
      </c>
      <c r="F339" s="277">
        <v>45939</v>
      </c>
      <c r="G339" s="278">
        <v>45940</v>
      </c>
      <c r="H339" s="279">
        <v>45941</v>
      </c>
      <c r="I339" s="280">
        <v>45942</v>
      </c>
    </row>
    <row r="340" spans="1:9" ht="13">
      <c r="A340" s="610" t="s">
        <v>469</v>
      </c>
      <c r="B340" s="320" t="s">
        <v>436</v>
      </c>
      <c r="C340" s="317" t="s">
        <v>433</v>
      </c>
      <c r="D340" s="317" t="s">
        <v>433</v>
      </c>
      <c r="E340" s="317" t="s">
        <v>433</v>
      </c>
      <c r="F340" s="317" t="s">
        <v>433</v>
      </c>
      <c r="G340" s="317" t="s">
        <v>433</v>
      </c>
      <c r="H340" s="269" t="s">
        <v>2</v>
      </c>
      <c r="I340" s="269" t="s">
        <v>2</v>
      </c>
    </row>
    <row r="341" spans="1:9" ht="13">
      <c r="A341" s="568"/>
      <c r="B341" s="320" t="s">
        <v>404</v>
      </c>
      <c r="C341" s="317" t="s">
        <v>429</v>
      </c>
      <c r="D341" s="317" t="s">
        <v>429</v>
      </c>
      <c r="E341" s="317" t="s">
        <v>433</v>
      </c>
      <c r="F341" s="317" t="s">
        <v>429</v>
      </c>
      <c r="G341" s="317" t="s">
        <v>429</v>
      </c>
      <c r="H341" s="269" t="s">
        <v>2</v>
      </c>
      <c r="I341" s="269" t="s">
        <v>2</v>
      </c>
    </row>
    <row r="342" spans="1:9" ht="13">
      <c r="A342" s="568"/>
      <c r="B342" s="320" t="s">
        <v>405</v>
      </c>
      <c r="C342" s="318" t="s">
        <v>426</v>
      </c>
      <c r="D342" s="318" t="s">
        <v>426</v>
      </c>
      <c r="E342" s="319" t="s">
        <v>427</v>
      </c>
      <c r="F342" s="269" t="s">
        <v>2</v>
      </c>
      <c r="G342" s="269" t="s">
        <v>2</v>
      </c>
      <c r="H342" s="319" t="s">
        <v>427</v>
      </c>
      <c r="I342" s="319" t="s">
        <v>427</v>
      </c>
    </row>
    <row r="343" spans="1:9" ht="13">
      <c r="A343" s="568"/>
      <c r="B343" s="320" t="s">
        <v>403</v>
      </c>
      <c r="C343" s="319" t="s">
        <v>427</v>
      </c>
      <c r="D343" s="319" t="s">
        <v>427</v>
      </c>
      <c r="E343" s="269" t="s">
        <v>2</v>
      </c>
      <c r="F343" s="317" t="s">
        <v>463</v>
      </c>
      <c r="G343" s="317" t="s">
        <v>463</v>
      </c>
      <c r="H343" s="317" t="s">
        <v>433</v>
      </c>
      <c r="I343" s="269" t="s">
        <v>2</v>
      </c>
    </row>
    <row r="344" spans="1:9" ht="13">
      <c r="A344" s="569"/>
      <c r="B344" s="320" t="s">
        <v>442</v>
      </c>
      <c r="C344" s="269" t="s">
        <v>2</v>
      </c>
      <c r="D344" s="269" t="s">
        <v>2</v>
      </c>
      <c r="E344" s="318" t="s">
        <v>426</v>
      </c>
      <c r="F344" s="319" t="s">
        <v>427</v>
      </c>
      <c r="G344" s="319" t="s">
        <v>427</v>
      </c>
      <c r="H344" s="318" t="s">
        <v>426</v>
      </c>
      <c r="I344" s="318" t="s">
        <v>426</v>
      </c>
    </row>
    <row r="345" spans="1:9" ht="20">
      <c r="A345" s="315"/>
      <c r="B345" s="314"/>
      <c r="C345" s="314"/>
      <c r="D345" s="314"/>
      <c r="E345" s="314"/>
      <c r="F345" s="314"/>
      <c r="G345" s="314"/>
      <c r="H345" s="314"/>
      <c r="I345" s="314"/>
    </row>
    <row r="346" spans="1:9" ht="20.5">
      <c r="A346" s="287" t="s">
        <v>42</v>
      </c>
      <c r="B346" s="262" t="s">
        <v>400</v>
      </c>
      <c r="C346" s="274">
        <v>45929</v>
      </c>
      <c r="D346" s="275">
        <v>45930</v>
      </c>
      <c r="E346" s="276">
        <v>45931</v>
      </c>
      <c r="F346" s="277">
        <v>45932</v>
      </c>
      <c r="G346" s="278">
        <v>45933</v>
      </c>
      <c r="H346" s="279">
        <v>45934</v>
      </c>
      <c r="I346" s="280">
        <v>45935</v>
      </c>
    </row>
    <row r="347" spans="1:9" ht="13">
      <c r="A347" s="611" t="s">
        <v>470</v>
      </c>
      <c r="B347" s="320" t="s">
        <v>436</v>
      </c>
      <c r="C347" s="317" t="s">
        <v>433</v>
      </c>
      <c r="D347" s="317" t="s">
        <v>433</v>
      </c>
      <c r="E347" s="317" t="s">
        <v>433</v>
      </c>
      <c r="F347" s="317" t="s">
        <v>433</v>
      </c>
      <c r="G347" s="317" t="s">
        <v>433</v>
      </c>
      <c r="H347" s="269" t="s">
        <v>2</v>
      </c>
      <c r="I347" s="269" t="s">
        <v>2</v>
      </c>
    </row>
    <row r="348" spans="1:9" ht="13">
      <c r="A348" s="568"/>
      <c r="B348" s="320" t="s">
        <v>404</v>
      </c>
      <c r="C348" s="317" t="s">
        <v>463</v>
      </c>
      <c r="D348" s="317" t="s">
        <v>463</v>
      </c>
      <c r="E348" s="269" t="s">
        <v>2</v>
      </c>
      <c r="F348" s="317" t="s">
        <v>463</v>
      </c>
      <c r="G348" s="317" t="s">
        <v>463</v>
      </c>
      <c r="H348" s="317" t="s">
        <v>463</v>
      </c>
      <c r="I348" s="269" t="s">
        <v>2</v>
      </c>
    </row>
    <row r="349" spans="1:9" ht="13">
      <c r="A349" s="568"/>
      <c r="B349" s="320" t="s">
        <v>405</v>
      </c>
      <c r="C349" s="319" t="s">
        <v>427</v>
      </c>
      <c r="D349" s="319" t="s">
        <v>427</v>
      </c>
      <c r="E349" s="319" t="s">
        <v>427</v>
      </c>
      <c r="F349" s="319" t="s">
        <v>427</v>
      </c>
      <c r="G349" s="319" t="s">
        <v>427</v>
      </c>
      <c r="H349" s="269" t="s">
        <v>2</v>
      </c>
      <c r="I349" s="269" t="s">
        <v>2</v>
      </c>
    </row>
    <row r="350" spans="1:9" ht="13">
      <c r="A350" s="568"/>
      <c r="B350" s="320" t="s">
        <v>403</v>
      </c>
      <c r="C350" s="318" t="s">
        <v>426</v>
      </c>
      <c r="D350" s="318" t="s">
        <v>426</v>
      </c>
      <c r="E350" s="317" t="s">
        <v>463</v>
      </c>
      <c r="F350" s="269" t="s">
        <v>2</v>
      </c>
      <c r="G350" s="269" t="s">
        <v>2</v>
      </c>
      <c r="H350" s="319" t="s">
        <v>427</v>
      </c>
      <c r="I350" s="319" t="s">
        <v>427</v>
      </c>
    </row>
    <row r="351" spans="1:9" ht="13">
      <c r="A351" s="569"/>
      <c r="B351" s="320" t="s">
        <v>442</v>
      </c>
      <c r="C351" s="269" t="s">
        <v>2</v>
      </c>
      <c r="D351" s="269" t="s">
        <v>2</v>
      </c>
      <c r="E351" s="318" t="s">
        <v>426</v>
      </c>
      <c r="F351" s="318" t="s">
        <v>426</v>
      </c>
      <c r="G351" s="318" t="s">
        <v>426</v>
      </c>
      <c r="H351" s="318" t="s">
        <v>426</v>
      </c>
      <c r="I351" s="318" t="s">
        <v>426</v>
      </c>
    </row>
    <row r="352" spans="1:9" ht="20">
      <c r="A352" s="315"/>
      <c r="B352" s="314"/>
      <c r="C352" s="314"/>
      <c r="D352" s="314"/>
      <c r="E352" s="314"/>
      <c r="F352" s="314"/>
      <c r="G352" s="314"/>
      <c r="H352" s="314"/>
      <c r="I352" s="314"/>
    </row>
    <row r="353" spans="1:9" ht="20.5">
      <c r="A353" s="287" t="s">
        <v>42</v>
      </c>
      <c r="B353" s="262" t="s">
        <v>400</v>
      </c>
      <c r="C353" s="274">
        <v>45922</v>
      </c>
      <c r="D353" s="275">
        <v>45923</v>
      </c>
      <c r="E353" s="276">
        <v>45924</v>
      </c>
      <c r="F353" s="277">
        <v>45925</v>
      </c>
      <c r="G353" s="278">
        <v>45926</v>
      </c>
      <c r="H353" s="279">
        <v>45927</v>
      </c>
      <c r="I353" s="280">
        <v>45928</v>
      </c>
    </row>
    <row r="354" spans="1:9" ht="13">
      <c r="A354" s="610" t="s">
        <v>471</v>
      </c>
      <c r="B354" s="320" t="s">
        <v>436</v>
      </c>
      <c r="C354" s="317" t="s">
        <v>433</v>
      </c>
      <c r="D354" s="317" t="s">
        <v>433</v>
      </c>
      <c r="E354" s="317" t="s">
        <v>433</v>
      </c>
      <c r="F354" s="317" t="s">
        <v>433</v>
      </c>
      <c r="G354" s="317" t="s">
        <v>433</v>
      </c>
      <c r="H354" s="269" t="s">
        <v>2</v>
      </c>
      <c r="I354" s="269" t="s">
        <v>2</v>
      </c>
    </row>
    <row r="355" spans="1:9" ht="13">
      <c r="A355" s="568"/>
      <c r="B355" s="320" t="s">
        <v>404</v>
      </c>
      <c r="C355" s="317" t="s">
        <v>429</v>
      </c>
      <c r="D355" s="317" t="s">
        <v>429</v>
      </c>
      <c r="E355" s="317" t="s">
        <v>429</v>
      </c>
      <c r="F355" s="317" t="s">
        <v>429</v>
      </c>
      <c r="G355" s="269" t="s">
        <v>2</v>
      </c>
      <c r="H355" s="317" t="s">
        <v>433</v>
      </c>
      <c r="I355" s="269" t="s">
        <v>2</v>
      </c>
    </row>
    <row r="356" spans="1:9" ht="13">
      <c r="A356" s="568"/>
      <c r="B356" s="320" t="s">
        <v>405</v>
      </c>
      <c r="C356" s="319" t="s">
        <v>427</v>
      </c>
      <c r="D356" s="319" t="s">
        <v>427</v>
      </c>
      <c r="E356" s="319" t="s">
        <v>427</v>
      </c>
      <c r="F356" s="269" t="s">
        <v>2</v>
      </c>
      <c r="G356" s="319" t="s">
        <v>427</v>
      </c>
      <c r="H356" s="319" t="s">
        <v>427</v>
      </c>
      <c r="I356" s="269" t="s">
        <v>2</v>
      </c>
    </row>
    <row r="357" spans="1:9" ht="13">
      <c r="A357" s="568"/>
      <c r="B357" s="320" t="s">
        <v>403</v>
      </c>
      <c r="C357" s="318" t="s">
        <v>426</v>
      </c>
      <c r="D357" s="318" t="s">
        <v>426</v>
      </c>
      <c r="E357" s="318" t="s">
        <v>426</v>
      </c>
      <c r="F357" s="319" t="s">
        <v>427</v>
      </c>
      <c r="G357" s="269" t="s">
        <v>2</v>
      </c>
      <c r="H357" s="269" t="s">
        <v>2</v>
      </c>
      <c r="I357" s="319" t="s">
        <v>427</v>
      </c>
    </row>
    <row r="358" spans="1:9" ht="13">
      <c r="A358" s="569"/>
      <c r="B358" s="320" t="s">
        <v>442</v>
      </c>
      <c r="C358" s="317" t="s">
        <v>428</v>
      </c>
      <c r="D358" s="269" t="s">
        <v>2</v>
      </c>
      <c r="E358" s="269" t="s">
        <v>2</v>
      </c>
      <c r="F358" s="318" t="s">
        <v>426</v>
      </c>
      <c r="G358" s="318" t="s">
        <v>426</v>
      </c>
      <c r="H358" s="318" t="s">
        <v>426</v>
      </c>
      <c r="I358" s="318" t="s">
        <v>426</v>
      </c>
    </row>
    <row r="359" spans="1:9" ht="20">
      <c r="A359" s="315"/>
      <c r="B359" s="314"/>
      <c r="C359" s="314"/>
      <c r="D359" s="314"/>
      <c r="E359" s="314"/>
      <c r="F359" s="314"/>
      <c r="G359" s="314"/>
      <c r="H359" s="314"/>
      <c r="I359" s="314"/>
    </row>
    <row r="360" spans="1:9" ht="20.5">
      <c r="A360" s="287" t="s">
        <v>42</v>
      </c>
      <c r="B360" s="262" t="s">
        <v>400</v>
      </c>
      <c r="C360" s="274">
        <v>45915</v>
      </c>
      <c r="D360" s="275">
        <v>45916</v>
      </c>
      <c r="E360" s="276">
        <v>45917</v>
      </c>
      <c r="F360" s="277">
        <v>45918</v>
      </c>
      <c r="G360" s="278">
        <v>45919</v>
      </c>
      <c r="H360" s="279">
        <v>45920</v>
      </c>
      <c r="I360" s="280">
        <v>45921</v>
      </c>
    </row>
    <row r="361" spans="1:9" ht="13">
      <c r="A361" s="611" t="s">
        <v>472</v>
      </c>
      <c r="B361" s="320" t="s">
        <v>436</v>
      </c>
      <c r="C361" s="269" t="s">
        <v>2</v>
      </c>
      <c r="D361" s="317" t="s">
        <v>433</v>
      </c>
      <c r="E361" s="317" t="s">
        <v>433</v>
      </c>
      <c r="F361" s="317" t="s">
        <v>433</v>
      </c>
      <c r="G361" s="317" t="s">
        <v>433</v>
      </c>
      <c r="H361" s="317" t="s">
        <v>433</v>
      </c>
      <c r="I361" s="269" t="s">
        <v>2</v>
      </c>
    </row>
    <row r="362" spans="1:9" ht="13">
      <c r="A362" s="568"/>
      <c r="B362" s="320" t="s">
        <v>473</v>
      </c>
      <c r="C362" s="317" t="s">
        <v>429</v>
      </c>
      <c r="D362" s="317" t="s">
        <v>429</v>
      </c>
      <c r="E362" s="317" t="s">
        <v>429</v>
      </c>
      <c r="F362" s="317" t="s">
        <v>429</v>
      </c>
      <c r="G362" s="317" t="s">
        <v>429</v>
      </c>
      <c r="H362" s="269" t="s">
        <v>2</v>
      </c>
      <c r="I362" s="269" t="s">
        <v>2</v>
      </c>
    </row>
    <row r="363" spans="1:9" ht="13">
      <c r="A363" s="568"/>
      <c r="B363" s="320" t="s">
        <v>405</v>
      </c>
      <c r="C363" s="319" t="s">
        <v>427</v>
      </c>
      <c r="D363" s="269" t="s">
        <v>2</v>
      </c>
      <c r="E363" s="269" t="s">
        <v>2</v>
      </c>
      <c r="F363" s="318" t="s">
        <v>426</v>
      </c>
      <c r="G363" s="318" t="s">
        <v>426</v>
      </c>
      <c r="H363" s="319" t="s">
        <v>427</v>
      </c>
      <c r="I363" s="319" t="s">
        <v>427</v>
      </c>
    </row>
    <row r="364" spans="1:9" ht="13">
      <c r="A364" s="568"/>
      <c r="B364" s="320" t="s">
        <v>403</v>
      </c>
      <c r="C364" s="318" t="s">
        <v>426</v>
      </c>
      <c r="D364" s="319" t="s">
        <v>427</v>
      </c>
      <c r="E364" s="319" t="s">
        <v>427</v>
      </c>
      <c r="F364" s="319" t="s">
        <v>427</v>
      </c>
      <c r="G364" s="319" t="s">
        <v>427</v>
      </c>
      <c r="H364" s="269" t="s">
        <v>2</v>
      </c>
      <c r="I364" s="269" t="s">
        <v>2</v>
      </c>
    </row>
    <row r="365" spans="1:9" ht="13">
      <c r="A365" s="569"/>
      <c r="B365" s="320" t="s">
        <v>442</v>
      </c>
      <c r="C365" s="317" t="s">
        <v>433</v>
      </c>
      <c r="D365" s="318" t="s">
        <v>426</v>
      </c>
      <c r="E365" s="318" t="s">
        <v>426</v>
      </c>
      <c r="F365" s="269" t="s">
        <v>2</v>
      </c>
      <c r="G365" s="269" t="s">
        <v>2</v>
      </c>
      <c r="H365" s="318" t="s">
        <v>426</v>
      </c>
      <c r="I365" s="318" t="s">
        <v>426</v>
      </c>
    </row>
    <row r="366" spans="1:9" ht="20">
      <c r="A366" s="315"/>
      <c r="B366" s="314"/>
      <c r="C366" s="314"/>
      <c r="D366" s="314"/>
      <c r="E366" s="314"/>
      <c r="F366" s="314"/>
      <c r="G366" s="314"/>
      <c r="H366" s="314"/>
      <c r="I366" s="314"/>
    </row>
    <row r="367" spans="1:9" ht="20.5">
      <c r="A367" s="287" t="s">
        <v>42</v>
      </c>
      <c r="B367" s="262" t="s">
        <v>400</v>
      </c>
      <c r="C367" s="274">
        <v>45908</v>
      </c>
      <c r="D367" s="275">
        <v>45909</v>
      </c>
      <c r="E367" s="276">
        <v>45910</v>
      </c>
      <c r="F367" s="277">
        <v>45911</v>
      </c>
      <c r="G367" s="278">
        <v>45912</v>
      </c>
      <c r="H367" s="279">
        <v>45913</v>
      </c>
      <c r="I367" s="280">
        <v>45914</v>
      </c>
    </row>
    <row r="368" spans="1:9" ht="13">
      <c r="A368" s="610" t="s">
        <v>474</v>
      </c>
      <c r="B368" s="320" t="s">
        <v>436</v>
      </c>
      <c r="C368" s="317" t="s">
        <v>433</v>
      </c>
      <c r="D368" s="317" t="s">
        <v>433</v>
      </c>
      <c r="E368" s="317" t="s">
        <v>433</v>
      </c>
      <c r="F368" s="317" t="s">
        <v>433</v>
      </c>
      <c r="G368" s="317" t="s">
        <v>433</v>
      </c>
      <c r="H368" s="269" t="s">
        <v>2</v>
      </c>
      <c r="I368" s="269" t="s">
        <v>2</v>
      </c>
    </row>
    <row r="369" spans="1:9" ht="13">
      <c r="A369" s="568"/>
      <c r="B369" s="320" t="s">
        <v>473</v>
      </c>
      <c r="C369" s="317" t="s">
        <v>429</v>
      </c>
      <c r="D369" s="317" t="s">
        <v>429</v>
      </c>
      <c r="E369" s="317" t="s">
        <v>429</v>
      </c>
      <c r="F369" s="317" t="s">
        <v>429</v>
      </c>
      <c r="G369" s="317" t="s">
        <v>429</v>
      </c>
      <c r="H369" s="269" t="s">
        <v>2</v>
      </c>
      <c r="I369" s="269" t="s">
        <v>2</v>
      </c>
    </row>
    <row r="370" spans="1:9" ht="13">
      <c r="A370" s="568"/>
      <c r="B370" s="320" t="s">
        <v>405</v>
      </c>
      <c r="C370" s="269" t="s">
        <v>2</v>
      </c>
      <c r="D370" s="269" t="s">
        <v>2</v>
      </c>
      <c r="E370" s="318" t="s">
        <v>426</v>
      </c>
      <c r="F370" s="318" t="s">
        <v>426</v>
      </c>
      <c r="G370" s="318" t="s">
        <v>426</v>
      </c>
      <c r="H370" s="318" t="s">
        <v>426</v>
      </c>
      <c r="I370" s="318" t="s">
        <v>426</v>
      </c>
    </row>
    <row r="371" spans="1:9" ht="13">
      <c r="A371" s="568"/>
      <c r="B371" s="320" t="s">
        <v>403</v>
      </c>
      <c r="C371" s="318" t="s">
        <v>426</v>
      </c>
      <c r="D371" s="318" t="s">
        <v>426</v>
      </c>
      <c r="E371" s="269" t="s">
        <v>2</v>
      </c>
      <c r="F371" s="319" t="s">
        <v>427</v>
      </c>
      <c r="G371" s="319" t="s">
        <v>427</v>
      </c>
      <c r="H371" s="317" t="s">
        <v>433</v>
      </c>
      <c r="I371" s="269" t="s">
        <v>2</v>
      </c>
    </row>
    <row r="372" spans="1:9" ht="13">
      <c r="A372" s="569"/>
      <c r="B372" s="320" t="s">
        <v>442</v>
      </c>
      <c r="C372" s="319" t="s">
        <v>427</v>
      </c>
      <c r="D372" s="319" t="s">
        <v>427</v>
      </c>
      <c r="E372" s="319" t="s">
        <v>427</v>
      </c>
      <c r="F372" s="269" t="s">
        <v>2</v>
      </c>
      <c r="G372" s="269" t="s">
        <v>2</v>
      </c>
      <c r="H372" s="319" t="s">
        <v>427</v>
      </c>
      <c r="I372" s="319" t="s">
        <v>427</v>
      </c>
    </row>
    <row r="373" spans="1:9" ht="20">
      <c r="A373" s="315"/>
      <c r="B373" s="314"/>
      <c r="C373" s="314"/>
      <c r="D373" s="314"/>
      <c r="E373" s="314"/>
      <c r="F373" s="314"/>
      <c r="G373" s="314"/>
      <c r="H373" s="314"/>
      <c r="I373" s="314"/>
    </row>
    <row r="374" spans="1:9" ht="20.5">
      <c r="A374" s="287" t="s">
        <v>42</v>
      </c>
      <c r="B374" s="262" t="s">
        <v>400</v>
      </c>
      <c r="C374" s="274">
        <v>45901</v>
      </c>
      <c r="D374" s="275">
        <v>45902</v>
      </c>
      <c r="E374" s="276">
        <v>45903</v>
      </c>
      <c r="F374" s="277">
        <v>45904</v>
      </c>
      <c r="G374" s="278">
        <v>45905</v>
      </c>
      <c r="H374" s="279">
        <v>45906</v>
      </c>
      <c r="I374" s="280">
        <v>45907</v>
      </c>
    </row>
    <row r="375" spans="1:9" ht="13">
      <c r="A375" s="611" t="s">
        <v>475</v>
      </c>
      <c r="B375" s="320" t="s">
        <v>436</v>
      </c>
      <c r="C375" s="317" t="s">
        <v>433</v>
      </c>
      <c r="D375" s="317" t="s">
        <v>433</v>
      </c>
      <c r="E375" s="317" t="s">
        <v>433</v>
      </c>
      <c r="F375" s="269" t="s">
        <v>2</v>
      </c>
      <c r="G375" s="317" t="s">
        <v>433</v>
      </c>
      <c r="H375" s="319" t="s">
        <v>427</v>
      </c>
      <c r="I375" s="269" t="s">
        <v>2</v>
      </c>
    </row>
    <row r="376" spans="1:9" ht="13">
      <c r="A376" s="568"/>
      <c r="B376" s="320" t="s">
        <v>473</v>
      </c>
      <c r="C376" s="317" t="s">
        <v>429</v>
      </c>
      <c r="D376" s="269" t="s">
        <v>2</v>
      </c>
      <c r="E376" s="317" t="s">
        <v>429</v>
      </c>
      <c r="F376" s="317" t="s">
        <v>429</v>
      </c>
      <c r="G376" s="317" t="s">
        <v>429</v>
      </c>
      <c r="H376" s="317" t="s">
        <v>429</v>
      </c>
      <c r="I376" s="269" t="s">
        <v>2</v>
      </c>
    </row>
    <row r="377" spans="1:9" ht="13">
      <c r="A377" s="568"/>
      <c r="B377" s="320" t="s">
        <v>405</v>
      </c>
      <c r="C377" s="269" t="s">
        <v>2</v>
      </c>
      <c r="D377" s="319" t="s">
        <v>427</v>
      </c>
      <c r="E377" s="319" t="s">
        <v>427</v>
      </c>
      <c r="F377" s="319" t="s">
        <v>427</v>
      </c>
      <c r="G377" s="269" t="s">
        <v>2</v>
      </c>
      <c r="H377" s="318" t="s">
        <v>426</v>
      </c>
      <c r="I377" s="318" t="s">
        <v>426</v>
      </c>
    </row>
    <row r="378" spans="1:9" ht="13">
      <c r="A378" s="568"/>
      <c r="B378" s="320" t="s">
        <v>403</v>
      </c>
      <c r="C378" s="318" t="s">
        <v>426</v>
      </c>
      <c r="D378" s="318" t="s">
        <v>426</v>
      </c>
      <c r="E378" s="318" t="s">
        <v>426</v>
      </c>
      <c r="F378" s="317" t="s">
        <v>433</v>
      </c>
      <c r="G378" s="319" t="s">
        <v>427</v>
      </c>
      <c r="H378" s="269" t="s">
        <v>2</v>
      </c>
      <c r="I378" s="269" t="s">
        <v>2</v>
      </c>
    </row>
    <row r="379" spans="1:9" ht="13">
      <c r="A379" s="569"/>
      <c r="B379" s="320" t="s">
        <v>442</v>
      </c>
      <c r="C379" s="319" t="s">
        <v>427</v>
      </c>
      <c r="D379" s="317" t="s">
        <v>463</v>
      </c>
      <c r="E379" s="269" t="s">
        <v>2</v>
      </c>
      <c r="F379" s="318" t="s">
        <v>426</v>
      </c>
      <c r="G379" s="318" t="s">
        <v>426</v>
      </c>
      <c r="H379" s="269" t="s">
        <v>2</v>
      </c>
      <c r="I379" s="319" t="s">
        <v>427</v>
      </c>
    </row>
    <row r="380" spans="1:9" ht="20">
      <c r="A380" s="315"/>
      <c r="B380" s="314"/>
      <c r="C380" s="314"/>
      <c r="D380" s="314"/>
      <c r="E380" s="314"/>
      <c r="F380" s="314"/>
      <c r="G380" s="314"/>
      <c r="H380" s="314"/>
      <c r="I380" s="314"/>
    </row>
    <row r="381" spans="1:9" ht="20.5">
      <c r="A381" s="287" t="s">
        <v>42</v>
      </c>
      <c r="B381" s="262" t="s">
        <v>400</v>
      </c>
      <c r="C381" s="274">
        <v>45894</v>
      </c>
      <c r="D381" s="275">
        <v>45895</v>
      </c>
      <c r="E381" s="276">
        <v>45896</v>
      </c>
      <c r="F381" s="277">
        <v>45897</v>
      </c>
      <c r="G381" s="278">
        <v>45898</v>
      </c>
      <c r="H381" s="279">
        <v>45899</v>
      </c>
      <c r="I381" s="280">
        <v>45900</v>
      </c>
    </row>
    <row r="382" spans="1:9" ht="13">
      <c r="A382" s="610" t="s">
        <v>476</v>
      </c>
      <c r="B382" s="320" t="s">
        <v>436</v>
      </c>
      <c r="C382" s="317" t="s">
        <v>433</v>
      </c>
      <c r="D382" s="317" t="s">
        <v>433</v>
      </c>
      <c r="E382" s="317" t="s">
        <v>433</v>
      </c>
      <c r="F382" s="317" t="s">
        <v>433</v>
      </c>
      <c r="G382" s="317" t="s">
        <v>433</v>
      </c>
      <c r="H382" s="269" t="s">
        <v>2</v>
      </c>
      <c r="I382" s="269" t="s">
        <v>2</v>
      </c>
    </row>
    <row r="383" spans="1:9" ht="13">
      <c r="A383" s="568"/>
      <c r="B383" s="320" t="s">
        <v>473</v>
      </c>
      <c r="C383" s="269" t="s">
        <v>2</v>
      </c>
      <c r="D383" s="269" t="s">
        <v>2</v>
      </c>
      <c r="E383" s="317" t="s">
        <v>429</v>
      </c>
      <c r="F383" s="317" t="s">
        <v>429</v>
      </c>
      <c r="G383" s="317" t="s">
        <v>429</v>
      </c>
      <c r="H383" s="317" t="s">
        <v>429</v>
      </c>
      <c r="I383" s="318" t="s">
        <v>426</v>
      </c>
    </row>
    <row r="384" spans="1:9" ht="13">
      <c r="A384" s="568"/>
      <c r="B384" s="320" t="s">
        <v>405</v>
      </c>
      <c r="C384" s="319" t="s">
        <v>427</v>
      </c>
      <c r="D384" s="319" t="s">
        <v>427</v>
      </c>
      <c r="E384" s="319" t="s">
        <v>427</v>
      </c>
      <c r="F384" s="319" t="s">
        <v>427</v>
      </c>
      <c r="G384" s="319" t="s">
        <v>427</v>
      </c>
      <c r="H384" s="269" t="s">
        <v>2</v>
      </c>
      <c r="I384" s="269" t="s">
        <v>2</v>
      </c>
    </row>
    <row r="385" spans="1:9" ht="13">
      <c r="A385" s="568"/>
      <c r="B385" s="320" t="s">
        <v>403</v>
      </c>
      <c r="C385" s="317" t="s">
        <v>429</v>
      </c>
      <c r="D385" s="317" t="s">
        <v>429</v>
      </c>
      <c r="E385" s="269" t="s">
        <v>2</v>
      </c>
      <c r="F385" s="318" t="s">
        <v>426</v>
      </c>
      <c r="G385" s="318" t="s">
        <v>426</v>
      </c>
      <c r="H385" s="318" t="s">
        <v>426</v>
      </c>
      <c r="I385" s="269" t="s">
        <v>2</v>
      </c>
    </row>
    <row r="386" spans="1:9" ht="13">
      <c r="A386" s="569"/>
      <c r="B386" s="320" t="s">
        <v>442</v>
      </c>
      <c r="C386" s="318" t="s">
        <v>426</v>
      </c>
      <c r="D386" s="318" t="s">
        <v>426</v>
      </c>
      <c r="E386" s="318" t="s">
        <v>426</v>
      </c>
      <c r="F386" s="269" t="s">
        <v>2</v>
      </c>
      <c r="G386" s="269" t="s">
        <v>2</v>
      </c>
      <c r="H386" s="319" t="s">
        <v>427</v>
      </c>
      <c r="I386" s="319" t="s">
        <v>427</v>
      </c>
    </row>
    <row r="387" spans="1:9" ht="20">
      <c r="A387" s="315"/>
      <c r="B387" s="314"/>
      <c r="C387" s="314"/>
      <c r="D387" s="314"/>
      <c r="E387" s="314"/>
      <c r="F387" s="314"/>
      <c r="G387" s="314"/>
      <c r="H387" s="314"/>
      <c r="I387" s="314"/>
    </row>
    <row r="388" spans="1:9" ht="20.5">
      <c r="A388" s="287" t="s">
        <v>42</v>
      </c>
      <c r="B388" s="262" t="s">
        <v>400</v>
      </c>
      <c r="C388" s="274">
        <v>45887</v>
      </c>
      <c r="D388" s="275">
        <v>45888</v>
      </c>
      <c r="E388" s="276">
        <v>45889</v>
      </c>
      <c r="F388" s="277">
        <v>45890</v>
      </c>
      <c r="G388" s="278">
        <v>45891</v>
      </c>
      <c r="H388" s="279">
        <v>45892</v>
      </c>
      <c r="I388" s="280">
        <v>45893</v>
      </c>
    </row>
    <row r="389" spans="1:9" ht="13">
      <c r="A389" s="611" t="s">
        <v>477</v>
      </c>
      <c r="B389" s="320" t="s">
        <v>436</v>
      </c>
      <c r="C389" s="269" t="s">
        <v>2</v>
      </c>
      <c r="D389" s="317" t="s">
        <v>433</v>
      </c>
      <c r="E389" s="317" t="s">
        <v>433</v>
      </c>
      <c r="F389" s="317" t="s">
        <v>433</v>
      </c>
      <c r="G389" s="317" t="s">
        <v>433</v>
      </c>
      <c r="H389" s="318" t="s">
        <v>426</v>
      </c>
      <c r="I389" s="269" t="s">
        <v>2</v>
      </c>
    </row>
    <row r="390" spans="1:9" ht="13">
      <c r="A390" s="568"/>
      <c r="B390" s="320" t="s">
        <v>473</v>
      </c>
      <c r="C390" s="317" t="s">
        <v>429</v>
      </c>
      <c r="D390" s="269" t="s">
        <v>2</v>
      </c>
      <c r="E390" s="317" t="s">
        <v>429</v>
      </c>
      <c r="F390" s="317" t="s">
        <v>429</v>
      </c>
      <c r="G390" s="317" t="s">
        <v>429</v>
      </c>
      <c r="H390" s="317" t="s">
        <v>429</v>
      </c>
      <c r="I390" s="269" t="s">
        <v>2</v>
      </c>
    </row>
    <row r="391" spans="1:9" ht="13">
      <c r="A391" s="568"/>
      <c r="B391" s="320" t="s">
        <v>405</v>
      </c>
      <c r="C391" s="318" t="s">
        <v>426</v>
      </c>
      <c r="D391" s="318" t="s">
        <v>426</v>
      </c>
      <c r="E391" s="318" t="s">
        <v>426</v>
      </c>
      <c r="F391" s="318" t="s">
        <v>426</v>
      </c>
      <c r="G391" s="318" t="s">
        <v>426</v>
      </c>
      <c r="H391" s="269" t="s">
        <v>2</v>
      </c>
      <c r="I391" s="269" t="s">
        <v>2</v>
      </c>
    </row>
    <row r="392" spans="1:9" ht="13">
      <c r="A392" s="568"/>
      <c r="B392" s="320" t="s">
        <v>403</v>
      </c>
      <c r="C392" s="317" t="s">
        <v>463</v>
      </c>
      <c r="D392" s="317" t="s">
        <v>463</v>
      </c>
      <c r="E392" s="269" t="s">
        <v>2</v>
      </c>
      <c r="F392" s="269" t="s">
        <v>2</v>
      </c>
      <c r="G392" s="319" t="s">
        <v>427</v>
      </c>
      <c r="H392" s="319" t="s">
        <v>427</v>
      </c>
      <c r="I392" s="327" t="s">
        <v>430</v>
      </c>
    </row>
    <row r="393" spans="1:9" ht="13">
      <c r="A393" s="569"/>
      <c r="B393" s="320" t="s">
        <v>442</v>
      </c>
      <c r="C393" s="319" t="s">
        <v>427</v>
      </c>
      <c r="D393" s="319" t="s">
        <v>427</v>
      </c>
      <c r="E393" s="319" t="s">
        <v>427</v>
      </c>
      <c r="F393" s="319" t="s">
        <v>427</v>
      </c>
      <c r="G393" s="269" t="s">
        <v>2</v>
      </c>
      <c r="H393" s="269" t="s">
        <v>2</v>
      </c>
      <c r="I393" s="318" t="s">
        <v>426</v>
      </c>
    </row>
    <row r="394" spans="1:9" ht="20">
      <c r="A394" s="315"/>
      <c r="B394" s="314"/>
      <c r="C394" s="314"/>
      <c r="D394" s="314"/>
      <c r="E394" s="314"/>
      <c r="F394" s="314"/>
      <c r="G394" s="314"/>
      <c r="H394" s="314"/>
      <c r="I394" s="314"/>
    </row>
    <row r="395" spans="1:9" ht="20">
      <c r="A395" s="315"/>
      <c r="B395" s="314"/>
      <c r="C395" s="314"/>
      <c r="D395" s="314"/>
      <c r="E395" s="314"/>
      <c r="F395" s="314"/>
      <c r="G395" s="314"/>
      <c r="H395" s="314"/>
      <c r="I395" s="314"/>
    </row>
    <row r="396" spans="1:9" ht="20">
      <c r="A396" s="315"/>
      <c r="B396" s="314"/>
      <c r="C396" s="314"/>
      <c r="D396" s="314"/>
      <c r="E396" s="314"/>
      <c r="F396" s="314"/>
      <c r="G396" s="314"/>
      <c r="H396" s="314"/>
      <c r="I396" s="314"/>
    </row>
    <row r="397" spans="1:9" ht="20">
      <c r="A397" s="315"/>
      <c r="B397" s="314"/>
      <c r="C397" s="314"/>
      <c r="D397" s="314"/>
      <c r="E397" s="314"/>
      <c r="F397" s="314"/>
      <c r="G397" s="314"/>
      <c r="H397" s="314"/>
      <c r="I397" s="314"/>
    </row>
    <row r="398" spans="1:9" ht="20">
      <c r="A398" s="315"/>
      <c r="B398" s="314"/>
      <c r="C398" s="314"/>
      <c r="D398" s="314"/>
      <c r="E398" s="314"/>
      <c r="F398" s="314"/>
      <c r="G398" s="314"/>
      <c r="H398" s="314"/>
      <c r="I398" s="314"/>
    </row>
    <row r="399" spans="1:9" ht="20">
      <c r="A399" s="315"/>
      <c r="B399" s="314"/>
      <c r="C399" s="314"/>
      <c r="D399" s="314"/>
      <c r="E399" s="314"/>
      <c r="F399" s="314"/>
      <c r="G399" s="314"/>
      <c r="H399" s="314"/>
      <c r="I399" s="314"/>
    </row>
    <row r="400" spans="1:9" ht="20">
      <c r="A400" s="315"/>
      <c r="B400" s="314"/>
      <c r="C400" s="314"/>
      <c r="D400" s="314"/>
      <c r="E400" s="314"/>
      <c r="F400" s="314"/>
      <c r="G400" s="314"/>
      <c r="H400" s="314"/>
      <c r="I400" s="314"/>
    </row>
    <row r="401" spans="1:9" ht="20">
      <c r="A401" s="315"/>
      <c r="B401" s="314"/>
      <c r="C401" s="314"/>
      <c r="D401" s="314"/>
      <c r="E401" s="314"/>
      <c r="F401" s="314"/>
      <c r="G401" s="314"/>
      <c r="H401" s="314"/>
      <c r="I401" s="314"/>
    </row>
    <row r="402" spans="1:9" ht="20">
      <c r="A402" s="315"/>
      <c r="B402" s="314"/>
      <c r="C402" s="314"/>
      <c r="D402" s="314"/>
      <c r="E402" s="314"/>
      <c r="F402" s="314"/>
      <c r="G402" s="314"/>
      <c r="H402" s="314"/>
      <c r="I402" s="314"/>
    </row>
    <row r="403" spans="1:9" ht="20">
      <c r="A403" s="315"/>
      <c r="B403" s="314"/>
      <c r="C403" s="314"/>
      <c r="D403" s="314"/>
      <c r="E403" s="314"/>
      <c r="F403" s="314"/>
      <c r="G403" s="314"/>
      <c r="H403" s="314"/>
      <c r="I403" s="314"/>
    </row>
    <row r="404" spans="1:9" ht="20">
      <c r="A404" s="315"/>
      <c r="B404" s="314"/>
      <c r="C404" s="314"/>
      <c r="D404" s="314"/>
      <c r="E404" s="314"/>
      <c r="F404" s="314"/>
      <c r="G404" s="314"/>
      <c r="H404" s="314"/>
      <c r="I404" s="314"/>
    </row>
    <row r="405" spans="1:9" ht="20">
      <c r="A405" s="315"/>
      <c r="B405" s="314"/>
      <c r="C405" s="314"/>
      <c r="D405" s="314"/>
      <c r="E405" s="314"/>
      <c r="F405" s="314"/>
      <c r="G405" s="314"/>
      <c r="H405" s="314"/>
      <c r="I405" s="314"/>
    </row>
    <row r="406" spans="1:9" ht="20">
      <c r="A406" s="315"/>
      <c r="B406" s="314"/>
      <c r="C406" s="314"/>
      <c r="D406" s="314"/>
      <c r="E406" s="314"/>
      <c r="F406" s="314"/>
      <c r="G406" s="314"/>
      <c r="H406" s="314"/>
      <c r="I406" s="314"/>
    </row>
    <row r="407" spans="1:9" ht="20">
      <c r="A407" s="315"/>
      <c r="B407" s="314"/>
      <c r="C407" s="314"/>
      <c r="D407" s="314"/>
      <c r="E407" s="314"/>
      <c r="F407" s="314"/>
      <c r="G407" s="314"/>
      <c r="H407" s="314"/>
      <c r="I407" s="314"/>
    </row>
    <row r="408" spans="1:9" ht="20">
      <c r="A408" s="315"/>
      <c r="B408" s="314"/>
      <c r="C408" s="314"/>
      <c r="D408" s="314"/>
      <c r="E408" s="314"/>
      <c r="F408" s="314"/>
      <c r="G408" s="314"/>
      <c r="H408" s="314"/>
      <c r="I408" s="314"/>
    </row>
    <row r="409" spans="1:9" ht="20">
      <c r="A409" s="315"/>
      <c r="B409" s="314"/>
      <c r="C409" s="314"/>
      <c r="D409" s="314"/>
      <c r="E409" s="314"/>
      <c r="F409" s="314"/>
      <c r="G409" s="314"/>
      <c r="H409" s="314"/>
      <c r="I409" s="314"/>
    </row>
    <row r="410" spans="1:9" ht="20">
      <c r="A410" s="315"/>
      <c r="B410" s="314"/>
      <c r="C410" s="314"/>
      <c r="D410" s="314"/>
      <c r="E410" s="314"/>
      <c r="F410" s="314"/>
      <c r="G410" s="314"/>
      <c r="H410" s="314"/>
      <c r="I410" s="314"/>
    </row>
    <row r="411" spans="1:9" ht="20">
      <c r="A411" s="315"/>
      <c r="B411" s="314"/>
      <c r="C411" s="314"/>
      <c r="D411" s="314"/>
      <c r="E411" s="314"/>
      <c r="F411" s="314"/>
      <c r="G411" s="314"/>
      <c r="H411" s="314"/>
      <c r="I411" s="314"/>
    </row>
    <row r="412" spans="1:9" ht="20">
      <c r="A412" s="315"/>
      <c r="B412" s="314"/>
      <c r="C412" s="314"/>
      <c r="D412" s="314"/>
      <c r="E412" s="314"/>
      <c r="F412" s="314"/>
      <c r="G412" s="314"/>
      <c r="H412" s="314"/>
      <c r="I412" s="314"/>
    </row>
    <row r="413" spans="1:9" ht="20">
      <c r="A413" s="315"/>
      <c r="B413" s="314"/>
      <c r="C413" s="314"/>
      <c r="D413" s="314"/>
      <c r="E413" s="314"/>
      <c r="F413" s="314"/>
      <c r="G413" s="314"/>
      <c r="H413" s="314"/>
      <c r="I413" s="314"/>
    </row>
    <row r="414" spans="1:9" ht="20">
      <c r="A414" s="315"/>
      <c r="B414" s="314"/>
      <c r="C414" s="314"/>
      <c r="D414" s="314"/>
      <c r="E414" s="314"/>
      <c r="F414" s="314"/>
      <c r="G414" s="314"/>
      <c r="H414" s="314"/>
      <c r="I414" s="314"/>
    </row>
    <row r="415" spans="1:9" ht="20">
      <c r="A415" s="315"/>
      <c r="B415" s="314"/>
      <c r="C415" s="314"/>
      <c r="D415" s="314"/>
      <c r="E415" s="314"/>
      <c r="F415" s="314"/>
      <c r="G415" s="314"/>
      <c r="H415" s="314"/>
      <c r="I415" s="314"/>
    </row>
    <row r="416" spans="1:9" ht="20">
      <c r="A416" s="315"/>
      <c r="B416" s="314"/>
      <c r="C416" s="314"/>
      <c r="D416" s="314"/>
      <c r="E416" s="314"/>
      <c r="F416" s="314"/>
      <c r="G416" s="314"/>
      <c r="H416" s="314"/>
      <c r="I416" s="314"/>
    </row>
    <row r="417" spans="1:9" ht="20">
      <c r="A417" s="315"/>
      <c r="B417" s="314"/>
      <c r="C417" s="314"/>
      <c r="D417" s="314"/>
      <c r="E417" s="314"/>
      <c r="F417" s="314"/>
      <c r="G417" s="314"/>
      <c r="H417" s="314"/>
      <c r="I417" s="314"/>
    </row>
    <row r="418" spans="1:9" ht="20">
      <c r="A418" s="315"/>
      <c r="B418" s="314"/>
      <c r="C418" s="314"/>
      <c r="D418" s="314"/>
      <c r="E418" s="314"/>
      <c r="F418" s="314"/>
      <c r="G418" s="314"/>
      <c r="H418" s="314"/>
      <c r="I418" s="314"/>
    </row>
    <row r="419" spans="1:9" ht="20">
      <c r="A419" s="315"/>
      <c r="B419" s="314"/>
      <c r="C419" s="314"/>
      <c r="D419" s="314"/>
      <c r="E419" s="314"/>
      <c r="F419" s="314"/>
      <c r="G419" s="314"/>
      <c r="H419" s="314"/>
      <c r="I419" s="314"/>
    </row>
    <row r="420" spans="1:9" ht="20">
      <c r="A420" s="315"/>
      <c r="B420" s="314"/>
      <c r="C420" s="314"/>
      <c r="D420" s="314"/>
      <c r="E420" s="314"/>
      <c r="F420" s="314"/>
      <c r="G420" s="314"/>
      <c r="H420" s="314"/>
      <c r="I420" s="314"/>
    </row>
    <row r="421" spans="1:9" ht="20">
      <c r="A421" s="315"/>
      <c r="B421" s="314"/>
      <c r="C421" s="314"/>
      <c r="D421" s="314"/>
      <c r="E421" s="314"/>
      <c r="F421" s="314"/>
      <c r="G421" s="314"/>
      <c r="H421" s="314"/>
      <c r="I421" s="314"/>
    </row>
    <row r="422" spans="1:9" ht="20">
      <c r="A422" s="315"/>
      <c r="B422" s="314"/>
      <c r="C422" s="314"/>
      <c r="D422" s="314"/>
      <c r="E422" s="314"/>
      <c r="F422" s="314"/>
      <c r="G422" s="314"/>
      <c r="H422" s="314"/>
      <c r="I422" s="314"/>
    </row>
    <row r="423" spans="1:9" ht="20">
      <c r="A423" s="315"/>
      <c r="B423" s="314"/>
      <c r="C423" s="314"/>
      <c r="D423" s="314"/>
      <c r="E423" s="314"/>
      <c r="F423" s="314"/>
      <c r="G423" s="314"/>
      <c r="H423" s="314"/>
      <c r="I423" s="314"/>
    </row>
    <row r="424" spans="1:9" ht="20">
      <c r="A424" s="315"/>
      <c r="B424" s="314"/>
      <c r="C424" s="314"/>
      <c r="D424" s="314"/>
      <c r="E424" s="314"/>
      <c r="F424" s="314"/>
      <c r="G424" s="314"/>
      <c r="H424" s="314"/>
      <c r="I424" s="314"/>
    </row>
    <row r="425" spans="1:9" ht="20">
      <c r="A425" s="315"/>
      <c r="B425" s="314"/>
      <c r="C425" s="314"/>
      <c r="D425" s="314"/>
      <c r="E425" s="314"/>
      <c r="F425" s="314"/>
      <c r="G425" s="314"/>
      <c r="H425" s="314"/>
      <c r="I425" s="314"/>
    </row>
    <row r="426" spans="1:9" ht="20">
      <c r="A426" s="315"/>
      <c r="B426" s="314"/>
      <c r="C426" s="314"/>
      <c r="D426" s="314"/>
      <c r="E426" s="314"/>
      <c r="F426" s="314"/>
      <c r="G426" s="314"/>
      <c r="H426" s="314"/>
      <c r="I426" s="314"/>
    </row>
    <row r="427" spans="1:9" ht="20">
      <c r="A427" s="315"/>
      <c r="B427" s="314"/>
      <c r="C427" s="314"/>
      <c r="D427" s="314"/>
      <c r="E427" s="314"/>
      <c r="F427" s="314"/>
      <c r="G427" s="314"/>
      <c r="H427" s="314"/>
      <c r="I427" s="314"/>
    </row>
    <row r="428" spans="1:9" ht="20">
      <c r="A428" s="315"/>
      <c r="B428" s="314"/>
      <c r="C428" s="314"/>
      <c r="D428" s="314"/>
      <c r="E428" s="314"/>
      <c r="F428" s="314"/>
      <c r="G428" s="314"/>
      <c r="H428" s="314"/>
      <c r="I428" s="314"/>
    </row>
    <row r="429" spans="1:9" ht="20">
      <c r="A429" s="315"/>
      <c r="B429" s="314"/>
      <c r="C429" s="314"/>
      <c r="D429" s="314"/>
      <c r="E429" s="314"/>
      <c r="F429" s="314"/>
      <c r="G429" s="314"/>
      <c r="H429" s="314"/>
      <c r="I429" s="314"/>
    </row>
    <row r="430" spans="1:9" ht="20">
      <c r="A430" s="315"/>
      <c r="B430" s="314"/>
      <c r="C430" s="314"/>
      <c r="D430" s="314"/>
      <c r="E430" s="314"/>
      <c r="F430" s="314"/>
      <c r="G430" s="314"/>
      <c r="H430" s="314"/>
      <c r="I430" s="314"/>
    </row>
    <row r="431" spans="1:9" ht="20">
      <c r="A431" s="315"/>
      <c r="B431" s="314"/>
      <c r="C431" s="314"/>
      <c r="D431" s="314"/>
      <c r="E431" s="314"/>
      <c r="F431" s="314"/>
      <c r="G431" s="314"/>
      <c r="H431" s="314"/>
      <c r="I431" s="314"/>
    </row>
    <row r="432" spans="1:9" ht="20">
      <c r="A432" s="315"/>
      <c r="B432" s="314"/>
      <c r="C432" s="314"/>
      <c r="D432" s="314"/>
      <c r="E432" s="314"/>
      <c r="F432" s="314"/>
      <c r="G432" s="314"/>
      <c r="H432" s="314"/>
      <c r="I432" s="314"/>
    </row>
    <row r="433" spans="1:9" ht="20">
      <c r="A433" s="315"/>
      <c r="B433" s="314"/>
      <c r="C433" s="314"/>
      <c r="D433" s="314"/>
      <c r="E433" s="314"/>
      <c r="F433" s="314"/>
      <c r="G433" s="314"/>
      <c r="H433" s="314"/>
      <c r="I433" s="314"/>
    </row>
    <row r="434" spans="1:9" ht="20">
      <c r="A434" s="315"/>
      <c r="B434" s="314"/>
      <c r="C434" s="314"/>
      <c r="D434" s="314"/>
      <c r="E434" s="314"/>
      <c r="F434" s="314"/>
      <c r="G434" s="314"/>
      <c r="H434" s="314"/>
      <c r="I434" s="314"/>
    </row>
    <row r="435" spans="1:9" ht="20">
      <c r="A435" s="315"/>
      <c r="B435" s="4"/>
      <c r="C435" s="4"/>
      <c r="D435" s="4"/>
      <c r="E435" s="4"/>
      <c r="F435" s="4"/>
      <c r="G435" s="4"/>
      <c r="H435" s="4"/>
      <c r="I435" s="4"/>
    </row>
    <row r="436" spans="1:9" ht="20">
      <c r="A436" s="315"/>
      <c r="B436" s="4"/>
      <c r="C436" s="4"/>
      <c r="D436" s="4"/>
      <c r="E436" s="4"/>
      <c r="F436" s="4"/>
      <c r="G436" s="4"/>
      <c r="H436" s="4"/>
      <c r="I436" s="4"/>
    </row>
    <row r="437" spans="1:9" ht="20">
      <c r="A437" s="315"/>
      <c r="B437" s="4"/>
      <c r="C437" s="4"/>
      <c r="D437" s="4"/>
      <c r="E437" s="4"/>
      <c r="F437" s="4"/>
      <c r="G437" s="4"/>
      <c r="H437" s="4"/>
      <c r="I437" s="4"/>
    </row>
    <row r="438" spans="1:9" ht="20">
      <c r="A438" s="315"/>
      <c r="B438" s="4"/>
      <c r="C438" s="4"/>
      <c r="D438" s="4"/>
      <c r="E438" s="4"/>
      <c r="F438" s="4"/>
      <c r="G438" s="4"/>
      <c r="H438" s="4"/>
      <c r="I438" s="4"/>
    </row>
    <row r="439" spans="1:9" ht="20">
      <c r="A439" s="315"/>
      <c r="B439" s="4"/>
      <c r="C439" s="4"/>
      <c r="D439" s="4"/>
      <c r="E439" s="4"/>
      <c r="F439" s="4"/>
      <c r="G439" s="4"/>
      <c r="H439" s="4"/>
      <c r="I439" s="4"/>
    </row>
    <row r="440" spans="1:9" ht="20">
      <c r="A440" s="315"/>
      <c r="B440" s="4"/>
      <c r="C440" s="4"/>
      <c r="D440" s="4"/>
      <c r="E440" s="4"/>
      <c r="F440" s="4"/>
      <c r="G440" s="4"/>
      <c r="H440" s="4"/>
      <c r="I440" s="4"/>
    </row>
    <row r="441" spans="1:9" ht="20">
      <c r="A441" s="315"/>
      <c r="B441" s="4"/>
      <c r="C441" s="4"/>
      <c r="D441" s="4"/>
      <c r="E441" s="4"/>
      <c r="F441" s="4"/>
      <c r="G441" s="4"/>
      <c r="H441" s="4"/>
      <c r="I441" s="4"/>
    </row>
    <row r="442" spans="1:9" ht="20">
      <c r="A442" s="315"/>
      <c r="B442" s="4"/>
      <c r="C442" s="4"/>
      <c r="D442" s="4"/>
      <c r="E442" s="4"/>
      <c r="F442" s="4"/>
      <c r="G442" s="4"/>
      <c r="H442" s="4"/>
      <c r="I442" s="4"/>
    </row>
    <row r="443" spans="1:9" ht="20">
      <c r="A443" s="315"/>
      <c r="B443" s="4"/>
      <c r="C443" s="4"/>
      <c r="D443" s="4"/>
      <c r="E443" s="4"/>
      <c r="F443" s="4"/>
      <c r="G443" s="4"/>
      <c r="H443" s="4"/>
      <c r="I443" s="4"/>
    </row>
    <row r="444" spans="1:9" ht="20">
      <c r="A444" s="315"/>
      <c r="B444" s="4"/>
      <c r="C444" s="4"/>
      <c r="D444" s="4"/>
      <c r="E444" s="4"/>
      <c r="F444" s="4"/>
      <c r="G444" s="4"/>
      <c r="H444" s="4"/>
      <c r="I444" s="4"/>
    </row>
    <row r="445" spans="1:9" ht="20">
      <c r="A445" s="315"/>
      <c r="B445" s="4"/>
      <c r="C445" s="4"/>
      <c r="D445" s="4"/>
      <c r="E445" s="4"/>
      <c r="F445" s="4"/>
      <c r="G445" s="4"/>
      <c r="H445" s="4"/>
      <c r="I445" s="4"/>
    </row>
    <row r="446" spans="1:9" ht="20">
      <c r="A446" s="315"/>
      <c r="B446" s="4"/>
      <c r="C446" s="4"/>
      <c r="D446" s="4"/>
      <c r="E446" s="4"/>
      <c r="F446" s="4"/>
      <c r="G446" s="4"/>
      <c r="H446" s="4"/>
      <c r="I446" s="4"/>
    </row>
    <row r="447" spans="1:9" ht="20">
      <c r="A447" s="315"/>
      <c r="B447" s="4"/>
      <c r="C447" s="4"/>
      <c r="D447" s="4"/>
      <c r="E447" s="4"/>
      <c r="F447" s="4"/>
      <c r="G447" s="4"/>
      <c r="H447" s="4"/>
      <c r="I447" s="4"/>
    </row>
    <row r="448" spans="1:9" ht="20">
      <c r="A448" s="315"/>
      <c r="B448" s="4"/>
      <c r="C448" s="4"/>
      <c r="D448" s="4"/>
      <c r="E448" s="4"/>
      <c r="F448" s="4"/>
      <c r="G448" s="4"/>
      <c r="H448" s="4"/>
      <c r="I448" s="4"/>
    </row>
    <row r="449" spans="1:9" ht="20">
      <c r="A449" s="315"/>
      <c r="B449" s="4"/>
      <c r="C449" s="4"/>
      <c r="D449" s="4"/>
      <c r="E449" s="4"/>
      <c r="F449" s="4"/>
      <c r="G449" s="4"/>
      <c r="H449" s="4"/>
      <c r="I449" s="4"/>
    </row>
    <row r="450" spans="1:9" ht="20">
      <c r="A450" s="315"/>
      <c r="B450" s="4"/>
      <c r="C450" s="4"/>
      <c r="D450" s="4"/>
      <c r="E450" s="4"/>
      <c r="F450" s="4"/>
      <c r="G450" s="4"/>
      <c r="H450" s="4"/>
      <c r="I450" s="4"/>
    </row>
    <row r="451" spans="1:9" ht="20">
      <c r="A451" s="315"/>
      <c r="B451" s="4"/>
      <c r="C451" s="4"/>
      <c r="D451" s="4"/>
      <c r="E451" s="4"/>
      <c r="F451" s="4"/>
      <c r="G451" s="4"/>
      <c r="H451" s="4"/>
      <c r="I451" s="4"/>
    </row>
    <row r="452" spans="1:9" ht="20">
      <c r="A452" s="315"/>
      <c r="B452" s="4"/>
      <c r="C452" s="4"/>
      <c r="D452" s="4"/>
      <c r="E452" s="4"/>
      <c r="F452" s="4"/>
      <c r="G452" s="4"/>
      <c r="H452" s="4"/>
      <c r="I452" s="4"/>
    </row>
    <row r="453" spans="1:9" ht="20">
      <c r="A453" s="315"/>
      <c r="B453" s="4"/>
      <c r="C453" s="4"/>
      <c r="D453" s="4"/>
      <c r="E453" s="4"/>
      <c r="F453" s="4"/>
      <c r="G453" s="4"/>
      <c r="H453" s="4"/>
      <c r="I453" s="4"/>
    </row>
    <row r="454" spans="1:9" ht="20">
      <c r="A454" s="315"/>
      <c r="B454" s="4"/>
      <c r="C454" s="4"/>
      <c r="D454" s="4"/>
      <c r="E454" s="4"/>
      <c r="F454" s="4"/>
      <c r="G454" s="4"/>
      <c r="H454" s="4"/>
      <c r="I454" s="4"/>
    </row>
    <row r="455" spans="1:9" ht="20">
      <c r="A455" s="315"/>
      <c r="B455" s="4"/>
      <c r="C455" s="4"/>
      <c r="D455" s="4"/>
      <c r="E455" s="4"/>
      <c r="F455" s="4"/>
      <c r="G455" s="4"/>
      <c r="H455" s="4"/>
      <c r="I455" s="4"/>
    </row>
    <row r="456" spans="1:9" ht="20">
      <c r="A456" s="315"/>
      <c r="B456" s="4"/>
      <c r="C456" s="4"/>
      <c r="D456" s="4"/>
      <c r="E456" s="4"/>
      <c r="F456" s="4"/>
      <c r="G456" s="4"/>
      <c r="H456" s="4"/>
      <c r="I456" s="4"/>
    </row>
    <row r="457" spans="1:9" ht="20">
      <c r="A457" s="315"/>
      <c r="B457" s="4"/>
      <c r="C457" s="4"/>
      <c r="D457" s="4"/>
      <c r="E457" s="4"/>
      <c r="F457" s="4"/>
      <c r="G457" s="4"/>
      <c r="H457" s="4"/>
      <c r="I457" s="4"/>
    </row>
    <row r="458" spans="1:9" ht="20">
      <c r="A458" s="315"/>
      <c r="B458" s="4"/>
      <c r="C458" s="4"/>
      <c r="D458" s="4"/>
      <c r="E458" s="4"/>
      <c r="F458" s="4"/>
      <c r="G458" s="4"/>
      <c r="H458" s="4"/>
      <c r="I458" s="4"/>
    </row>
    <row r="459" spans="1:9" ht="20">
      <c r="A459" s="315"/>
      <c r="B459" s="4"/>
      <c r="C459" s="4"/>
      <c r="D459" s="4"/>
      <c r="E459" s="4"/>
      <c r="F459" s="4"/>
      <c r="G459" s="4"/>
      <c r="H459" s="4"/>
      <c r="I459" s="4"/>
    </row>
    <row r="460" spans="1:9" ht="20">
      <c r="A460" s="315"/>
      <c r="B460" s="4"/>
      <c r="C460" s="4"/>
      <c r="D460" s="4"/>
      <c r="E460" s="4"/>
      <c r="F460" s="4"/>
      <c r="G460" s="4"/>
      <c r="H460" s="4"/>
      <c r="I460" s="4"/>
    </row>
    <row r="461" spans="1:9" ht="20">
      <c r="A461" s="315"/>
      <c r="B461" s="4"/>
      <c r="C461" s="4"/>
      <c r="D461" s="4"/>
      <c r="E461" s="4"/>
      <c r="F461" s="4"/>
      <c r="G461" s="4"/>
      <c r="H461" s="4"/>
      <c r="I461" s="4"/>
    </row>
    <row r="462" spans="1:9" ht="20">
      <c r="A462" s="315"/>
      <c r="B462" s="4"/>
      <c r="C462" s="4"/>
      <c r="D462" s="4"/>
      <c r="E462" s="4"/>
      <c r="F462" s="4"/>
      <c r="G462" s="4"/>
      <c r="H462" s="4"/>
      <c r="I462" s="4"/>
    </row>
    <row r="463" spans="1:9" ht="20">
      <c r="A463" s="315"/>
      <c r="B463" s="4"/>
      <c r="C463" s="4"/>
      <c r="D463" s="4"/>
      <c r="E463" s="4"/>
      <c r="F463" s="4"/>
      <c r="G463" s="4"/>
      <c r="H463" s="4"/>
      <c r="I463" s="4"/>
    </row>
    <row r="464" spans="1:9" ht="20">
      <c r="A464" s="315"/>
      <c r="B464" s="4"/>
      <c r="C464" s="4"/>
      <c r="D464" s="4"/>
      <c r="E464" s="4"/>
      <c r="F464" s="4"/>
      <c r="G464" s="4"/>
      <c r="H464" s="4"/>
      <c r="I464" s="4"/>
    </row>
    <row r="465" spans="1:9" ht="20">
      <c r="A465" s="315"/>
      <c r="B465" s="4"/>
      <c r="C465" s="4"/>
      <c r="D465" s="4"/>
      <c r="E465" s="4"/>
      <c r="F465" s="4"/>
      <c r="G465" s="4"/>
      <c r="H465" s="4"/>
      <c r="I465" s="4"/>
    </row>
    <row r="466" spans="1:9" ht="20">
      <c r="A466" s="315"/>
      <c r="B466" s="4"/>
      <c r="C466" s="4"/>
      <c r="D466" s="4"/>
      <c r="E466" s="4"/>
      <c r="F466" s="4"/>
      <c r="G466" s="4"/>
      <c r="H466" s="4"/>
      <c r="I466" s="4"/>
    </row>
    <row r="467" spans="1:9" ht="20">
      <c r="A467" s="315"/>
      <c r="B467" s="4"/>
      <c r="C467" s="4"/>
      <c r="D467" s="4"/>
      <c r="E467" s="4"/>
      <c r="F467" s="4"/>
      <c r="G467" s="4"/>
      <c r="H467" s="4"/>
      <c r="I467" s="4"/>
    </row>
    <row r="468" spans="1:9" ht="20">
      <c r="A468" s="315"/>
      <c r="B468" s="4"/>
      <c r="C468" s="4"/>
      <c r="D468" s="4"/>
      <c r="E468" s="4"/>
      <c r="F468" s="4"/>
      <c r="G468" s="4"/>
      <c r="H468" s="4"/>
      <c r="I468" s="4"/>
    </row>
    <row r="469" spans="1:9" ht="20">
      <c r="A469" s="315"/>
      <c r="B469" s="4"/>
      <c r="C469" s="4"/>
      <c r="D469" s="4"/>
      <c r="E469" s="4"/>
      <c r="F469" s="4"/>
      <c r="G469" s="4"/>
      <c r="H469" s="4"/>
      <c r="I469" s="4"/>
    </row>
    <row r="470" spans="1:9" ht="20">
      <c r="A470" s="315"/>
      <c r="B470" s="4"/>
      <c r="C470" s="4"/>
      <c r="D470" s="4"/>
      <c r="E470" s="4"/>
      <c r="F470" s="4"/>
      <c r="G470" s="4"/>
      <c r="H470" s="4"/>
      <c r="I470" s="4"/>
    </row>
    <row r="471" spans="1:9" ht="20">
      <c r="A471" s="315"/>
      <c r="B471" s="4"/>
      <c r="C471" s="4"/>
      <c r="D471" s="4"/>
      <c r="E471" s="4"/>
      <c r="F471" s="4"/>
      <c r="G471" s="4"/>
      <c r="H471" s="4"/>
      <c r="I471" s="4"/>
    </row>
    <row r="472" spans="1:9" ht="20">
      <c r="A472" s="315"/>
      <c r="B472" s="4"/>
      <c r="C472" s="4"/>
      <c r="D472" s="4"/>
      <c r="E472" s="4"/>
      <c r="F472" s="4"/>
      <c r="G472" s="4"/>
      <c r="H472" s="4"/>
      <c r="I472" s="4"/>
    </row>
    <row r="473" spans="1:9" ht="20">
      <c r="A473" s="315"/>
      <c r="B473" s="4"/>
      <c r="C473" s="4"/>
      <c r="D473" s="4"/>
      <c r="E473" s="4"/>
      <c r="F473" s="4"/>
      <c r="G473" s="4"/>
      <c r="H473" s="4"/>
      <c r="I473" s="4"/>
    </row>
    <row r="474" spans="1:9" ht="20">
      <c r="A474" s="315"/>
      <c r="B474" s="4"/>
      <c r="C474" s="4"/>
      <c r="D474" s="4"/>
      <c r="E474" s="4"/>
      <c r="F474" s="4"/>
      <c r="G474" s="4"/>
      <c r="H474" s="4"/>
      <c r="I474" s="4"/>
    </row>
    <row r="475" spans="1:9" ht="20">
      <c r="A475" s="315"/>
      <c r="B475" s="4"/>
      <c r="C475" s="4"/>
      <c r="D475" s="4"/>
      <c r="E475" s="4"/>
      <c r="F475" s="4"/>
      <c r="G475" s="4"/>
      <c r="H475" s="4"/>
      <c r="I475" s="4"/>
    </row>
    <row r="476" spans="1:9" ht="20">
      <c r="A476" s="315"/>
      <c r="B476" s="4"/>
      <c r="C476" s="4"/>
      <c r="D476" s="4"/>
      <c r="E476" s="4"/>
      <c r="F476" s="4"/>
      <c r="G476" s="4"/>
      <c r="H476" s="4"/>
      <c r="I476" s="4"/>
    </row>
    <row r="477" spans="1:9" ht="20">
      <c r="A477" s="315"/>
      <c r="B477" s="4"/>
      <c r="C477" s="4"/>
      <c r="D477" s="4"/>
      <c r="E477" s="4"/>
      <c r="F477" s="4"/>
      <c r="G477" s="4"/>
      <c r="H477" s="4"/>
      <c r="I477" s="4"/>
    </row>
    <row r="478" spans="1:9" ht="20">
      <c r="A478" s="315"/>
      <c r="B478" s="4"/>
      <c r="C478" s="4"/>
      <c r="D478" s="4"/>
      <c r="E478" s="4"/>
      <c r="F478" s="4"/>
      <c r="G478" s="4"/>
      <c r="H478" s="4"/>
      <c r="I478" s="4"/>
    </row>
    <row r="479" spans="1:9" ht="20">
      <c r="A479" s="315"/>
      <c r="B479" s="4"/>
      <c r="C479" s="4"/>
      <c r="D479" s="4"/>
      <c r="E479" s="4"/>
      <c r="F479" s="4"/>
      <c r="G479" s="4"/>
      <c r="H479" s="4"/>
      <c r="I479" s="4"/>
    </row>
    <row r="480" spans="1:9" ht="20">
      <c r="A480" s="315"/>
      <c r="B480" s="4"/>
      <c r="C480" s="4"/>
      <c r="D480" s="4"/>
      <c r="E480" s="4"/>
      <c r="F480" s="4"/>
      <c r="G480" s="4"/>
      <c r="H480" s="4"/>
      <c r="I480" s="4"/>
    </row>
    <row r="481" spans="1:9" ht="20">
      <c r="A481" s="315"/>
      <c r="B481" s="4"/>
      <c r="C481" s="4"/>
      <c r="D481" s="4"/>
      <c r="E481" s="4"/>
      <c r="F481" s="4"/>
      <c r="G481" s="4"/>
      <c r="H481" s="4"/>
      <c r="I481" s="4"/>
    </row>
    <row r="482" spans="1:9" ht="20">
      <c r="A482" s="315"/>
      <c r="B482" s="4"/>
      <c r="C482" s="4"/>
      <c r="D482" s="4"/>
      <c r="E482" s="4"/>
      <c r="F482" s="4"/>
      <c r="G482" s="4"/>
      <c r="H482" s="4"/>
      <c r="I482" s="4"/>
    </row>
    <row r="483" spans="1:9" ht="20">
      <c r="A483" s="315"/>
      <c r="B483" s="4"/>
      <c r="C483" s="4"/>
      <c r="D483" s="4"/>
      <c r="E483" s="4"/>
      <c r="F483" s="4"/>
      <c r="G483" s="4"/>
      <c r="H483" s="4"/>
      <c r="I483" s="4"/>
    </row>
    <row r="484" spans="1:9" ht="20">
      <c r="A484" s="315"/>
      <c r="B484" s="4"/>
      <c r="C484" s="4"/>
      <c r="D484" s="4"/>
      <c r="E484" s="4"/>
      <c r="F484" s="4"/>
      <c r="G484" s="4"/>
      <c r="H484" s="4"/>
      <c r="I484" s="4"/>
    </row>
    <row r="485" spans="1:9" ht="20">
      <c r="A485" s="315"/>
      <c r="B485" s="4"/>
      <c r="C485" s="4"/>
      <c r="D485" s="4"/>
      <c r="E485" s="4"/>
      <c r="F485" s="4"/>
      <c r="G485" s="4"/>
      <c r="H485" s="4"/>
      <c r="I485" s="4"/>
    </row>
    <row r="486" spans="1:9" ht="20">
      <c r="A486" s="315"/>
      <c r="B486" s="4"/>
      <c r="C486" s="4"/>
      <c r="D486" s="4"/>
      <c r="E486" s="4"/>
      <c r="F486" s="4"/>
      <c r="G486" s="4"/>
      <c r="H486" s="4"/>
      <c r="I486" s="4"/>
    </row>
    <row r="487" spans="1:9" ht="20">
      <c r="A487" s="315"/>
      <c r="B487" s="4"/>
      <c r="C487" s="4"/>
      <c r="D487" s="4"/>
      <c r="E487" s="4"/>
      <c r="F487" s="4"/>
      <c r="G487" s="4"/>
      <c r="H487" s="4"/>
      <c r="I487" s="4"/>
    </row>
    <row r="488" spans="1:9" ht="20">
      <c r="A488" s="315"/>
      <c r="B488" s="4"/>
      <c r="C488" s="4"/>
      <c r="D488" s="4"/>
      <c r="E488" s="4"/>
      <c r="F488" s="4"/>
      <c r="G488" s="4"/>
      <c r="H488" s="4"/>
      <c r="I488" s="4"/>
    </row>
    <row r="489" spans="1:9" ht="20">
      <c r="A489" s="315"/>
      <c r="B489" s="4"/>
      <c r="C489" s="4"/>
      <c r="D489" s="4"/>
      <c r="E489" s="4"/>
      <c r="F489" s="4"/>
      <c r="G489" s="4"/>
      <c r="H489" s="4"/>
      <c r="I489" s="4"/>
    </row>
    <row r="490" spans="1:9" ht="20">
      <c r="A490" s="315"/>
      <c r="B490" s="4"/>
      <c r="C490" s="4"/>
      <c r="D490" s="4"/>
      <c r="E490" s="4"/>
      <c r="F490" s="4"/>
      <c r="G490" s="4"/>
      <c r="H490" s="4"/>
      <c r="I490" s="4"/>
    </row>
    <row r="491" spans="1:9" ht="20">
      <c r="A491" s="315"/>
      <c r="B491" s="4"/>
      <c r="C491" s="4"/>
      <c r="D491" s="4"/>
      <c r="E491" s="4"/>
      <c r="F491" s="4"/>
      <c r="G491" s="4"/>
      <c r="H491" s="4"/>
      <c r="I491" s="4"/>
    </row>
    <row r="492" spans="1:9" ht="20">
      <c r="A492" s="315"/>
      <c r="B492" s="4"/>
      <c r="C492" s="4"/>
      <c r="D492" s="4"/>
      <c r="E492" s="4"/>
      <c r="F492" s="4"/>
      <c r="G492" s="4"/>
      <c r="H492" s="4"/>
      <c r="I492" s="4"/>
    </row>
    <row r="493" spans="1:9" ht="20">
      <c r="A493" s="315"/>
      <c r="B493" s="4"/>
      <c r="C493" s="4"/>
      <c r="D493" s="4"/>
      <c r="E493" s="4"/>
      <c r="F493" s="4"/>
      <c r="G493" s="4"/>
      <c r="H493" s="4"/>
      <c r="I493" s="4"/>
    </row>
    <row r="494" spans="1:9" ht="20">
      <c r="A494" s="315"/>
      <c r="B494" s="4"/>
      <c r="C494" s="4"/>
      <c r="D494" s="4"/>
      <c r="E494" s="4"/>
      <c r="F494" s="4"/>
      <c r="G494" s="4"/>
      <c r="H494" s="4"/>
      <c r="I494" s="4"/>
    </row>
    <row r="495" spans="1:9" ht="20">
      <c r="A495" s="315"/>
      <c r="B495" s="4"/>
      <c r="C495" s="4"/>
      <c r="D495" s="4"/>
      <c r="E495" s="4"/>
      <c r="F495" s="4"/>
      <c r="G495" s="4"/>
      <c r="H495" s="4"/>
      <c r="I495" s="4"/>
    </row>
    <row r="496" spans="1:9" ht="20">
      <c r="A496" s="315"/>
      <c r="B496" s="4"/>
      <c r="C496" s="4"/>
      <c r="D496" s="4"/>
      <c r="E496" s="4"/>
      <c r="F496" s="4"/>
      <c r="G496" s="4"/>
      <c r="H496" s="4"/>
      <c r="I496" s="4"/>
    </row>
    <row r="497" spans="1:9" ht="20">
      <c r="A497" s="315"/>
      <c r="B497" s="4"/>
      <c r="C497" s="4"/>
      <c r="D497" s="4"/>
      <c r="E497" s="4"/>
      <c r="F497" s="4"/>
      <c r="G497" s="4"/>
      <c r="H497" s="4"/>
      <c r="I497" s="4"/>
    </row>
    <row r="498" spans="1:9" ht="20">
      <c r="A498" s="315"/>
      <c r="B498" s="4"/>
      <c r="C498" s="4"/>
      <c r="D498" s="4"/>
      <c r="E498" s="4"/>
      <c r="F498" s="4"/>
      <c r="G498" s="4"/>
      <c r="H498" s="4"/>
      <c r="I498" s="4"/>
    </row>
    <row r="499" spans="1:9" ht="20">
      <c r="A499" s="315"/>
      <c r="B499" s="4"/>
      <c r="C499" s="4"/>
      <c r="D499" s="4"/>
      <c r="E499" s="4"/>
      <c r="F499" s="4"/>
      <c r="G499" s="4"/>
      <c r="H499" s="4"/>
      <c r="I499" s="4"/>
    </row>
    <row r="500" spans="1:9" ht="20">
      <c r="A500" s="315"/>
      <c r="B500" s="4"/>
      <c r="C500" s="4"/>
      <c r="D500" s="4"/>
      <c r="E500" s="4"/>
      <c r="F500" s="4"/>
      <c r="G500" s="4"/>
      <c r="H500" s="4"/>
      <c r="I500" s="4"/>
    </row>
    <row r="501" spans="1:9" ht="20">
      <c r="A501" s="315"/>
      <c r="B501" s="4"/>
      <c r="C501" s="4"/>
      <c r="D501" s="4"/>
      <c r="E501" s="4"/>
      <c r="F501" s="4"/>
      <c r="G501" s="4"/>
      <c r="H501" s="4"/>
      <c r="I501" s="4"/>
    </row>
    <row r="502" spans="1:9" ht="20">
      <c r="A502" s="315"/>
      <c r="B502" s="4"/>
      <c r="C502" s="4"/>
      <c r="D502" s="4"/>
      <c r="E502" s="4"/>
      <c r="F502" s="4"/>
      <c r="G502" s="4"/>
      <c r="H502" s="4"/>
      <c r="I502" s="4"/>
    </row>
    <row r="503" spans="1:9" ht="20">
      <c r="A503" s="315"/>
      <c r="B503" s="4"/>
      <c r="C503" s="4"/>
      <c r="D503" s="4"/>
      <c r="E503" s="4"/>
      <c r="F503" s="4"/>
      <c r="G503" s="4"/>
      <c r="H503" s="4"/>
      <c r="I503" s="4"/>
    </row>
    <row r="504" spans="1:9" ht="20">
      <c r="A504" s="315"/>
      <c r="B504" s="4"/>
      <c r="C504" s="4"/>
      <c r="D504" s="4"/>
      <c r="E504" s="4"/>
      <c r="F504" s="4"/>
      <c r="G504" s="4"/>
      <c r="H504" s="4"/>
      <c r="I504" s="4"/>
    </row>
    <row r="505" spans="1:9" ht="20">
      <c r="A505" s="315"/>
      <c r="B505" s="4"/>
      <c r="C505" s="4"/>
      <c r="D505" s="4"/>
      <c r="E505" s="4"/>
      <c r="F505" s="4"/>
      <c r="G505" s="4"/>
      <c r="H505" s="4"/>
      <c r="I505" s="4"/>
    </row>
    <row r="506" spans="1:9" ht="20">
      <c r="A506" s="315"/>
      <c r="B506" s="4"/>
      <c r="C506" s="4"/>
      <c r="D506" s="4"/>
      <c r="E506" s="4"/>
      <c r="F506" s="4"/>
      <c r="G506" s="4"/>
      <c r="H506" s="4"/>
      <c r="I506" s="4"/>
    </row>
    <row r="507" spans="1:9" ht="20">
      <c r="A507" s="315"/>
      <c r="B507" s="4"/>
      <c r="C507" s="4"/>
      <c r="D507" s="4"/>
      <c r="E507" s="4"/>
      <c r="F507" s="4"/>
      <c r="G507" s="4"/>
      <c r="H507" s="4"/>
      <c r="I507" s="4"/>
    </row>
    <row r="508" spans="1:9" ht="20">
      <c r="A508" s="315"/>
      <c r="B508" s="4"/>
      <c r="C508" s="4"/>
      <c r="D508" s="4"/>
      <c r="E508" s="4"/>
      <c r="F508" s="4"/>
      <c r="G508" s="4"/>
      <c r="H508" s="4"/>
      <c r="I508" s="4"/>
    </row>
    <row r="509" spans="1:9" ht="20">
      <c r="A509" s="315"/>
      <c r="B509" s="4"/>
      <c r="C509" s="4"/>
      <c r="D509" s="4"/>
      <c r="E509" s="4"/>
      <c r="F509" s="4"/>
      <c r="G509" s="4"/>
      <c r="H509" s="4"/>
      <c r="I509" s="4"/>
    </row>
    <row r="510" spans="1:9" ht="20">
      <c r="A510" s="315"/>
      <c r="B510" s="4"/>
      <c r="C510" s="4"/>
      <c r="D510" s="4"/>
      <c r="E510" s="4"/>
      <c r="F510" s="4"/>
      <c r="G510" s="4"/>
      <c r="H510" s="4"/>
      <c r="I510" s="4"/>
    </row>
    <row r="511" spans="1:9" ht="20">
      <c r="A511" s="315"/>
      <c r="B511" s="4"/>
      <c r="C511" s="4"/>
      <c r="D511" s="4"/>
      <c r="E511" s="4"/>
      <c r="F511" s="4"/>
      <c r="G511" s="4"/>
      <c r="H511" s="4"/>
      <c r="I511" s="4"/>
    </row>
    <row r="512" spans="1:9" ht="20">
      <c r="A512" s="315"/>
      <c r="B512" s="4"/>
      <c r="C512" s="4"/>
      <c r="D512" s="4"/>
      <c r="E512" s="4"/>
      <c r="F512" s="4"/>
      <c r="G512" s="4"/>
      <c r="H512" s="4"/>
      <c r="I512" s="4"/>
    </row>
    <row r="513" spans="1:9" ht="20">
      <c r="A513" s="315"/>
      <c r="B513" s="4"/>
      <c r="C513" s="4"/>
      <c r="D513" s="4"/>
      <c r="E513" s="4"/>
      <c r="F513" s="4"/>
      <c r="G513" s="4"/>
      <c r="H513" s="4"/>
      <c r="I513" s="4"/>
    </row>
    <row r="514" spans="1:9" ht="20">
      <c r="A514" s="315"/>
      <c r="B514" s="4"/>
      <c r="C514" s="4"/>
      <c r="D514" s="4"/>
      <c r="E514" s="4"/>
      <c r="F514" s="4"/>
      <c r="G514" s="4"/>
      <c r="H514" s="4"/>
      <c r="I514" s="4"/>
    </row>
    <row r="515" spans="1:9" ht="20">
      <c r="A515" s="315"/>
      <c r="B515" s="4"/>
      <c r="C515" s="4"/>
      <c r="D515" s="4"/>
      <c r="E515" s="4"/>
      <c r="F515" s="4"/>
      <c r="G515" s="4"/>
      <c r="H515" s="4"/>
      <c r="I515" s="4"/>
    </row>
    <row r="516" spans="1:9" ht="20">
      <c r="A516" s="315"/>
      <c r="B516" s="4"/>
      <c r="C516" s="4"/>
      <c r="D516" s="4"/>
      <c r="E516" s="4"/>
      <c r="F516" s="4"/>
      <c r="G516" s="4"/>
      <c r="H516" s="4"/>
      <c r="I516" s="4"/>
    </row>
    <row r="517" spans="1:9" ht="20">
      <c r="A517" s="315"/>
      <c r="B517" s="4"/>
      <c r="C517" s="4"/>
      <c r="D517" s="4"/>
      <c r="E517" s="4"/>
      <c r="F517" s="4"/>
      <c r="G517" s="4"/>
      <c r="H517" s="4"/>
      <c r="I517" s="4"/>
    </row>
    <row r="518" spans="1:9" ht="20">
      <c r="A518" s="315"/>
      <c r="B518" s="4"/>
      <c r="C518" s="4"/>
      <c r="D518" s="4"/>
      <c r="E518" s="4"/>
      <c r="F518" s="4"/>
      <c r="G518" s="4"/>
      <c r="H518" s="4"/>
      <c r="I518" s="4"/>
    </row>
    <row r="519" spans="1:9" ht="20">
      <c r="A519" s="315"/>
      <c r="B519" s="4"/>
      <c r="C519" s="4"/>
      <c r="D519" s="4"/>
      <c r="E519" s="4"/>
      <c r="F519" s="4"/>
      <c r="G519" s="4"/>
      <c r="H519" s="4"/>
      <c r="I519" s="4"/>
    </row>
    <row r="520" spans="1:9" ht="20">
      <c r="A520" s="315"/>
      <c r="B520" s="4"/>
      <c r="C520" s="4"/>
      <c r="D520" s="4"/>
      <c r="E520" s="4"/>
      <c r="F520" s="4"/>
      <c r="G520" s="4"/>
      <c r="H520" s="4"/>
      <c r="I520" s="4"/>
    </row>
    <row r="521" spans="1:9" ht="20">
      <c r="A521" s="315"/>
      <c r="B521" s="4"/>
      <c r="C521" s="4"/>
      <c r="D521" s="4"/>
      <c r="E521" s="4"/>
      <c r="F521" s="4"/>
      <c r="G521" s="4"/>
      <c r="H521" s="4"/>
      <c r="I521" s="4"/>
    </row>
    <row r="522" spans="1:9" ht="20">
      <c r="A522" s="315"/>
      <c r="B522" s="4"/>
      <c r="C522" s="4"/>
      <c r="D522" s="4"/>
      <c r="E522" s="4"/>
      <c r="F522" s="4"/>
      <c r="G522" s="4"/>
      <c r="H522" s="4"/>
      <c r="I522" s="4"/>
    </row>
    <row r="523" spans="1:9" ht="20">
      <c r="A523" s="315"/>
      <c r="B523" s="4"/>
      <c r="C523" s="4"/>
      <c r="D523" s="4"/>
      <c r="E523" s="4"/>
      <c r="F523" s="4"/>
      <c r="G523" s="4"/>
      <c r="H523" s="4"/>
      <c r="I523" s="4"/>
    </row>
    <row r="524" spans="1:9" ht="20">
      <c r="A524" s="315"/>
      <c r="B524" s="4"/>
      <c r="C524" s="4"/>
      <c r="D524" s="4"/>
      <c r="E524" s="4"/>
      <c r="F524" s="4"/>
      <c r="G524" s="4"/>
      <c r="H524" s="4"/>
      <c r="I524" s="4"/>
    </row>
    <row r="525" spans="1:9" ht="20">
      <c r="A525" s="315"/>
      <c r="B525" s="4"/>
      <c r="C525" s="4"/>
      <c r="D525" s="4"/>
      <c r="E525" s="4"/>
      <c r="F525" s="4"/>
      <c r="G525" s="4"/>
      <c r="H525" s="4"/>
      <c r="I525" s="4"/>
    </row>
    <row r="526" spans="1:9" ht="20">
      <c r="A526" s="315"/>
      <c r="B526" s="4"/>
      <c r="C526" s="4"/>
      <c r="D526" s="4"/>
      <c r="E526" s="4"/>
      <c r="F526" s="4"/>
      <c r="G526" s="4"/>
      <c r="H526" s="4"/>
      <c r="I526" s="4"/>
    </row>
    <row r="527" spans="1:9" ht="20">
      <c r="A527" s="315"/>
      <c r="B527" s="4"/>
      <c r="C527" s="4"/>
      <c r="D527" s="4"/>
      <c r="E527" s="4"/>
      <c r="F527" s="4"/>
      <c r="G527" s="4"/>
      <c r="H527" s="4"/>
      <c r="I527" s="4"/>
    </row>
    <row r="528" spans="1:9" ht="20">
      <c r="A528" s="315"/>
      <c r="B528" s="4"/>
      <c r="C528" s="4"/>
      <c r="D528" s="4"/>
      <c r="E528" s="4"/>
      <c r="F528" s="4"/>
      <c r="G528" s="4"/>
      <c r="H528" s="4"/>
      <c r="I528" s="4"/>
    </row>
    <row r="529" spans="1:9" ht="20">
      <c r="A529" s="315"/>
      <c r="B529" s="4"/>
      <c r="C529" s="4"/>
      <c r="D529" s="4"/>
      <c r="E529" s="4"/>
      <c r="F529" s="4"/>
      <c r="G529" s="4"/>
      <c r="H529" s="4"/>
      <c r="I529" s="4"/>
    </row>
    <row r="530" spans="1:9" ht="20">
      <c r="A530" s="315"/>
      <c r="B530" s="4"/>
      <c r="C530" s="4"/>
      <c r="D530" s="4"/>
      <c r="E530" s="4"/>
      <c r="F530" s="4"/>
      <c r="G530" s="4"/>
      <c r="H530" s="4"/>
      <c r="I530" s="4"/>
    </row>
    <row r="531" spans="1:9" ht="20">
      <c r="A531" s="315"/>
      <c r="B531" s="4"/>
      <c r="C531" s="4"/>
      <c r="D531" s="4"/>
      <c r="E531" s="4"/>
      <c r="F531" s="4"/>
      <c r="G531" s="4"/>
      <c r="H531" s="4"/>
      <c r="I531" s="4"/>
    </row>
    <row r="532" spans="1:9" ht="20">
      <c r="A532" s="315"/>
      <c r="B532" s="4"/>
      <c r="C532" s="4"/>
      <c r="D532" s="4"/>
      <c r="E532" s="4"/>
      <c r="F532" s="4"/>
      <c r="G532" s="4"/>
      <c r="H532" s="4"/>
      <c r="I532" s="4"/>
    </row>
    <row r="533" spans="1:9" ht="20">
      <c r="A533" s="315"/>
      <c r="B533" s="4"/>
      <c r="C533" s="4"/>
      <c r="D533" s="4"/>
      <c r="E533" s="4"/>
      <c r="F533" s="4"/>
      <c r="G533" s="4"/>
      <c r="H533" s="4"/>
      <c r="I533" s="4"/>
    </row>
    <row r="534" spans="1:9" ht="20">
      <c r="A534" s="315"/>
      <c r="B534" s="4"/>
      <c r="C534" s="4"/>
      <c r="D534" s="4"/>
      <c r="E534" s="4"/>
      <c r="F534" s="4"/>
      <c r="G534" s="4"/>
      <c r="H534" s="4"/>
      <c r="I534" s="4"/>
    </row>
    <row r="535" spans="1:9" ht="20">
      <c r="A535" s="315"/>
      <c r="B535" s="4"/>
      <c r="C535" s="4"/>
      <c r="D535" s="4"/>
      <c r="E535" s="4"/>
      <c r="F535" s="4"/>
      <c r="G535" s="4"/>
      <c r="H535" s="4"/>
      <c r="I535" s="4"/>
    </row>
    <row r="536" spans="1:9" ht="20">
      <c r="A536" s="315"/>
      <c r="B536" s="4"/>
      <c r="C536" s="4"/>
      <c r="D536" s="4"/>
      <c r="E536" s="4"/>
      <c r="F536" s="4"/>
      <c r="G536" s="4"/>
      <c r="H536" s="4"/>
      <c r="I536" s="4"/>
    </row>
    <row r="537" spans="1:9" ht="20">
      <c r="A537" s="315"/>
      <c r="B537" s="4"/>
      <c r="C537" s="4"/>
      <c r="D537" s="4"/>
      <c r="E537" s="4"/>
      <c r="F537" s="4"/>
      <c r="G537" s="4"/>
      <c r="H537" s="4"/>
      <c r="I537" s="4"/>
    </row>
    <row r="538" spans="1:9" ht="20">
      <c r="A538" s="315"/>
      <c r="B538" s="4"/>
      <c r="C538" s="4"/>
      <c r="D538" s="4"/>
      <c r="E538" s="4"/>
      <c r="F538" s="4"/>
      <c r="G538" s="4"/>
      <c r="H538" s="4"/>
      <c r="I538" s="4"/>
    </row>
    <row r="539" spans="1:9" ht="20">
      <c r="A539" s="315"/>
      <c r="B539" s="4"/>
      <c r="C539" s="4"/>
      <c r="D539" s="4"/>
      <c r="E539" s="4"/>
      <c r="F539" s="4"/>
      <c r="G539" s="4"/>
      <c r="H539" s="4"/>
      <c r="I539" s="4"/>
    </row>
    <row r="540" spans="1:9" ht="20">
      <c r="A540" s="315"/>
      <c r="B540" s="4"/>
      <c r="C540" s="4"/>
      <c r="D540" s="4"/>
      <c r="E540" s="4"/>
      <c r="F540" s="4"/>
      <c r="G540" s="4"/>
      <c r="H540" s="4"/>
      <c r="I540" s="4"/>
    </row>
    <row r="541" spans="1:9" ht="20">
      <c r="A541" s="315"/>
      <c r="B541" s="4"/>
      <c r="C541" s="4"/>
      <c r="D541" s="4"/>
      <c r="E541" s="4"/>
      <c r="F541" s="4"/>
      <c r="G541" s="4"/>
      <c r="H541" s="4"/>
      <c r="I541" s="4"/>
    </row>
    <row r="542" spans="1:9" ht="20">
      <c r="A542" s="315"/>
      <c r="B542" s="4"/>
      <c r="C542" s="4"/>
      <c r="D542" s="4"/>
      <c r="E542" s="4"/>
      <c r="F542" s="4"/>
      <c r="G542" s="4"/>
      <c r="H542" s="4"/>
      <c r="I542" s="4"/>
    </row>
    <row r="543" spans="1:9" ht="20">
      <c r="A543" s="315"/>
      <c r="B543" s="4"/>
      <c r="C543" s="4"/>
      <c r="D543" s="4"/>
      <c r="E543" s="4"/>
      <c r="F543" s="4"/>
      <c r="G543" s="4"/>
      <c r="H543" s="4"/>
      <c r="I543" s="4"/>
    </row>
    <row r="544" spans="1:9" ht="20">
      <c r="A544" s="315"/>
      <c r="B544" s="4"/>
      <c r="C544" s="4"/>
      <c r="D544" s="4"/>
      <c r="E544" s="4"/>
      <c r="F544" s="4"/>
      <c r="G544" s="4"/>
      <c r="H544" s="4"/>
      <c r="I544" s="4"/>
    </row>
    <row r="545" spans="1:9" ht="20">
      <c r="A545" s="315"/>
      <c r="B545" s="4"/>
      <c r="C545" s="4"/>
      <c r="D545" s="4"/>
      <c r="E545" s="4"/>
      <c r="F545" s="4"/>
      <c r="G545" s="4"/>
      <c r="H545" s="4"/>
      <c r="I545" s="4"/>
    </row>
    <row r="546" spans="1:9" ht="20">
      <c r="A546" s="315"/>
      <c r="B546" s="4"/>
      <c r="C546" s="4"/>
      <c r="D546" s="4"/>
      <c r="E546" s="4"/>
      <c r="F546" s="4"/>
      <c r="G546" s="4"/>
      <c r="H546" s="4"/>
      <c r="I546" s="4"/>
    </row>
    <row r="547" spans="1:9" ht="20">
      <c r="A547" s="315"/>
      <c r="B547" s="4"/>
      <c r="C547" s="4"/>
      <c r="D547" s="4"/>
      <c r="E547" s="4"/>
      <c r="F547" s="4"/>
      <c r="G547" s="4"/>
      <c r="H547" s="4"/>
      <c r="I547" s="4"/>
    </row>
    <row r="548" spans="1:9" ht="20">
      <c r="A548" s="315"/>
      <c r="B548" s="4"/>
      <c r="C548" s="4"/>
      <c r="D548" s="4"/>
      <c r="E548" s="4"/>
      <c r="F548" s="4"/>
      <c r="G548" s="4"/>
      <c r="H548" s="4"/>
      <c r="I548" s="4"/>
    </row>
    <row r="549" spans="1:9" ht="20">
      <c r="A549" s="315"/>
      <c r="B549" s="4"/>
      <c r="C549" s="4"/>
      <c r="D549" s="4"/>
      <c r="E549" s="4"/>
      <c r="F549" s="4"/>
      <c r="G549" s="4"/>
      <c r="H549" s="4"/>
      <c r="I549" s="4"/>
    </row>
    <row r="550" spans="1:9" ht="20">
      <c r="A550" s="315"/>
      <c r="B550" s="4"/>
      <c r="C550" s="4"/>
      <c r="D550" s="4"/>
      <c r="E550" s="4"/>
      <c r="F550" s="4"/>
      <c r="G550" s="4"/>
      <c r="H550" s="4"/>
      <c r="I550" s="4"/>
    </row>
    <row r="551" spans="1:9" ht="20">
      <c r="A551" s="315"/>
      <c r="B551" s="4"/>
      <c r="C551" s="4"/>
      <c r="D551" s="4"/>
      <c r="E551" s="4"/>
      <c r="F551" s="4"/>
      <c r="G551" s="4"/>
      <c r="H551" s="4"/>
      <c r="I551" s="4"/>
    </row>
    <row r="552" spans="1:9" ht="20">
      <c r="A552" s="315"/>
      <c r="B552" s="4"/>
      <c r="C552" s="4"/>
      <c r="D552" s="4"/>
      <c r="E552" s="4"/>
      <c r="F552" s="4"/>
      <c r="G552" s="4"/>
      <c r="H552" s="4"/>
      <c r="I552" s="4"/>
    </row>
    <row r="553" spans="1:9" ht="20">
      <c r="A553" s="315"/>
      <c r="B553" s="4"/>
      <c r="C553" s="4"/>
      <c r="D553" s="4"/>
      <c r="E553" s="4"/>
      <c r="F553" s="4"/>
      <c r="G553" s="4"/>
      <c r="H553" s="4"/>
      <c r="I553" s="4"/>
    </row>
    <row r="554" spans="1:9" ht="20">
      <c r="A554" s="315"/>
      <c r="B554" s="4"/>
      <c r="C554" s="4"/>
      <c r="D554" s="4"/>
      <c r="E554" s="4"/>
      <c r="F554" s="4"/>
      <c r="G554" s="4"/>
      <c r="H554" s="4"/>
      <c r="I554" s="4"/>
    </row>
    <row r="555" spans="1:9" ht="20">
      <c r="A555" s="315"/>
      <c r="B555" s="4"/>
      <c r="C555" s="4"/>
      <c r="D555" s="4"/>
      <c r="E555" s="4"/>
      <c r="F555" s="4"/>
      <c r="G555" s="4"/>
      <c r="H555" s="4"/>
      <c r="I555" s="4"/>
    </row>
    <row r="556" spans="1:9" ht="20">
      <c r="A556" s="315"/>
      <c r="B556" s="4"/>
      <c r="C556" s="4"/>
      <c r="D556" s="4"/>
      <c r="E556" s="4"/>
      <c r="F556" s="4"/>
      <c r="G556" s="4"/>
      <c r="H556" s="4"/>
      <c r="I556" s="4"/>
    </row>
    <row r="557" spans="1:9" ht="20">
      <c r="A557" s="315"/>
      <c r="B557" s="4"/>
      <c r="C557" s="4"/>
      <c r="D557" s="4"/>
      <c r="E557" s="4"/>
      <c r="F557" s="4"/>
      <c r="G557" s="4"/>
      <c r="H557" s="4"/>
      <c r="I557" s="4"/>
    </row>
    <row r="558" spans="1:9" ht="20">
      <c r="A558" s="315"/>
      <c r="B558" s="4"/>
      <c r="C558" s="4"/>
      <c r="D558" s="4"/>
      <c r="E558" s="4"/>
      <c r="F558" s="4"/>
      <c r="G558" s="4"/>
      <c r="H558" s="4"/>
      <c r="I558" s="4"/>
    </row>
    <row r="559" spans="1:9" ht="20">
      <c r="A559" s="315"/>
      <c r="B559" s="4"/>
      <c r="C559" s="4"/>
      <c r="D559" s="4"/>
      <c r="E559" s="4"/>
      <c r="F559" s="4"/>
      <c r="G559" s="4"/>
      <c r="H559" s="4"/>
      <c r="I559" s="4"/>
    </row>
    <row r="560" spans="1:9" ht="20">
      <c r="A560" s="315"/>
      <c r="B560" s="4"/>
      <c r="C560" s="4"/>
      <c r="D560" s="4"/>
      <c r="E560" s="4"/>
      <c r="F560" s="4"/>
      <c r="G560" s="4"/>
      <c r="H560" s="4"/>
      <c r="I560" s="4"/>
    </row>
    <row r="561" spans="1:9" ht="20">
      <c r="A561" s="315"/>
      <c r="B561" s="4"/>
      <c r="C561" s="4"/>
      <c r="D561" s="4"/>
      <c r="E561" s="4"/>
      <c r="F561" s="4"/>
      <c r="G561" s="4"/>
      <c r="H561" s="4"/>
      <c r="I561" s="4"/>
    </row>
    <row r="562" spans="1:9" ht="20">
      <c r="A562" s="315"/>
      <c r="B562" s="4"/>
      <c r="C562" s="4"/>
      <c r="D562" s="4"/>
      <c r="E562" s="4"/>
      <c r="F562" s="4"/>
      <c r="G562" s="4"/>
      <c r="H562" s="4"/>
      <c r="I562" s="4"/>
    </row>
    <row r="563" spans="1:9" ht="20">
      <c r="A563" s="315"/>
      <c r="B563" s="4"/>
      <c r="C563" s="4"/>
      <c r="D563" s="4"/>
      <c r="E563" s="4"/>
      <c r="F563" s="4"/>
      <c r="G563" s="4"/>
      <c r="H563" s="4"/>
      <c r="I563" s="4"/>
    </row>
    <row r="564" spans="1:9" ht="20">
      <c r="A564" s="315"/>
      <c r="B564" s="4"/>
      <c r="C564" s="4"/>
      <c r="D564" s="4"/>
      <c r="E564" s="4"/>
      <c r="F564" s="4"/>
      <c r="G564" s="4"/>
      <c r="H564" s="4"/>
      <c r="I564" s="4"/>
    </row>
    <row r="565" spans="1:9" ht="20">
      <c r="A565" s="315"/>
      <c r="B565" s="4"/>
      <c r="C565" s="4"/>
      <c r="D565" s="4"/>
      <c r="E565" s="4"/>
      <c r="F565" s="4"/>
      <c r="G565" s="4"/>
      <c r="H565" s="4"/>
      <c r="I565" s="4"/>
    </row>
    <row r="566" spans="1:9" ht="20">
      <c r="A566" s="315"/>
      <c r="B566" s="4"/>
      <c r="C566" s="4"/>
      <c r="D566" s="4"/>
      <c r="E566" s="4"/>
      <c r="F566" s="4"/>
      <c r="G566" s="4"/>
      <c r="H566" s="4"/>
      <c r="I566" s="4"/>
    </row>
    <row r="567" spans="1:9" ht="20">
      <c r="A567" s="315"/>
      <c r="B567" s="4"/>
      <c r="C567" s="4"/>
      <c r="D567" s="4"/>
      <c r="E567" s="4"/>
      <c r="F567" s="4"/>
      <c r="G567" s="4"/>
      <c r="H567" s="4"/>
      <c r="I567" s="4"/>
    </row>
    <row r="568" spans="1:9" ht="20">
      <c r="A568" s="315"/>
      <c r="B568" s="4"/>
      <c r="C568" s="4"/>
      <c r="D568" s="4"/>
      <c r="E568" s="4"/>
      <c r="F568" s="4"/>
      <c r="G568" s="4"/>
      <c r="H568" s="4"/>
      <c r="I568" s="4"/>
    </row>
    <row r="569" spans="1:9" ht="20">
      <c r="A569" s="315"/>
      <c r="B569" s="4"/>
      <c r="C569" s="4"/>
      <c r="D569" s="4"/>
      <c r="E569" s="4"/>
      <c r="F569" s="4"/>
      <c r="G569" s="4"/>
      <c r="H569" s="4"/>
      <c r="I569" s="4"/>
    </row>
    <row r="570" spans="1:9" ht="20">
      <c r="A570" s="315"/>
      <c r="B570" s="4"/>
      <c r="C570" s="4"/>
      <c r="D570" s="4"/>
      <c r="E570" s="4"/>
      <c r="F570" s="4"/>
      <c r="G570" s="4"/>
      <c r="H570" s="4"/>
      <c r="I570" s="4"/>
    </row>
    <row r="571" spans="1:9" ht="20">
      <c r="A571" s="315"/>
      <c r="B571" s="4"/>
      <c r="C571" s="4"/>
      <c r="D571" s="4"/>
      <c r="E571" s="4"/>
      <c r="F571" s="4"/>
      <c r="G571" s="4"/>
      <c r="H571" s="4"/>
      <c r="I571" s="4"/>
    </row>
    <row r="572" spans="1:9" ht="20">
      <c r="A572" s="315"/>
      <c r="B572" s="4"/>
      <c r="C572" s="4"/>
      <c r="D572" s="4"/>
      <c r="E572" s="4"/>
      <c r="F572" s="4"/>
      <c r="G572" s="4"/>
      <c r="H572" s="4"/>
      <c r="I572" s="4"/>
    </row>
    <row r="573" spans="1:9" ht="20">
      <c r="A573" s="315"/>
      <c r="B573" s="4"/>
      <c r="C573" s="4"/>
      <c r="D573" s="4"/>
      <c r="E573" s="4"/>
      <c r="F573" s="4"/>
      <c r="G573" s="4"/>
      <c r="H573" s="4"/>
      <c r="I573" s="4"/>
    </row>
    <row r="574" spans="1:9" ht="20">
      <c r="A574" s="315"/>
      <c r="B574" s="4"/>
      <c r="C574" s="4"/>
      <c r="D574" s="4"/>
      <c r="E574" s="4"/>
      <c r="F574" s="4"/>
      <c r="G574" s="4"/>
      <c r="H574" s="4"/>
      <c r="I574" s="4"/>
    </row>
    <row r="575" spans="1:9" ht="20">
      <c r="A575" s="315"/>
      <c r="B575" s="4"/>
      <c r="C575" s="4"/>
      <c r="D575" s="4"/>
      <c r="E575" s="4"/>
      <c r="F575" s="4"/>
      <c r="G575" s="4"/>
      <c r="H575" s="4"/>
      <c r="I575" s="4"/>
    </row>
    <row r="576" spans="1:9" ht="20">
      <c r="A576" s="315"/>
      <c r="B576" s="4"/>
      <c r="C576" s="4"/>
      <c r="D576" s="4"/>
      <c r="E576" s="4"/>
      <c r="F576" s="4"/>
      <c r="G576" s="4"/>
      <c r="H576" s="4"/>
      <c r="I576" s="4"/>
    </row>
    <row r="577" spans="1:9" ht="20">
      <c r="A577" s="315"/>
      <c r="B577" s="4"/>
      <c r="C577" s="4"/>
      <c r="D577" s="4"/>
      <c r="E577" s="4"/>
      <c r="F577" s="4"/>
      <c r="G577" s="4"/>
      <c r="H577" s="4"/>
      <c r="I577" s="4"/>
    </row>
    <row r="578" spans="1:9" ht="20">
      <c r="A578" s="315"/>
      <c r="B578" s="4"/>
      <c r="C578" s="4"/>
      <c r="D578" s="4"/>
      <c r="E578" s="4"/>
      <c r="F578" s="4"/>
      <c r="G578" s="4"/>
      <c r="H578" s="4"/>
      <c r="I578" s="4"/>
    </row>
    <row r="579" spans="1:9" ht="20">
      <c r="A579" s="315"/>
      <c r="B579" s="4"/>
      <c r="C579" s="4"/>
      <c r="D579" s="4"/>
      <c r="E579" s="4"/>
      <c r="F579" s="4"/>
      <c r="G579" s="4"/>
      <c r="H579" s="4"/>
      <c r="I579" s="4"/>
    </row>
    <row r="580" spans="1:9" ht="20">
      <c r="A580" s="315"/>
      <c r="B580" s="4"/>
      <c r="C580" s="4"/>
      <c r="D580" s="4"/>
      <c r="E580" s="4"/>
      <c r="F580" s="4"/>
      <c r="G580" s="4"/>
      <c r="H580" s="4"/>
      <c r="I580" s="4"/>
    </row>
    <row r="581" spans="1:9" ht="20">
      <c r="A581" s="315"/>
      <c r="B581" s="4"/>
      <c r="C581" s="4"/>
      <c r="D581" s="4"/>
      <c r="E581" s="4"/>
      <c r="F581" s="4"/>
      <c r="G581" s="4"/>
      <c r="H581" s="4"/>
      <c r="I581" s="4"/>
    </row>
    <row r="582" spans="1:9" ht="20">
      <c r="A582" s="315"/>
      <c r="B582" s="4"/>
      <c r="C582" s="4"/>
      <c r="D582" s="4"/>
      <c r="E582" s="4"/>
      <c r="F582" s="4"/>
      <c r="G582" s="4"/>
      <c r="H582" s="4"/>
      <c r="I582" s="4"/>
    </row>
    <row r="583" spans="1:9" ht="20">
      <c r="A583" s="315"/>
      <c r="B583" s="4"/>
      <c r="C583" s="4"/>
      <c r="D583" s="4"/>
      <c r="E583" s="4"/>
      <c r="F583" s="4"/>
      <c r="G583" s="4"/>
      <c r="H583" s="4"/>
      <c r="I583" s="4"/>
    </row>
    <row r="584" spans="1:9" ht="20">
      <c r="A584" s="315"/>
      <c r="B584" s="4"/>
      <c r="C584" s="4"/>
      <c r="D584" s="4"/>
      <c r="E584" s="4"/>
      <c r="F584" s="4"/>
      <c r="G584" s="4"/>
      <c r="H584" s="4"/>
      <c r="I584" s="4"/>
    </row>
    <row r="585" spans="1:9" ht="20">
      <c r="A585" s="315"/>
      <c r="B585" s="4"/>
      <c r="C585" s="4"/>
      <c r="D585" s="4"/>
      <c r="E585" s="4"/>
      <c r="F585" s="4"/>
      <c r="G585" s="4"/>
      <c r="H585" s="4"/>
      <c r="I585" s="4"/>
    </row>
    <row r="586" spans="1:9" ht="20">
      <c r="A586" s="315"/>
      <c r="B586" s="4"/>
      <c r="C586" s="4"/>
      <c r="D586" s="4"/>
      <c r="E586" s="4"/>
      <c r="F586" s="4"/>
      <c r="G586" s="4"/>
      <c r="H586" s="4"/>
      <c r="I586" s="4"/>
    </row>
    <row r="587" spans="1:9" ht="20">
      <c r="A587" s="315"/>
      <c r="B587" s="4"/>
      <c r="C587" s="4"/>
      <c r="D587" s="4"/>
      <c r="E587" s="4"/>
      <c r="F587" s="4"/>
      <c r="G587" s="4"/>
      <c r="H587" s="4"/>
      <c r="I587" s="4"/>
    </row>
    <row r="588" spans="1:9" ht="20">
      <c r="A588" s="315"/>
      <c r="B588" s="4"/>
      <c r="C588" s="4"/>
      <c r="D588" s="4"/>
      <c r="E588" s="4"/>
      <c r="F588" s="4"/>
      <c r="G588" s="4"/>
      <c r="H588" s="4"/>
      <c r="I588" s="4"/>
    </row>
    <row r="589" spans="1:9" ht="20">
      <c r="A589" s="315"/>
      <c r="B589" s="4"/>
      <c r="C589" s="4"/>
      <c r="D589" s="4"/>
      <c r="E589" s="4"/>
      <c r="F589" s="4"/>
      <c r="G589" s="4"/>
      <c r="H589" s="4"/>
      <c r="I589" s="4"/>
    </row>
    <row r="590" spans="1:9" ht="20">
      <c r="A590" s="315"/>
      <c r="B590" s="4"/>
      <c r="C590" s="4"/>
      <c r="D590" s="4"/>
      <c r="E590" s="4"/>
      <c r="F590" s="4"/>
      <c r="G590" s="4"/>
      <c r="H590" s="4"/>
      <c r="I590" s="4"/>
    </row>
    <row r="591" spans="1:9" ht="20">
      <c r="A591" s="315"/>
      <c r="B591" s="4"/>
      <c r="C591" s="4"/>
      <c r="D591" s="4"/>
      <c r="E591" s="4"/>
      <c r="F591" s="4"/>
      <c r="G591" s="4"/>
      <c r="H591" s="4"/>
      <c r="I591" s="4"/>
    </row>
    <row r="592" spans="1:9" ht="20">
      <c r="A592" s="315"/>
      <c r="B592" s="4"/>
      <c r="C592" s="4"/>
      <c r="D592" s="4"/>
      <c r="E592" s="4"/>
      <c r="F592" s="4"/>
      <c r="G592" s="4"/>
      <c r="H592" s="4"/>
      <c r="I592" s="4"/>
    </row>
    <row r="593" spans="1:9" ht="20">
      <c r="A593" s="315"/>
      <c r="B593" s="4"/>
      <c r="C593" s="4"/>
      <c r="D593" s="4"/>
      <c r="E593" s="4"/>
      <c r="F593" s="4"/>
      <c r="G593" s="4"/>
      <c r="H593" s="4"/>
      <c r="I593" s="4"/>
    </row>
    <row r="594" spans="1:9" ht="20">
      <c r="A594" s="315"/>
      <c r="B594" s="4"/>
      <c r="C594" s="4"/>
      <c r="D594" s="4"/>
      <c r="E594" s="4"/>
      <c r="F594" s="4"/>
      <c r="G594" s="4"/>
      <c r="H594" s="4"/>
      <c r="I594" s="4"/>
    </row>
    <row r="595" spans="1:9" ht="20">
      <c r="A595" s="315"/>
      <c r="B595" s="4"/>
      <c r="C595" s="4"/>
      <c r="D595" s="4"/>
      <c r="E595" s="4"/>
      <c r="F595" s="4"/>
      <c r="G595" s="4"/>
      <c r="H595" s="4"/>
      <c r="I595" s="4"/>
    </row>
    <row r="596" spans="1:9" ht="20">
      <c r="A596" s="315"/>
      <c r="B596" s="4"/>
      <c r="C596" s="4"/>
      <c r="D596" s="4"/>
      <c r="E596" s="4"/>
      <c r="F596" s="4"/>
      <c r="G596" s="4"/>
      <c r="H596" s="4"/>
      <c r="I596" s="4"/>
    </row>
    <row r="597" spans="1:9" ht="20">
      <c r="A597" s="315"/>
      <c r="B597" s="4"/>
      <c r="C597" s="4"/>
      <c r="D597" s="4"/>
      <c r="E597" s="4"/>
      <c r="F597" s="4"/>
      <c r="G597" s="4"/>
      <c r="H597" s="4"/>
      <c r="I597" s="4"/>
    </row>
    <row r="598" spans="1:9" ht="20">
      <c r="A598" s="315"/>
      <c r="B598" s="4"/>
      <c r="C598" s="4"/>
      <c r="D598" s="4"/>
      <c r="E598" s="4"/>
      <c r="F598" s="4"/>
      <c r="G598" s="4"/>
      <c r="H598" s="4"/>
      <c r="I598" s="4"/>
    </row>
    <row r="599" spans="1:9" ht="20">
      <c r="A599" s="315"/>
      <c r="B599" s="4"/>
      <c r="C599" s="4"/>
      <c r="D599" s="4"/>
      <c r="E599" s="4"/>
      <c r="F599" s="4"/>
      <c r="G599" s="4"/>
      <c r="H599" s="4"/>
      <c r="I599" s="4"/>
    </row>
    <row r="600" spans="1:9" ht="20">
      <c r="A600" s="315"/>
      <c r="B600" s="4"/>
      <c r="C600" s="4"/>
      <c r="D600" s="4"/>
      <c r="E600" s="4"/>
      <c r="F600" s="4"/>
      <c r="G600" s="4"/>
      <c r="H600" s="4"/>
      <c r="I600" s="4"/>
    </row>
    <row r="601" spans="1:9" ht="20">
      <c r="A601" s="315"/>
      <c r="B601" s="4"/>
      <c r="C601" s="4"/>
      <c r="D601" s="4"/>
      <c r="E601" s="4"/>
      <c r="F601" s="4"/>
      <c r="G601" s="4"/>
      <c r="H601" s="4"/>
      <c r="I601" s="4"/>
    </row>
    <row r="602" spans="1:9" ht="20">
      <c r="A602" s="315"/>
      <c r="B602" s="4"/>
      <c r="C602" s="4"/>
      <c r="D602" s="4"/>
      <c r="E602" s="4"/>
      <c r="F602" s="4"/>
      <c r="G602" s="4"/>
      <c r="H602" s="4"/>
      <c r="I602" s="4"/>
    </row>
    <row r="603" spans="1:9" ht="20">
      <c r="A603" s="315"/>
      <c r="B603" s="4"/>
      <c r="C603" s="4"/>
      <c r="D603" s="4"/>
      <c r="E603" s="4"/>
      <c r="F603" s="4"/>
      <c r="G603" s="4"/>
      <c r="H603" s="4"/>
      <c r="I603" s="4"/>
    </row>
    <row r="604" spans="1:9" ht="20">
      <c r="A604" s="315"/>
      <c r="B604" s="4"/>
      <c r="C604" s="4"/>
      <c r="D604" s="4"/>
      <c r="E604" s="4"/>
      <c r="F604" s="4"/>
      <c r="G604" s="4"/>
      <c r="H604" s="4"/>
      <c r="I604" s="4"/>
    </row>
    <row r="605" spans="1:9" ht="20">
      <c r="A605" s="315"/>
      <c r="B605" s="4"/>
      <c r="C605" s="4"/>
      <c r="D605" s="4"/>
      <c r="E605" s="4"/>
      <c r="F605" s="4"/>
      <c r="G605" s="4"/>
      <c r="H605" s="4"/>
      <c r="I605" s="4"/>
    </row>
    <row r="606" spans="1:9" ht="20">
      <c r="A606" s="315"/>
      <c r="B606" s="4"/>
      <c r="C606" s="4"/>
      <c r="D606" s="4"/>
      <c r="E606" s="4"/>
      <c r="F606" s="4"/>
      <c r="G606" s="4"/>
      <c r="H606" s="4"/>
      <c r="I606" s="4"/>
    </row>
    <row r="607" spans="1:9" ht="20">
      <c r="A607" s="315"/>
      <c r="B607" s="4"/>
      <c r="C607" s="4"/>
      <c r="D607" s="4"/>
      <c r="E607" s="4"/>
      <c r="F607" s="4"/>
      <c r="G607" s="4"/>
      <c r="H607" s="4"/>
      <c r="I607" s="4"/>
    </row>
    <row r="608" spans="1:9" ht="20">
      <c r="A608" s="315"/>
      <c r="B608" s="4"/>
      <c r="C608" s="4"/>
      <c r="D608" s="4"/>
      <c r="E608" s="4"/>
      <c r="F608" s="4"/>
      <c r="G608" s="4"/>
      <c r="H608" s="4"/>
      <c r="I608" s="4"/>
    </row>
    <row r="609" spans="1:9" ht="20">
      <c r="A609" s="315"/>
      <c r="B609" s="4"/>
      <c r="C609" s="4"/>
      <c r="D609" s="4"/>
      <c r="E609" s="4"/>
      <c r="F609" s="4"/>
      <c r="G609" s="4"/>
      <c r="H609" s="4"/>
      <c r="I609" s="4"/>
    </row>
    <row r="610" spans="1:9" ht="20">
      <c r="A610" s="315"/>
      <c r="B610" s="4"/>
      <c r="C610" s="4"/>
      <c r="D610" s="4"/>
      <c r="E610" s="4"/>
      <c r="F610" s="4"/>
      <c r="G610" s="4"/>
      <c r="H610" s="4"/>
      <c r="I610" s="4"/>
    </row>
    <row r="611" spans="1:9" ht="20">
      <c r="A611" s="315"/>
      <c r="B611" s="4"/>
      <c r="C611" s="4"/>
      <c r="D611" s="4"/>
      <c r="E611" s="4"/>
      <c r="F611" s="4"/>
      <c r="G611" s="4"/>
      <c r="H611" s="4"/>
      <c r="I611" s="4"/>
    </row>
    <row r="612" spans="1:9" ht="20">
      <c r="A612" s="315"/>
      <c r="B612" s="4"/>
      <c r="C612" s="4"/>
      <c r="D612" s="4"/>
      <c r="E612" s="4"/>
      <c r="F612" s="4"/>
      <c r="G612" s="4"/>
      <c r="H612" s="4"/>
      <c r="I612" s="4"/>
    </row>
    <row r="613" spans="1:9" ht="20">
      <c r="A613" s="315"/>
      <c r="B613" s="4"/>
      <c r="C613" s="4"/>
      <c r="D613" s="4"/>
      <c r="E613" s="4"/>
      <c r="F613" s="4"/>
      <c r="G613" s="4"/>
      <c r="H613" s="4"/>
      <c r="I613" s="4"/>
    </row>
    <row r="614" spans="1:9" ht="20">
      <c r="A614" s="315"/>
      <c r="B614" s="4"/>
      <c r="C614" s="4"/>
      <c r="D614" s="4"/>
      <c r="E614" s="4"/>
      <c r="F614" s="4"/>
      <c r="G614" s="4"/>
      <c r="H614" s="4"/>
      <c r="I614" s="4"/>
    </row>
    <row r="615" spans="1:9" ht="20">
      <c r="A615" s="315"/>
      <c r="B615" s="4"/>
      <c r="C615" s="4"/>
      <c r="D615" s="4"/>
      <c r="E615" s="4"/>
      <c r="F615" s="4"/>
      <c r="G615" s="4"/>
      <c r="H615" s="4"/>
      <c r="I615" s="4"/>
    </row>
    <row r="616" spans="1:9" ht="20">
      <c r="A616" s="315"/>
      <c r="B616" s="4"/>
      <c r="C616" s="4"/>
      <c r="D616" s="4"/>
      <c r="E616" s="4"/>
      <c r="F616" s="4"/>
      <c r="G616" s="4"/>
      <c r="H616" s="4"/>
      <c r="I616" s="4"/>
    </row>
    <row r="617" spans="1:9" ht="20">
      <c r="A617" s="315"/>
      <c r="B617" s="4"/>
      <c r="C617" s="4"/>
      <c r="D617" s="4"/>
      <c r="E617" s="4"/>
      <c r="F617" s="4"/>
      <c r="G617" s="4"/>
      <c r="H617" s="4"/>
      <c r="I617" s="4"/>
    </row>
    <row r="618" spans="1:9" ht="20">
      <c r="A618" s="315"/>
      <c r="B618" s="4"/>
      <c r="C618" s="4"/>
      <c r="D618" s="4"/>
      <c r="E618" s="4"/>
      <c r="F618" s="4"/>
      <c r="G618" s="4"/>
      <c r="H618" s="4"/>
      <c r="I618" s="4"/>
    </row>
    <row r="619" spans="1:9" ht="20">
      <c r="A619" s="315"/>
      <c r="B619" s="4"/>
      <c r="C619" s="4"/>
      <c r="D619" s="4"/>
      <c r="E619" s="4"/>
      <c r="F619" s="4"/>
      <c r="G619" s="4"/>
      <c r="H619" s="4"/>
      <c r="I619" s="4"/>
    </row>
    <row r="620" spans="1:9" ht="20">
      <c r="A620" s="315"/>
      <c r="B620" s="4"/>
      <c r="C620" s="4"/>
      <c r="D620" s="4"/>
      <c r="E620" s="4"/>
      <c r="F620" s="4"/>
      <c r="G620" s="4"/>
      <c r="H620" s="4"/>
      <c r="I620" s="4"/>
    </row>
    <row r="621" spans="1:9" ht="20">
      <c r="A621" s="315"/>
      <c r="B621" s="4"/>
      <c r="C621" s="4"/>
      <c r="D621" s="4"/>
      <c r="E621" s="4"/>
      <c r="F621" s="4"/>
      <c r="G621" s="4"/>
      <c r="H621" s="4"/>
      <c r="I621" s="4"/>
    </row>
    <row r="622" spans="1:9" ht="20">
      <c r="A622" s="315"/>
      <c r="B622" s="4"/>
      <c r="C622" s="4"/>
      <c r="D622" s="4"/>
      <c r="E622" s="4"/>
      <c r="F622" s="4"/>
      <c r="G622" s="4"/>
      <c r="H622" s="4"/>
      <c r="I622" s="4"/>
    </row>
    <row r="623" spans="1:9" ht="20">
      <c r="A623" s="315"/>
      <c r="B623" s="4"/>
      <c r="C623" s="4"/>
      <c r="D623" s="4"/>
      <c r="E623" s="4"/>
      <c r="F623" s="4"/>
      <c r="G623" s="4"/>
      <c r="H623" s="4"/>
      <c r="I623" s="4"/>
    </row>
    <row r="624" spans="1:9" ht="20">
      <c r="A624" s="315"/>
      <c r="B624" s="4"/>
      <c r="C624" s="4"/>
      <c r="D624" s="4"/>
      <c r="E624" s="4"/>
      <c r="F624" s="4"/>
      <c r="G624" s="4"/>
      <c r="H624" s="4"/>
      <c r="I624" s="4"/>
    </row>
    <row r="625" spans="1:9" ht="20">
      <c r="A625" s="315"/>
      <c r="B625" s="4"/>
      <c r="C625" s="4"/>
      <c r="D625" s="4"/>
      <c r="E625" s="4"/>
      <c r="F625" s="4"/>
      <c r="G625" s="4"/>
      <c r="H625" s="4"/>
      <c r="I625" s="4"/>
    </row>
    <row r="626" spans="1:9" ht="20">
      <c r="A626" s="315"/>
      <c r="B626" s="4"/>
      <c r="C626" s="4"/>
      <c r="D626" s="4"/>
      <c r="E626" s="4"/>
      <c r="F626" s="4"/>
      <c r="G626" s="4"/>
      <c r="H626" s="4"/>
      <c r="I626" s="4"/>
    </row>
    <row r="627" spans="1:9" ht="20">
      <c r="A627" s="315"/>
      <c r="B627" s="4"/>
      <c r="C627" s="4"/>
      <c r="D627" s="4"/>
      <c r="E627" s="4"/>
      <c r="F627" s="4"/>
      <c r="G627" s="4"/>
      <c r="H627" s="4"/>
      <c r="I627" s="4"/>
    </row>
    <row r="628" spans="1:9" ht="20">
      <c r="A628" s="315"/>
      <c r="B628" s="4"/>
      <c r="C628" s="4"/>
      <c r="D628" s="4"/>
      <c r="E628" s="4"/>
      <c r="F628" s="4"/>
      <c r="G628" s="4"/>
      <c r="H628" s="4"/>
      <c r="I628" s="4"/>
    </row>
    <row r="629" spans="1:9" ht="20">
      <c r="A629" s="315"/>
      <c r="B629" s="4"/>
      <c r="C629" s="4"/>
      <c r="D629" s="4"/>
      <c r="E629" s="4"/>
      <c r="F629" s="4"/>
      <c r="G629" s="4"/>
      <c r="H629" s="4"/>
      <c r="I629" s="4"/>
    </row>
    <row r="630" spans="1:9" ht="20">
      <c r="A630" s="315"/>
      <c r="B630" s="4"/>
      <c r="C630" s="4"/>
      <c r="D630" s="4"/>
      <c r="E630" s="4"/>
      <c r="F630" s="4"/>
      <c r="G630" s="4"/>
      <c r="H630" s="4"/>
      <c r="I630" s="4"/>
    </row>
    <row r="631" spans="1:9" ht="20">
      <c r="A631" s="315"/>
      <c r="B631" s="4"/>
      <c r="C631" s="4"/>
      <c r="D631" s="4"/>
      <c r="E631" s="4"/>
      <c r="F631" s="4"/>
      <c r="G631" s="4"/>
      <c r="H631" s="4"/>
      <c r="I631" s="4"/>
    </row>
    <row r="632" spans="1:9" ht="20">
      <c r="A632" s="315"/>
      <c r="B632" s="4"/>
      <c r="C632" s="4"/>
      <c r="D632" s="4"/>
      <c r="E632" s="4"/>
      <c r="F632" s="4"/>
      <c r="G632" s="4"/>
      <c r="H632" s="4"/>
      <c r="I632" s="4"/>
    </row>
    <row r="633" spans="1:9" ht="20">
      <c r="A633" s="315"/>
      <c r="B633" s="4"/>
      <c r="C633" s="4"/>
      <c r="D633" s="4"/>
      <c r="E633" s="4"/>
      <c r="F633" s="4"/>
      <c r="G633" s="4"/>
      <c r="H633" s="4"/>
      <c r="I633" s="4"/>
    </row>
    <row r="634" spans="1:9" ht="20">
      <c r="A634" s="315"/>
      <c r="B634" s="4"/>
      <c r="C634" s="4"/>
      <c r="D634" s="4"/>
      <c r="E634" s="4"/>
      <c r="F634" s="4"/>
      <c r="G634" s="4"/>
      <c r="H634" s="4"/>
      <c r="I634" s="4"/>
    </row>
    <row r="635" spans="1:9" ht="20">
      <c r="A635" s="315"/>
      <c r="B635" s="4"/>
      <c r="C635" s="4"/>
      <c r="D635" s="4"/>
      <c r="E635" s="4"/>
      <c r="F635" s="4"/>
      <c r="G635" s="4"/>
      <c r="H635" s="4"/>
      <c r="I635" s="4"/>
    </row>
    <row r="636" spans="1:9" ht="20">
      <c r="A636" s="315"/>
      <c r="B636" s="4"/>
      <c r="C636" s="4"/>
      <c r="D636" s="4"/>
      <c r="E636" s="4"/>
      <c r="F636" s="4"/>
      <c r="G636" s="4"/>
      <c r="H636" s="4"/>
      <c r="I636" s="4"/>
    </row>
    <row r="637" spans="1:9" ht="20">
      <c r="A637" s="315"/>
      <c r="B637" s="4"/>
      <c r="C637" s="4"/>
      <c r="D637" s="4"/>
      <c r="E637" s="4"/>
      <c r="F637" s="4"/>
      <c r="G637" s="4"/>
      <c r="H637" s="4"/>
      <c r="I637" s="4"/>
    </row>
    <row r="638" spans="1:9" ht="20">
      <c r="A638" s="315"/>
      <c r="B638" s="4"/>
      <c r="C638" s="4"/>
      <c r="D638" s="4"/>
      <c r="E638" s="4"/>
      <c r="F638" s="4"/>
      <c r="G638" s="4"/>
      <c r="H638" s="4"/>
      <c r="I638" s="4"/>
    </row>
    <row r="639" spans="1:9" ht="20">
      <c r="A639" s="315"/>
      <c r="B639" s="4"/>
      <c r="C639" s="4"/>
      <c r="D639" s="4"/>
      <c r="E639" s="4"/>
      <c r="F639" s="4"/>
      <c r="G639" s="4"/>
      <c r="H639" s="4"/>
      <c r="I639" s="4"/>
    </row>
    <row r="640" spans="1:9" ht="20">
      <c r="A640" s="315"/>
      <c r="B640" s="4"/>
      <c r="C640" s="4"/>
      <c r="D640" s="4"/>
      <c r="E640" s="4"/>
      <c r="F640" s="4"/>
      <c r="G640" s="4"/>
      <c r="H640" s="4"/>
      <c r="I640" s="4"/>
    </row>
    <row r="641" spans="1:9" ht="20">
      <c r="A641" s="315"/>
      <c r="B641" s="4"/>
      <c r="C641" s="4"/>
      <c r="D641" s="4"/>
      <c r="E641" s="4"/>
      <c r="F641" s="4"/>
      <c r="G641" s="4"/>
      <c r="H641" s="4"/>
      <c r="I641" s="4"/>
    </row>
    <row r="642" spans="1:9" ht="20">
      <c r="A642" s="315"/>
      <c r="B642" s="4"/>
      <c r="C642" s="4"/>
      <c r="D642" s="4"/>
      <c r="E642" s="4"/>
      <c r="F642" s="4"/>
      <c r="G642" s="4"/>
      <c r="H642" s="4"/>
      <c r="I642" s="4"/>
    </row>
    <row r="643" spans="1:9" ht="20">
      <c r="A643" s="315"/>
      <c r="B643" s="4"/>
      <c r="C643" s="4"/>
      <c r="D643" s="4"/>
      <c r="E643" s="4"/>
      <c r="F643" s="4"/>
      <c r="G643" s="4"/>
      <c r="H643" s="4"/>
      <c r="I643" s="4"/>
    </row>
    <row r="644" spans="1:9" ht="20">
      <c r="A644" s="315"/>
      <c r="B644" s="4"/>
      <c r="C644" s="4"/>
      <c r="D644" s="4"/>
      <c r="E644" s="4"/>
      <c r="F644" s="4"/>
      <c r="G644" s="4"/>
      <c r="H644" s="4"/>
      <c r="I644" s="4"/>
    </row>
    <row r="645" spans="1:9" ht="20">
      <c r="A645" s="315"/>
      <c r="B645" s="4"/>
      <c r="C645" s="4"/>
      <c r="D645" s="4"/>
      <c r="E645" s="4"/>
      <c r="F645" s="4"/>
      <c r="G645" s="4"/>
      <c r="H645" s="4"/>
      <c r="I645" s="4"/>
    </row>
    <row r="646" spans="1:9" ht="20">
      <c r="A646" s="315"/>
      <c r="B646" s="4"/>
      <c r="C646" s="4"/>
      <c r="D646" s="4"/>
      <c r="E646" s="4"/>
      <c r="F646" s="4"/>
      <c r="G646" s="4"/>
      <c r="H646" s="4"/>
      <c r="I646" s="4"/>
    </row>
    <row r="647" spans="1:9" ht="20">
      <c r="A647" s="315"/>
      <c r="B647" s="4"/>
      <c r="C647" s="4"/>
      <c r="D647" s="4"/>
      <c r="E647" s="4"/>
      <c r="F647" s="4"/>
      <c r="G647" s="4"/>
      <c r="H647" s="4"/>
      <c r="I647" s="4"/>
    </row>
    <row r="648" spans="1:9" ht="20">
      <c r="A648" s="315"/>
      <c r="B648" s="4"/>
      <c r="C648" s="4"/>
      <c r="D648" s="4"/>
      <c r="E648" s="4"/>
      <c r="F648" s="4"/>
      <c r="G648" s="4"/>
      <c r="H648" s="4"/>
      <c r="I648" s="4"/>
    </row>
    <row r="649" spans="1:9" ht="20">
      <c r="A649" s="315"/>
      <c r="B649" s="4"/>
      <c r="C649" s="4"/>
      <c r="D649" s="4"/>
      <c r="E649" s="4"/>
      <c r="F649" s="4"/>
      <c r="G649" s="4"/>
      <c r="H649" s="4"/>
      <c r="I649" s="4"/>
    </row>
    <row r="650" spans="1:9" ht="20">
      <c r="A650" s="315"/>
      <c r="B650" s="4"/>
      <c r="C650" s="4"/>
      <c r="D650" s="4"/>
      <c r="E650" s="4"/>
      <c r="F650" s="4"/>
      <c r="G650" s="4"/>
      <c r="H650" s="4"/>
      <c r="I650" s="4"/>
    </row>
    <row r="651" spans="1:9" ht="20">
      <c r="A651" s="315"/>
      <c r="B651" s="4"/>
      <c r="C651" s="4"/>
      <c r="D651" s="4"/>
      <c r="E651" s="4"/>
      <c r="F651" s="4"/>
      <c r="G651" s="4"/>
      <c r="H651" s="4"/>
      <c r="I651" s="4"/>
    </row>
    <row r="652" spans="1:9" ht="20">
      <c r="A652" s="315"/>
      <c r="B652" s="4"/>
      <c r="C652" s="4"/>
      <c r="D652" s="4"/>
      <c r="E652" s="4"/>
      <c r="F652" s="4"/>
      <c r="G652" s="4"/>
      <c r="H652" s="4"/>
      <c r="I652" s="4"/>
    </row>
    <row r="653" spans="1:9" ht="20">
      <c r="A653" s="315"/>
      <c r="B653" s="4"/>
      <c r="C653" s="4"/>
      <c r="D653" s="4"/>
      <c r="E653" s="4"/>
      <c r="F653" s="4"/>
      <c r="G653" s="4"/>
      <c r="H653" s="4"/>
      <c r="I653" s="4"/>
    </row>
    <row r="654" spans="1:9" ht="20">
      <c r="A654" s="315"/>
      <c r="B654" s="4"/>
      <c r="C654" s="4"/>
      <c r="D654" s="4"/>
      <c r="E654" s="4"/>
      <c r="F654" s="4"/>
      <c r="G654" s="4"/>
      <c r="H654" s="4"/>
      <c r="I654" s="4"/>
    </row>
    <row r="655" spans="1:9" ht="20">
      <c r="A655" s="315"/>
      <c r="B655" s="4"/>
      <c r="C655" s="4"/>
      <c r="D655" s="4"/>
      <c r="E655" s="4"/>
      <c r="F655" s="4"/>
      <c r="G655" s="4"/>
      <c r="H655" s="4"/>
      <c r="I655" s="4"/>
    </row>
    <row r="656" spans="1:9" ht="20">
      <c r="A656" s="315"/>
      <c r="B656" s="4"/>
      <c r="C656" s="4"/>
      <c r="D656" s="4"/>
      <c r="E656" s="4"/>
      <c r="F656" s="4"/>
      <c r="G656" s="4"/>
      <c r="H656" s="4"/>
      <c r="I656" s="4"/>
    </row>
    <row r="657" spans="1:9" ht="20">
      <c r="A657" s="315"/>
      <c r="B657" s="4"/>
      <c r="C657" s="4"/>
      <c r="D657" s="4"/>
      <c r="E657" s="4"/>
      <c r="F657" s="4"/>
      <c r="G657" s="4"/>
      <c r="H657" s="4"/>
      <c r="I657" s="4"/>
    </row>
    <row r="658" spans="1:9" ht="20">
      <c r="A658" s="315"/>
      <c r="B658" s="4"/>
      <c r="C658" s="4"/>
      <c r="D658" s="4"/>
      <c r="E658" s="4"/>
      <c r="F658" s="4"/>
      <c r="G658" s="4"/>
      <c r="H658" s="4"/>
      <c r="I658" s="4"/>
    </row>
    <row r="659" spans="1:9" ht="20">
      <c r="A659" s="315"/>
      <c r="B659" s="4"/>
      <c r="C659" s="4"/>
      <c r="D659" s="4"/>
      <c r="E659" s="4"/>
      <c r="F659" s="4"/>
      <c r="G659" s="4"/>
      <c r="H659" s="4"/>
      <c r="I659" s="4"/>
    </row>
    <row r="660" spans="1:9" ht="20">
      <c r="A660" s="315"/>
      <c r="B660" s="4"/>
      <c r="C660" s="4"/>
      <c r="D660" s="4"/>
      <c r="E660" s="4"/>
      <c r="F660" s="4"/>
      <c r="G660" s="4"/>
      <c r="H660" s="4"/>
      <c r="I660" s="4"/>
    </row>
    <row r="661" spans="1:9" ht="20">
      <c r="A661" s="315"/>
      <c r="B661" s="4"/>
      <c r="C661" s="4"/>
      <c r="D661" s="4"/>
      <c r="E661" s="4"/>
      <c r="F661" s="4"/>
      <c r="G661" s="4"/>
      <c r="H661" s="4"/>
      <c r="I661" s="4"/>
    </row>
    <row r="662" spans="1:9" ht="20">
      <c r="A662" s="315"/>
      <c r="B662" s="4"/>
      <c r="C662" s="4"/>
      <c r="D662" s="4"/>
      <c r="E662" s="4"/>
      <c r="F662" s="4"/>
      <c r="G662" s="4"/>
      <c r="H662" s="4"/>
      <c r="I662" s="4"/>
    </row>
    <row r="663" spans="1:9" ht="20">
      <c r="A663" s="315"/>
      <c r="B663" s="4"/>
      <c r="C663" s="4"/>
      <c r="D663" s="4"/>
      <c r="E663" s="4"/>
      <c r="F663" s="4"/>
      <c r="G663" s="4"/>
      <c r="H663" s="4"/>
      <c r="I663" s="4"/>
    </row>
    <row r="664" spans="1:9" ht="20">
      <c r="A664" s="315"/>
      <c r="B664" s="4"/>
      <c r="C664" s="4"/>
      <c r="D664" s="4"/>
      <c r="E664" s="4"/>
      <c r="F664" s="4"/>
      <c r="G664" s="4"/>
      <c r="H664" s="4"/>
      <c r="I664" s="4"/>
    </row>
    <row r="665" spans="1:9" ht="20">
      <c r="A665" s="315"/>
      <c r="B665" s="4"/>
      <c r="C665" s="4"/>
      <c r="D665" s="4"/>
      <c r="E665" s="4"/>
      <c r="F665" s="4"/>
      <c r="G665" s="4"/>
      <c r="H665" s="4"/>
      <c r="I665" s="4"/>
    </row>
    <row r="666" spans="1:9" ht="20">
      <c r="A666" s="315"/>
      <c r="B666" s="4"/>
      <c r="C666" s="4"/>
      <c r="D666" s="4"/>
      <c r="E666" s="4"/>
      <c r="F666" s="4"/>
      <c r="G666" s="4"/>
      <c r="H666" s="4"/>
      <c r="I666" s="4"/>
    </row>
    <row r="667" spans="1:9" ht="20">
      <c r="A667" s="315"/>
      <c r="B667" s="4"/>
      <c r="C667" s="4"/>
      <c r="D667" s="4"/>
      <c r="E667" s="4"/>
      <c r="F667" s="4"/>
      <c r="G667" s="4"/>
      <c r="H667" s="4"/>
      <c r="I667" s="4"/>
    </row>
    <row r="668" spans="1:9" ht="20">
      <c r="A668" s="315"/>
      <c r="B668" s="4"/>
      <c r="C668" s="4"/>
      <c r="D668" s="4"/>
      <c r="E668" s="4"/>
      <c r="F668" s="4"/>
      <c r="G668" s="4"/>
      <c r="H668" s="4"/>
      <c r="I668" s="4"/>
    </row>
    <row r="669" spans="1:9" ht="20">
      <c r="A669" s="315"/>
      <c r="B669" s="4"/>
      <c r="C669" s="4"/>
      <c r="D669" s="4"/>
      <c r="E669" s="4"/>
      <c r="F669" s="4"/>
      <c r="G669" s="4"/>
      <c r="H669" s="4"/>
      <c r="I669" s="4"/>
    </row>
    <row r="670" spans="1:9" ht="20">
      <c r="A670" s="315"/>
      <c r="B670" s="4"/>
      <c r="C670" s="4"/>
      <c r="D670" s="4"/>
      <c r="E670" s="4"/>
      <c r="F670" s="4"/>
      <c r="G670" s="4"/>
      <c r="H670" s="4"/>
      <c r="I670" s="4"/>
    </row>
    <row r="671" spans="1:9" ht="20">
      <c r="A671" s="315"/>
      <c r="B671" s="4"/>
      <c r="C671" s="4"/>
      <c r="D671" s="4"/>
      <c r="E671" s="4"/>
      <c r="F671" s="4"/>
      <c r="G671" s="4"/>
      <c r="H671" s="4"/>
      <c r="I671" s="4"/>
    </row>
    <row r="672" spans="1:9" ht="20">
      <c r="A672" s="315"/>
      <c r="B672" s="4"/>
      <c r="C672" s="4"/>
      <c r="D672" s="4"/>
      <c r="E672" s="4"/>
      <c r="F672" s="4"/>
      <c r="G672" s="4"/>
      <c r="H672" s="4"/>
      <c r="I672" s="4"/>
    </row>
    <row r="673" spans="1:9" ht="20">
      <c r="A673" s="315"/>
      <c r="B673" s="4"/>
      <c r="C673" s="4"/>
      <c r="D673" s="4"/>
      <c r="E673" s="4"/>
      <c r="F673" s="4"/>
      <c r="G673" s="4"/>
      <c r="H673" s="4"/>
      <c r="I673" s="4"/>
    </row>
    <row r="674" spans="1:9" ht="20">
      <c r="A674" s="315"/>
      <c r="B674" s="4"/>
      <c r="C674" s="4"/>
      <c r="D674" s="4"/>
      <c r="E674" s="4"/>
      <c r="F674" s="4"/>
      <c r="G674" s="4"/>
      <c r="H674" s="4"/>
      <c r="I674" s="4"/>
    </row>
    <row r="675" spans="1:9" ht="20">
      <c r="A675" s="315"/>
      <c r="B675" s="4"/>
      <c r="C675" s="4"/>
      <c r="D675" s="4"/>
      <c r="E675" s="4"/>
      <c r="F675" s="4"/>
      <c r="G675" s="4"/>
      <c r="H675" s="4"/>
      <c r="I675" s="4"/>
    </row>
    <row r="676" spans="1:9" ht="20">
      <c r="A676" s="315"/>
      <c r="B676" s="4"/>
      <c r="C676" s="4"/>
      <c r="D676" s="4"/>
      <c r="E676" s="4"/>
      <c r="F676" s="4"/>
      <c r="G676" s="4"/>
      <c r="H676" s="4"/>
      <c r="I676" s="4"/>
    </row>
    <row r="677" spans="1:9" ht="20">
      <c r="A677" s="315"/>
      <c r="B677" s="4"/>
      <c r="C677" s="4"/>
      <c r="D677" s="4"/>
      <c r="E677" s="4"/>
      <c r="F677" s="4"/>
      <c r="G677" s="4"/>
      <c r="H677" s="4"/>
      <c r="I677" s="4"/>
    </row>
    <row r="678" spans="1:9" ht="20">
      <c r="A678" s="315"/>
      <c r="B678" s="4"/>
      <c r="C678" s="4"/>
      <c r="D678" s="4"/>
      <c r="E678" s="4"/>
      <c r="F678" s="4"/>
      <c r="G678" s="4"/>
      <c r="H678" s="4"/>
      <c r="I678" s="4"/>
    </row>
    <row r="679" spans="1:9" ht="20">
      <c r="A679" s="315"/>
      <c r="B679" s="4"/>
      <c r="C679" s="4"/>
      <c r="D679" s="4"/>
      <c r="E679" s="4"/>
      <c r="F679" s="4"/>
      <c r="G679" s="4"/>
      <c r="H679" s="4"/>
      <c r="I679" s="4"/>
    </row>
    <row r="680" spans="1:9" ht="20">
      <c r="A680" s="315"/>
      <c r="B680" s="4"/>
      <c r="C680" s="4"/>
      <c r="D680" s="4"/>
      <c r="E680" s="4"/>
      <c r="F680" s="4"/>
      <c r="G680" s="4"/>
      <c r="H680" s="4"/>
      <c r="I680" s="4"/>
    </row>
    <row r="681" spans="1:9" ht="20">
      <c r="A681" s="315"/>
      <c r="B681" s="4"/>
      <c r="C681" s="4"/>
      <c r="D681" s="4"/>
      <c r="E681" s="4"/>
      <c r="F681" s="4"/>
      <c r="G681" s="4"/>
      <c r="H681" s="4"/>
      <c r="I681" s="4"/>
    </row>
    <row r="682" spans="1:9" ht="20">
      <c r="A682" s="315"/>
      <c r="B682" s="4"/>
      <c r="C682" s="4"/>
      <c r="D682" s="4"/>
      <c r="E682" s="4"/>
      <c r="F682" s="4"/>
      <c r="G682" s="4"/>
      <c r="H682" s="4"/>
      <c r="I682" s="4"/>
    </row>
    <row r="683" spans="1:9" ht="20">
      <c r="A683" s="315"/>
      <c r="B683" s="4"/>
      <c r="C683" s="4"/>
      <c r="D683" s="4"/>
      <c r="E683" s="4"/>
      <c r="F683" s="4"/>
      <c r="G683" s="4"/>
      <c r="H683" s="4"/>
      <c r="I683" s="4"/>
    </row>
    <row r="684" spans="1:9" ht="20">
      <c r="A684" s="315"/>
      <c r="B684" s="4"/>
      <c r="C684" s="4"/>
      <c r="D684" s="4"/>
      <c r="E684" s="4"/>
      <c r="F684" s="4"/>
      <c r="G684" s="4"/>
      <c r="H684" s="4"/>
      <c r="I684" s="4"/>
    </row>
    <row r="685" spans="1:9" ht="20">
      <c r="A685" s="315"/>
      <c r="B685" s="4"/>
      <c r="C685" s="4"/>
      <c r="D685" s="4"/>
      <c r="E685" s="4"/>
      <c r="F685" s="4"/>
      <c r="G685" s="4"/>
      <c r="H685" s="4"/>
      <c r="I685" s="4"/>
    </row>
    <row r="686" spans="1:9" ht="20">
      <c r="A686" s="315"/>
      <c r="B686" s="4"/>
      <c r="C686" s="4"/>
      <c r="D686" s="4"/>
      <c r="E686" s="4"/>
      <c r="F686" s="4"/>
      <c r="G686" s="4"/>
      <c r="H686" s="4"/>
      <c r="I686" s="4"/>
    </row>
    <row r="687" spans="1:9" ht="20">
      <c r="A687" s="315"/>
      <c r="B687" s="4"/>
      <c r="C687" s="4"/>
      <c r="D687" s="4"/>
      <c r="E687" s="4"/>
      <c r="F687" s="4"/>
      <c r="G687" s="4"/>
      <c r="H687" s="4"/>
      <c r="I687" s="4"/>
    </row>
    <row r="688" spans="1:9" ht="20">
      <c r="A688" s="315"/>
      <c r="B688" s="4"/>
      <c r="C688" s="4"/>
      <c r="D688" s="4"/>
      <c r="E688" s="4"/>
      <c r="F688" s="4"/>
      <c r="G688" s="4"/>
      <c r="H688" s="4"/>
      <c r="I688" s="4"/>
    </row>
    <row r="689" spans="1:9" ht="20">
      <c r="A689" s="315"/>
      <c r="B689" s="4"/>
      <c r="C689" s="4"/>
      <c r="D689" s="4"/>
      <c r="E689" s="4"/>
      <c r="F689" s="4"/>
      <c r="G689" s="4"/>
      <c r="H689" s="4"/>
      <c r="I689" s="4"/>
    </row>
    <row r="690" spans="1:9" ht="20">
      <c r="A690" s="315"/>
      <c r="B690" s="4"/>
      <c r="C690" s="4"/>
      <c r="D690" s="4"/>
      <c r="E690" s="4"/>
      <c r="F690" s="4"/>
      <c r="G690" s="4"/>
      <c r="H690" s="4"/>
      <c r="I690" s="4"/>
    </row>
    <row r="691" spans="1:9" ht="20">
      <c r="A691" s="315"/>
      <c r="B691" s="4"/>
      <c r="C691" s="4"/>
      <c r="D691" s="4"/>
      <c r="E691" s="4"/>
      <c r="F691" s="4"/>
      <c r="G691" s="4"/>
      <c r="H691" s="4"/>
      <c r="I691" s="4"/>
    </row>
    <row r="692" spans="1:9" ht="20">
      <c r="A692" s="315"/>
      <c r="B692" s="4"/>
      <c r="C692" s="4"/>
      <c r="D692" s="4"/>
      <c r="E692" s="4"/>
      <c r="F692" s="4"/>
      <c r="G692" s="4"/>
      <c r="H692" s="4"/>
      <c r="I692" s="4"/>
    </row>
    <row r="693" spans="1:9" ht="20">
      <c r="A693" s="315"/>
      <c r="B693" s="4"/>
      <c r="C693" s="4"/>
      <c r="D693" s="4"/>
      <c r="E693" s="4"/>
      <c r="F693" s="4"/>
      <c r="G693" s="4"/>
      <c r="H693" s="4"/>
      <c r="I693" s="4"/>
    </row>
    <row r="694" spans="1:9" ht="20">
      <c r="A694" s="315"/>
      <c r="B694" s="4"/>
      <c r="C694" s="4"/>
      <c r="D694" s="4"/>
      <c r="E694" s="4"/>
      <c r="F694" s="4"/>
      <c r="G694" s="4"/>
      <c r="H694" s="4"/>
      <c r="I694" s="4"/>
    </row>
    <row r="695" spans="1:9" ht="20">
      <c r="A695" s="315"/>
      <c r="B695" s="4"/>
      <c r="C695" s="4"/>
      <c r="D695" s="4"/>
      <c r="E695" s="4"/>
      <c r="F695" s="4"/>
      <c r="G695" s="4"/>
      <c r="H695" s="4"/>
      <c r="I695" s="4"/>
    </row>
    <row r="696" spans="1:9" ht="20">
      <c r="A696" s="315"/>
      <c r="B696" s="4"/>
      <c r="C696" s="4"/>
      <c r="D696" s="4"/>
      <c r="E696" s="4"/>
      <c r="F696" s="4"/>
      <c r="G696" s="4"/>
      <c r="H696" s="4"/>
      <c r="I696" s="4"/>
    </row>
    <row r="697" spans="1:9" ht="20">
      <c r="A697" s="315"/>
      <c r="B697" s="4"/>
      <c r="C697" s="4"/>
      <c r="D697" s="4"/>
      <c r="E697" s="4"/>
      <c r="F697" s="4"/>
      <c r="G697" s="4"/>
      <c r="H697" s="4"/>
      <c r="I697" s="4"/>
    </row>
    <row r="698" spans="1:9" ht="20">
      <c r="A698" s="315"/>
      <c r="B698" s="4"/>
      <c r="C698" s="4"/>
      <c r="D698" s="4"/>
      <c r="E698" s="4"/>
      <c r="F698" s="4"/>
      <c r="G698" s="4"/>
      <c r="H698" s="4"/>
      <c r="I698" s="4"/>
    </row>
    <row r="699" spans="1:9" ht="20">
      <c r="A699" s="315"/>
      <c r="B699" s="4"/>
      <c r="C699" s="4"/>
      <c r="D699" s="4"/>
      <c r="E699" s="4"/>
      <c r="F699" s="4"/>
      <c r="G699" s="4"/>
      <c r="H699" s="4"/>
      <c r="I699" s="4"/>
    </row>
    <row r="700" spans="1:9" ht="20">
      <c r="A700" s="315"/>
      <c r="B700" s="4"/>
      <c r="C700" s="4"/>
      <c r="D700" s="4"/>
      <c r="E700" s="4"/>
      <c r="F700" s="4"/>
      <c r="G700" s="4"/>
      <c r="H700" s="4"/>
      <c r="I700" s="4"/>
    </row>
    <row r="701" spans="1:9" ht="20">
      <c r="A701" s="315"/>
      <c r="B701" s="4"/>
      <c r="C701" s="4"/>
      <c r="D701" s="4"/>
      <c r="E701" s="4"/>
      <c r="F701" s="4"/>
      <c r="G701" s="4"/>
      <c r="H701" s="4"/>
      <c r="I701" s="4"/>
    </row>
    <row r="702" spans="1:9" ht="20">
      <c r="A702" s="315"/>
      <c r="B702" s="4"/>
      <c r="C702" s="4"/>
      <c r="D702" s="4"/>
      <c r="E702" s="4"/>
      <c r="F702" s="4"/>
      <c r="G702" s="4"/>
      <c r="H702" s="4"/>
      <c r="I702" s="4"/>
    </row>
    <row r="703" spans="1:9" ht="20">
      <c r="A703" s="315"/>
      <c r="B703" s="4"/>
      <c r="C703" s="4"/>
      <c r="D703" s="4"/>
      <c r="E703" s="4"/>
      <c r="F703" s="4"/>
      <c r="G703" s="4"/>
      <c r="H703" s="4"/>
      <c r="I703" s="4"/>
    </row>
    <row r="704" spans="1:9" ht="20">
      <c r="A704" s="315"/>
      <c r="B704" s="4"/>
      <c r="C704" s="4"/>
      <c r="D704" s="4"/>
      <c r="E704" s="4"/>
      <c r="F704" s="4"/>
      <c r="G704" s="4"/>
      <c r="H704" s="4"/>
      <c r="I704" s="4"/>
    </row>
    <row r="705" spans="1:9" ht="20">
      <c r="A705" s="315"/>
      <c r="B705" s="4"/>
      <c r="C705" s="4"/>
      <c r="D705" s="4"/>
      <c r="E705" s="4"/>
      <c r="F705" s="4"/>
      <c r="G705" s="4"/>
      <c r="H705" s="4"/>
      <c r="I705" s="4"/>
    </row>
    <row r="706" spans="1:9" ht="20">
      <c r="A706" s="315"/>
      <c r="B706" s="4"/>
      <c r="C706" s="4"/>
      <c r="D706" s="4"/>
      <c r="E706" s="4"/>
      <c r="F706" s="4"/>
      <c r="G706" s="4"/>
      <c r="H706" s="4"/>
      <c r="I706" s="4"/>
    </row>
    <row r="707" spans="1:9" ht="20">
      <c r="A707" s="315"/>
      <c r="B707" s="4"/>
      <c r="C707" s="4"/>
      <c r="D707" s="4"/>
      <c r="E707" s="4"/>
      <c r="F707" s="4"/>
      <c r="G707" s="4"/>
      <c r="H707" s="4"/>
      <c r="I707" s="4"/>
    </row>
    <row r="708" spans="1:9" ht="20">
      <c r="A708" s="315"/>
      <c r="B708" s="4"/>
      <c r="C708" s="4"/>
      <c r="D708" s="4"/>
      <c r="E708" s="4"/>
      <c r="F708" s="4"/>
      <c r="G708" s="4"/>
      <c r="H708" s="4"/>
      <c r="I708" s="4"/>
    </row>
    <row r="709" spans="1:9" ht="20">
      <c r="A709" s="315"/>
      <c r="B709" s="4"/>
      <c r="C709" s="4"/>
      <c r="D709" s="4"/>
      <c r="E709" s="4"/>
      <c r="F709" s="4"/>
      <c r="G709" s="4"/>
      <c r="H709" s="4"/>
      <c r="I709" s="4"/>
    </row>
    <row r="710" spans="1:9" ht="20">
      <c r="A710" s="315"/>
      <c r="B710" s="4"/>
      <c r="C710" s="4"/>
      <c r="D710" s="4"/>
      <c r="E710" s="4"/>
      <c r="F710" s="4"/>
      <c r="G710" s="4"/>
      <c r="H710" s="4"/>
      <c r="I710" s="4"/>
    </row>
    <row r="711" spans="1:9" ht="20">
      <c r="A711" s="315"/>
      <c r="B711" s="4"/>
      <c r="C711" s="4"/>
      <c r="D711" s="4"/>
      <c r="E711" s="4"/>
      <c r="F711" s="4"/>
      <c r="G711" s="4"/>
      <c r="H711" s="4"/>
      <c r="I711" s="4"/>
    </row>
    <row r="712" spans="1:9" ht="20">
      <c r="A712" s="315"/>
      <c r="B712" s="4"/>
      <c r="C712" s="4"/>
      <c r="D712" s="4"/>
      <c r="E712" s="4"/>
      <c r="F712" s="4"/>
      <c r="G712" s="4"/>
      <c r="H712" s="4"/>
      <c r="I712" s="4"/>
    </row>
    <row r="713" spans="1:9" ht="20">
      <c r="A713" s="315"/>
      <c r="B713" s="4"/>
      <c r="C713" s="4"/>
      <c r="D713" s="4"/>
      <c r="E713" s="4"/>
      <c r="F713" s="4"/>
      <c r="G713" s="4"/>
      <c r="H713" s="4"/>
      <c r="I713" s="4"/>
    </row>
    <row r="714" spans="1:9" ht="20">
      <c r="A714" s="315"/>
      <c r="B714" s="4"/>
      <c r="C714" s="4"/>
      <c r="D714" s="4"/>
      <c r="E714" s="4"/>
      <c r="F714" s="4"/>
      <c r="G714" s="4"/>
      <c r="H714" s="4"/>
      <c r="I714" s="4"/>
    </row>
    <row r="715" spans="1:9" ht="20">
      <c r="A715" s="315"/>
      <c r="B715" s="4"/>
      <c r="C715" s="4"/>
      <c r="D715" s="4"/>
      <c r="E715" s="4"/>
      <c r="F715" s="4"/>
      <c r="G715" s="4"/>
      <c r="H715" s="4"/>
      <c r="I715" s="4"/>
    </row>
    <row r="716" spans="1:9" ht="20">
      <c r="A716" s="315"/>
      <c r="B716" s="4"/>
      <c r="C716" s="4"/>
      <c r="D716" s="4"/>
      <c r="E716" s="4"/>
      <c r="F716" s="4"/>
      <c r="G716" s="4"/>
      <c r="H716" s="4"/>
      <c r="I716" s="4"/>
    </row>
    <row r="717" spans="1:9" ht="20">
      <c r="A717" s="315"/>
      <c r="B717" s="4"/>
      <c r="C717" s="4"/>
      <c r="D717" s="4"/>
      <c r="E717" s="4"/>
      <c r="F717" s="4"/>
      <c r="G717" s="4"/>
      <c r="H717" s="4"/>
      <c r="I717" s="4"/>
    </row>
    <row r="718" spans="1:9" ht="20">
      <c r="A718" s="315"/>
      <c r="B718" s="4"/>
      <c r="C718" s="4"/>
      <c r="D718" s="4"/>
      <c r="E718" s="4"/>
      <c r="F718" s="4"/>
      <c r="G718" s="4"/>
      <c r="H718" s="4"/>
      <c r="I718" s="4"/>
    </row>
    <row r="719" spans="1:9" ht="20">
      <c r="A719" s="315"/>
      <c r="B719" s="4"/>
      <c r="C719" s="4"/>
      <c r="D719" s="4"/>
      <c r="E719" s="4"/>
      <c r="F719" s="4"/>
      <c r="G719" s="4"/>
      <c r="H719" s="4"/>
      <c r="I719" s="4"/>
    </row>
    <row r="720" spans="1:9" ht="20">
      <c r="A720" s="315"/>
      <c r="B720" s="4"/>
      <c r="C720" s="4"/>
      <c r="D720" s="4"/>
      <c r="E720" s="4"/>
      <c r="F720" s="4"/>
      <c r="G720" s="4"/>
      <c r="H720" s="4"/>
      <c r="I720" s="4"/>
    </row>
    <row r="721" spans="1:9" ht="20">
      <c r="A721" s="315"/>
      <c r="B721" s="4"/>
      <c r="C721" s="4"/>
      <c r="D721" s="4"/>
      <c r="E721" s="4"/>
      <c r="F721" s="4"/>
      <c r="G721" s="4"/>
      <c r="H721" s="4"/>
      <c r="I721" s="4"/>
    </row>
    <row r="722" spans="1:9" ht="20">
      <c r="A722" s="315"/>
      <c r="B722" s="4"/>
      <c r="C722" s="4"/>
      <c r="D722" s="4"/>
      <c r="E722" s="4"/>
      <c r="F722" s="4"/>
      <c r="G722" s="4"/>
      <c r="H722" s="4"/>
      <c r="I722" s="4"/>
    </row>
    <row r="723" spans="1:9" ht="20">
      <c r="A723" s="315"/>
      <c r="B723" s="4"/>
      <c r="C723" s="4"/>
      <c r="D723" s="4"/>
      <c r="E723" s="4"/>
      <c r="F723" s="4"/>
      <c r="G723" s="4"/>
      <c r="H723" s="4"/>
      <c r="I723" s="4"/>
    </row>
    <row r="724" spans="1:9" ht="20">
      <c r="A724" s="315"/>
      <c r="B724" s="4"/>
      <c r="C724" s="4"/>
      <c r="D724" s="4"/>
      <c r="E724" s="4"/>
      <c r="F724" s="4"/>
      <c r="G724" s="4"/>
      <c r="H724" s="4"/>
      <c r="I724" s="4"/>
    </row>
    <row r="725" spans="1:9" ht="20">
      <c r="A725" s="315"/>
      <c r="B725" s="4"/>
      <c r="C725" s="4"/>
      <c r="D725" s="4"/>
      <c r="E725" s="4"/>
      <c r="F725" s="4"/>
      <c r="G725" s="4"/>
      <c r="H725" s="4"/>
      <c r="I725" s="4"/>
    </row>
    <row r="726" spans="1:9" ht="20">
      <c r="A726" s="315"/>
      <c r="B726" s="4"/>
      <c r="C726" s="4"/>
      <c r="D726" s="4"/>
      <c r="E726" s="4"/>
      <c r="F726" s="4"/>
      <c r="G726" s="4"/>
      <c r="H726" s="4"/>
      <c r="I726" s="4"/>
    </row>
    <row r="727" spans="1:9" ht="20">
      <c r="A727" s="315"/>
      <c r="B727" s="4"/>
      <c r="C727" s="4"/>
      <c r="D727" s="4"/>
      <c r="E727" s="4"/>
      <c r="F727" s="4"/>
      <c r="G727" s="4"/>
      <c r="H727" s="4"/>
      <c r="I727" s="4"/>
    </row>
    <row r="728" spans="1:9" ht="20">
      <c r="A728" s="315"/>
      <c r="B728" s="4"/>
      <c r="C728" s="4"/>
      <c r="D728" s="4"/>
      <c r="E728" s="4"/>
      <c r="F728" s="4"/>
      <c r="G728" s="4"/>
      <c r="H728" s="4"/>
      <c r="I728" s="4"/>
    </row>
    <row r="729" spans="1:9" ht="20">
      <c r="A729" s="315"/>
      <c r="B729" s="4"/>
      <c r="C729" s="4"/>
      <c r="D729" s="4"/>
      <c r="E729" s="4"/>
      <c r="F729" s="4"/>
      <c r="G729" s="4"/>
      <c r="H729" s="4"/>
      <c r="I729" s="4"/>
    </row>
    <row r="730" spans="1:9" ht="20">
      <c r="A730" s="315"/>
      <c r="B730" s="4"/>
      <c r="C730" s="4"/>
      <c r="D730" s="4"/>
      <c r="E730" s="4"/>
      <c r="F730" s="4"/>
      <c r="G730" s="4"/>
      <c r="H730" s="4"/>
      <c r="I730" s="4"/>
    </row>
    <row r="731" spans="1:9" ht="20">
      <c r="A731" s="315"/>
      <c r="B731" s="4"/>
      <c r="C731" s="4"/>
      <c r="D731" s="4"/>
      <c r="E731" s="4"/>
      <c r="F731" s="4"/>
      <c r="G731" s="4"/>
      <c r="H731" s="4"/>
      <c r="I731" s="4"/>
    </row>
    <row r="732" spans="1:9" ht="20">
      <c r="A732" s="315"/>
      <c r="B732" s="4"/>
      <c r="C732" s="4"/>
      <c r="D732" s="4"/>
      <c r="E732" s="4"/>
      <c r="F732" s="4"/>
      <c r="G732" s="4"/>
      <c r="H732" s="4"/>
      <c r="I732" s="4"/>
    </row>
    <row r="733" spans="1:9" ht="20">
      <c r="A733" s="315"/>
      <c r="B733" s="4"/>
      <c r="C733" s="4"/>
      <c r="D733" s="4"/>
      <c r="E733" s="4"/>
      <c r="F733" s="4"/>
      <c r="G733" s="4"/>
      <c r="H733" s="4"/>
      <c r="I733" s="4"/>
    </row>
    <row r="734" spans="1:9" ht="20">
      <c r="A734" s="315"/>
      <c r="B734" s="4"/>
      <c r="C734" s="4"/>
      <c r="D734" s="4"/>
      <c r="E734" s="4"/>
      <c r="F734" s="4"/>
      <c r="G734" s="4"/>
      <c r="H734" s="4"/>
      <c r="I734" s="4"/>
    </row>
    <row r="735" spans="1:9" ht="20">
      <c r="A735" s="315"/>
      <c r="B735" s="4"/>
      <c r="C735" s="4"/>
      <c r="D735" s="4"/>
      <c r="E735" s="4"/>
      <c r="F735" s="4"/>
      <c r="G735" s="4"/>
      <c r="H735" s="4"/>
      <c r="I735" s="4"/>
    </row>
    <row r="736" spans="1:9" ht="20">
      <c r="A736" s="315"/>
      <c r="B736" s="4"/>
      <c r="C736" s="4"/>
      <c r="D736" s="4"/>
      <c r="E736" s="4"/>
      <c r="F736" s="4"/>
      <c r="G736" s="4"/>
      <c r="H736" s="4"/>
      <c r="I736" s="4"/>
    </row>
    <row r="737" spans="1:9" ht="20">
      <c r="A737" s="315"/>
      <c r="B737" s="4"/>
      <c r="C737" s="4"/>
      <c r="D737" s="4"/>
      <c r="E737" s="4"/>
      <c r="F737" s="4"/>
      <c r="G737" s="4"/>
      <c r="H737" s="4"/>
      <c r="I737" s="4"/>
    </row>
    <row r="738" spans="1:9" ht="20">
      <c r="A738" s="315"/>
      <c r="B738" s="4"/>
      <c r="C738" s="4"/>
      <c r="D738" s="4"/>
      <c r="E738" s="4"/>
      <c r="F738" s="4"/>
      <c r="G738" s="4"/>
      <c r="H738" s="4"/>
      <c r="I738" s="4"/>
    </row>
    <row r="739" spans="1:9" ht="20">
      <c r="A739" s="315"/>
      <c r="B739" s="4"/>
      <c r="C739" s="4"/>
      <c r="D739" s="4"/>
      <c r="E739" s="4"/>
      <c r="F739" s="4"/>
      <c r="G739" s="4"/>
      <c r="H739" s="4"/>
      <c r="I739" s="4"/>
    </row>
    <row r="740" spans="1:9" ht="20">
      <c r="A740" s="315"/>
      <c r="B740" s="4"/>
      <c r="C740" s="4"/>
      <c r="D740" s="4"/>
      <c r="E740" s="4"/>
      <c r="F740" s="4"/>
      <c r="G740" s="4"/>
      <c r="H740" s="4"/>
      <c r="I740" s="4"/>
    </row>
    <row r="741" spans="1:9" ht="20">
      <c r="A741" s="315"/>
      <c r="B741" s="4"/>
      <c r="C741" s="4"/>
      <c r="D741" s="4"/>
      <c r="E741" s="4"/>
      <c r="F741" s="4"/>
      <c r="G741" s="4"/>
      <c r="H741" s="4"/>
      <c r="I741" s="4"/>
    </row>
    <row r="742" spans="1:9" ht="20">
      <c r="A742" s="315"/>
      <c r="B742" s="4"/>
      <c r="C742" s="4"/>
      <c r="D742" s="4"/>
      <c r="E742" s="4"/>
      <c r="F742" s="4"/>
      <c r="G742" s="4"/>
      <c r="H742" s="4"/>
      <c r="I742" s="4"/>
    </row>
    <row r="743" spans="1:9" ht="20">
      <c r="A743" s="315"/>
      <c r="B743" s="4"/>
      <c r="C743" s="4"/>
      <c r="D743" s="4"/>
      <c r="E743" s="4"/>
      <c r="F743" s="4"/>
      <c r="G743" s="4"/>
      <c r="H743" s="4"/>
      <c r="I743" s="4"/>
    </row>
    <row r="744" spans="1:9" ht="20">
      <c r="A744" s="315"/>
      <c r="B744" s="4"/>
      <c r="C744" s="4"/>
      <c r="D744" s="4"/>
      <c r="E744" s="4"/>
      <c r="F744" s="4"/>
      <c r="G744" s="4"/>
      <c r="H744" s="4"/>
      <c r="I744" s="4"/>
    </row>
    <row r="745" spans="1:9" ht="20">
      <c r="A745" s="315"/>
      <c r="B745" s="4"/>
      <c r="C745" s="4"/>
      <c r="D745" s="4"/>
      <c r="E745" s="4"/>
      <c r="F745" s="4"/>
      <c r="G745" s="4"/>
      <c r="H745" s="4"/>
      <c r="I745" s="4"/>
    </row>
    <row r="746" spans="1:9" ht="20">
      <c r="A746" s="315"/>
      <c r="B746" s="4"/>
      <c r="C746" s="4"/>
      <c r="D746" s="4"/>
      <c r="E746" s="4"/>
      <c r="F746" s="4"/>
      <c r="G746" s="4"/>
      <c r="H746" s="4"/>
      <c r="I746" s="4"/>
    </row>
    <row r="747" spans="1:9" ht="20">
      <c r="A747" s="315"/>
      <c r="B747" s="4"/>
      <c r="C747" s="4"/>
      <c r="D747" s="4"/>
      <c r="E747" s="4"/>
      <c r="F747" s="4"/>
      <c r="G747" s="4"/>
      <c r="H747" s="4"/>
      <c r="I747" s="4"/>
    </row>
    <row r="748" spans="1:9" ht="20">
      <c r="A748" s="315"/>
      <c r="B748" s="4"/>
      <c r="C748" s="4"/>
      <c r="D748" s="4"/>
      <c r="E748" s="4"/>
      <c r="F748" s="4"/>
      <c r="G748" s="4"/>
      <c r="H748" s="4"/>
      <c r="I748" s="4"/>
    </row>
    <row r="749" spans="1:9" ht="20">
      <c r="A749" s="315"/>
      <c r="B749" s="4"/>
      <c r="C749" s="4"/>
      <c r="D749" s="4"/>
      <c r="E749" s="4"/>
      <c r="F749" s="4"/>
      <c r="G749" s="4"/>
      <c r="H749" s="4"/>
      <c r="I749" s="4"/>
    </row>
    <row r="750" spans="1:9" ht="20">
      <c r="A750" s="315"/>
      <c r="B750" s="4"/>
      <c r="C750" s="4"/>
      <c r="D750" s="4"/>
      <c r="E750" s="4"/>
      <c r="F750" s="4"/>
      <c r="G750" s="4"/>
      <c r="H750" s="4"/>
      <c r="I750" s="4"/>
    </row>
    <row r="751" spans="1:9" ht="20">
      <c r="A751" s="315"/>
      <c r="B751" s="4"/>
      <c r="C751" s="4"/>
      <c r="D751" s="4"/>
      <c r="E751" s="4"/>
      <c r="F751" s="4"/>
      <c r="G751" s="4"/>
      <c r="H751" s="4"/>
      <c r="I751" s="4"/>
    </row>
    <row r="752" spans="1:9" ht="20">
      <c r="A752" s="315"/>
      <c r="B752" s="4"/>
      <c r="C752" s="4"/>
      <c r="D752" s="4"/>
      <c r="E752" s="4"/>
      <c r="F752" s="4"/>
      <c r="G752" s="4"/>
      <c r="H752" s="4"/>
      <c r="I752" s="4"/>
    </row>
    <row r="753" spans="1:9" ht="20">
      <c r="A753" s="315"/>
      <c r="B753" s="4"/>
      <c r="C753" s="4"/>
      <c r="D753" s="4"/>
      <c r="E753" s="4"/>
      <c r="F753" s="4"/>
      <c r="G753" s="4"/>
      <c r="H753" s="4"/>
      <c r="I753" s="4"/>
    </row>
    <row r="754" spans="1:9" ht="20">
      <c r="A754" s="315"/>
      <c r="B754" s="4"/>
      <c r="C754" s="4"/>
      <c r="D754" s="4"/>
      <c r="E754" s="4"/>
      <c r="F754" s="4"/>
      <c r="G754" s="4"/>
      <c r="H754" s="4"/>
      <c r="I754" s="4"/>
    </row>
    <row r="755" spans="1:9" ht="20">
      <c r="A755" s="315"/>
      <c r="B755" s="4"/>
      <c r="C755" s="4"/>
      <c r="D755" s="4"/>
      <c r="E755" s="4"/>
      <c r="F755" s="4"/>
      <c r="G755" s="4"/>
      <c r="H755" s="4"/>
      <c r="I755" s="4"/>
    </row>
    <row r="756" spans="1:9" ht="20">
      <c r="A756" s="315"/>
      <c r="B756" s="4"/>
      <c r="C756" s="4"/>
      <c r="D756" s="4"/>
      <c r="E756" s="4"/>
      <c r="F756" s="4"/>
      <c r="G756" s="4"/>
      <c r="H756" s="4"/>
      <c r="I756" s="4"/>
    </row>
    <row r="757" spans="1:9" ht="20">
      <c r="A757" s="315"/>
      <c r="B757" s="4"/>
      <c r="C757" s="4"/>
      <c r="D757" s="4"/>
      <c r="E757" s="4"/>
      <c r="F757" s="4"/>
      <c r="G757" s="4"/>
      <c r="H757" s="4"/>
      <c r="I757" s="4"/>
    </row>
    <row r="758" spans="1:9" ht="20">
      <c r="A758" s="315"/>
      <c r="B758" s="4"/>
      <c r="C758" s="4"/>
      <c r="D758" s="4"/>
      <c r="E758" s="4"/>
      <c r="F758" s="4"/>
      <c r="G758" s="4"/>
      <c r="H758" s="4"/>
      <c r="I758" s="4"/>
    </row>
    <row r="759" spans="1:9" ht="20">
      <c r="A759" s="315"/>
      <c r="B759" s="4"/>
      <c r="C759" s="4"/>
      <c r="D759" s="4"/>
      <c r="E759" s="4"/>
      <c r="F759" s="4"/>
      <c r="G759" s="4"/>
      <c r="H759" s="4"/>
      <c r="I759" s="4"/>
    </row>
    <row r="760" spans="1:9" ht="20">
      <c r="A760" s="315"/>
      <c r="B760" s="4"/>
      <c r="C760" s="4"/>
      <c r="D760" s="4"/>
      <c r="E760" s="4"/>
      <c r="F760" s="4"/>
      <c r="G760" s="4"/>
      <c r="H760" s="4"/>
      <c r="I760" s="4"/>
    </row>
    <row r="761" spans="1:9" ht="20">
      <c r="A761" s="315"/>
      <c r="B761" s="4"/>
      <c r="C761" s="4"/>
      <c r="D761" s="4"/>
      <c r="E761" s="4"/>
      <c r="F761" s="4"/>
      <c r="G761" s="4"/>
      <c r="H761" s="4"/>
      <c r="I761" s="4"/>
    </row>
    <row r="762" spans="1:9" ht="20">
      <c r="A762" s="315"/>
      <c r="B762" s="4"/>
      <c r="C762" s="4"/>
      <c r="D762" s="4"/>
      <c r="E762" s="4"/>
      <c r="F762" s="4"/>
      <c r="G762" s="4"/>
      <c r="H762" s="4"/>
      <c r="I762" s="4"/>
    </row>
    <row r="763" spans="1:9" ht="20">
      <c r="A763" s="315"/>
      <c r="B763" s="4"/>
      <c r="C763" s="4"/>
      <c r="D763" s="4"/>
      <c r="E763" s="4"/>
      <c r="F763" s="4"/>
      <c r="G763" s="4"/>
      <c r="H763" s="4"/>
      <c r="I763" s="4"/>
    </row>
    <row r="764" spans="1:9" ht="20">
      <c r="A764" s="315"/>
      <c r="B764" s="4"/>
      <c r="C764" s="4"/>
      <c r="D764" s="4"/>
      <c r="E764" s="4"/>
      <c r="F764" s="4"/>
      <c r="G764" s="4"/>
      <c r="H764" s="4"/>
      <c r="I764" s="4"/>
    </row>
    <row r="765" spans="1:9" ht="20">
      <c r="A765" s="315"/>
      <c r="B765" s="4"/>
      <c r="C765" s="4"/>
      <c r="D765" s="4"/>
      <c r="E765" s="4"/>
      <c r="F765" s="4"/>
      <c r="G765" s="4"/>
      <c r="H765" s="4"/>
      <c r="I765" s="4"/>
    </row>
    <row r="766" spans="1:9" ht="20">
      <c r="A766" s="315"/>
      <c r="B766" s="4"/>
      <c r="C766" s="4"/>
      <c r="D766" s="4"/>
      <c r="E766" s="4"/>
      <c r="F766" s="4"/>
      <c r="G766" s="4"/>
      <c r="H766" s="4"/>
      <c r="I766" s="4"/>
    </row>
    <row r="767" spans="1:9" ht="20">
      <c r="A767" s="315"/>
      <c r="B767" s="4"/>
      <c r="C767" s="4"/>
      <c r="D767" s="4"/>
      <c r="E767" s="4"/>
      <c r="F767" s="4"/>
      <c r="G767" s="4"/>
      <c r="H767" s="4"/>
      <c r="I767" s="4"/>
    </row>
    <row r="768" spans="1:9" ht="20">
      <c r="A768" s="315"/>
      <c r="B768" s="4"/>
      <c r="C768" s="4"/>
      <c r="D768" s="4"/>
      <c r="E768" s="4"/>
      <c r="F768" s="4"/>
      <c r="G768" s="4"/>
      <c r="H768" s="4"/>
      <c r="I768" s="4"/>
    </row>
    <row r="769" spans="1:9" ht="20">
      <c r="A769" s="315"/>
      <c r="B769" s="4"/>
      <c r="C769" s="4"/>
      <c r="D769" s="4"/>
      <c r="E769" s="4"/>
      <c r="F769" s="4"/>
      <c r="G769" s="4"/>
      <c r="H769" s="4"/>
      <c r="I769" s="4"/>
    </row>
    <row r="770" spans="1:9" ht="20">
      <c r="A770" s="315"/>
      <c r="B770" s="4"/>
      <c r="C770" s="4"/>
      <c r="D770" s="4"/>
      <c r="E770" s="4"/>
      <c r="F770" s="4"/>
      <c r="G770" s="4"/>
      <c r="H770" s="4"/>
      <c r="I770" s="4"/>
    </row>
    <row r="771" spans="1:9" ht="20">
      <c r="A771" s="315"/>
      <c r="B771" s="4"/>
      <c r="C771" s="4"/>
      <c r="D771" s="4"/>
      <c r="E771" s="4"/>
      <c r="F771" s="4"/>
      <c r="G771" s="4"/>
      <c r="H771" s="4"/>
      <c r="I771" s="4"/>
    </row>
    <row r="772" spans="1:9" ht="20">
      <c r="A772" s="315"/>
      <c r="B772" s="4"/>
      <c r="C772" s="4"/>
      <c r="D772" s="4"/>
      <c r="E772" s="4"/>
      <c r="F772" s="4"/>
      <c r="G772" s="4"/>
      <c r="H772" s="4"/>
      <c r="I772" s="4"/>
    </row>
    <row r="773" spans="1:9" ht="20">
      <c r="A773" s="315"/>
      <c r="B773" s="4"/>
      <c r="C773" s="4"/>
      <c r="D773" s="4"/>
      <c r="E773" s="4"/>
      <c r="F773" s="4"/>
      <c r="G773" s="4"/>
      <c r="H773" s="4"/>
      <c r="I773" s="4"/>
    </row>
    <row r="774" spans="1:9" ht="20">
      <c r="A774" s="315"/>
      <c r="B774" s="4"/>
      <c r="C774" s="4"/>
      <c r="D774" s="4"/>
      <c r="E774" s="4"/>
      <c r="F774" s="4"/>
      <c r="G774" s="4"/>
      <c r="H774" s="4"/>
      <c r="I774" s="4"/>
    </row>
    <row r="775" spans="1:9" ht="20">
      <c r="A775" s="315"/>
      <c r="B775" s="4"/>
      <c r="C775" s="4"/>
      <c r="D775" s="4"/>
      <c r="E775" s="4"/>
      <c r="F775" s="4"/>
      <c r="G775" s="4"/>
      <c r="H775" s="4"/>
      <c r="I775" s="4"/>
    </row>
    <row r="776" spans="1:9" ht="20">
      <c r="A776" s="315"/>
      <c r="B776" s="4"/>
      <c r="C776" s="4"/>
      <c r="D776" s="4"/>
      <c r="E776" s="4"/>
      <c r="F776" s="4"/>
      <c r="G776" s="4"/>
      <c r="H776" s="4"/>
      <c r="I776" s="4"/>
    </row>
    <row r="777" spans="1:9" ht="20">
      <c r="A777" s="315"/>
      <c r="B777" s="4"/>
      <c r="C777" s="4"/>
      <c r="D777" s="4"/>
      <c r="E777" s="4"/>
      <c r="F777" s="4"/>
      <c r="G777" s="4"/>
      <c r="H777" s="4"/>
      <c r="I777" s="4"/>
    </row>
    <row r="778" spans="1:9" ht="20">
      <c r="A778" s="315"/>
      <c r="B778" s="4"/>
      <c r="C778" s="4"/>
      <c r="D778" s="4"/>
      <c r="E778" s="4"/>
      <c r="F778" s="4"/>
      <c r="G778" s="4"/>
      <c r="H778" s="4"/>
      <c r="I778" s="4"/>
    </row>
    <row r="779" spans="1:9" ht="20">
      <c r="A779" s="315"/>
      <c r="B779" s="4"/>
      <c r="C779" s="4"/>
      <c r="D779" s="4"/>
      <c r="E779" s="4"/>
      <c r="F779" s="4"/>
      <c r="G779" s="4"/>
      <c r="H779" s="4"/>
      <c r="I779" s="4"/>
    </row>
    <row r="780" spans="1:9" ht="20">
      <c r="A780" s="315"/>
      <c r="B780" s="4"/>
      <c r="C780" s="4"/>
      <c r="D780" s="4"/>
      <c r="E780" s="4"/>
      <c r="F780" s="4"/>
      <c r="G780" s="4"/>
      <c r="H780" s="4"/>
      <c r="I780" s="4"/>
    </row>
    <row r="781" spans="1:9" ht="20">
      <c r="A781" s="315"/>
      <c r="B781" s="4"/>
      <c r="C781" s="4"/>
      <c r="D781" s="4"/>
      <c r="E781" s="4"/>
      <c r="F781" s="4"/>
      <c r="G781" s="4"/>
      <c r="H781" s="4"/>
      <c r="I781" s="4"/>
    </row>
    <row r="782" spans="1:9" ht="20">
      <c r="A782" s="315"/>
      <c r="B782" s="4"/>
      <c r="C782" s="4"/>
      <c r="D782" s="4"/>
      <c r="E782" s="4"/>
      <c r="F782" s="4"/>
      <c r="G782" s="4"/>
      <c r="H782" s="4"/>
      <c r="I782" s="4"/>
    </row>
    <row r="783" spans="1:9" ht="20">
      <c r="A783" s="315"/>
      <c r="B783" s="4"/>
      <c r="C783" s="4"/>
      <c r="D783" s="4"/>
      <c r="E783" s="4"/>
      <c r="F783" s="4"/>
      <c r="G783" s="4"/>
      <c r="H783" s="4"/>
      <c r="I783" s="4"/>
    </row>
    <row r="784" spans="1:9" ht="20">
      <c r="A784" s="315"/>
      <c r="B784" s="4"/>
      <c r="C784" s="4"/>
      <c r="D784" s="4"/>
      <c r="E784" s="4"/>
      <c r="F784" s="4"/>
      <c r="G784" s="4"/>
      <c r="H784" s="4"/>
      <c r="I784" s="4"/>
    </row>
    <row r="785" spans="1:9" ht="20">
      <c r="A785" s="315"/>
      <c r="B785" s="4"/>
      <c r="C785" s="4"/>
      <c r="D785" s="4"/>
      <c r="E785" s="4"/>
      <c r="F785" s="4"/>
      <c r="G785" s="4"/>
      <c r="H785" s="4"/>
      <c r="I785" s="4"/>
    </row>
    <row r="786" spans="1:9" ht="20">
      <c r="A786" s="315"/>
      <c r="B786" s="4"/>
      <c r="C786" s="4"/>
      <c r="D786" s="4"/>
      <c r="E786" s="4"/>
      <c r="F786" s="4"/>
      <c r="G786" s="4"/>
      <c r="H786" s="4"/>
      <c r="I786" s="4"/>
    </row>
    <row r="787" spans="1:9" ht="20">
      <c r="A787" s="315"/>
      <c r="B787" s="4"/>
      <c r="C787" s="4"/>
      <c r="D787" s="4"/>
      <c r="E787" s="4"/>
      <c r="F787" s="4"/>
      <c r="G787" s="4"/>
      <c r="H787" s="4"/>
      <c r="I787" s="4"/>
    </row>
    <row r="788" spans="1:9" ht="20">
      <c r="A788" s="315"/>
      <c r="B788" s="4"/>
      <c r="C788" s="4"/>
      <c r="D788" s="4"/>
      <c r="E788" s="4"/>
      <c r="F788" s="4"/>
      <c r="G788" s="4"/>
      <c r="H788" s="4"/>
      <c r="I788" s="4"/>
    </row>
    <row r="789" spans="1:9" ht="20">
      <c r="A789" s="315"/>
      <c r="B789" s="4"/>
      <c r="C789" s="4"/>
      <c r="D789" s="4"/>
      <c r="E789" s="4"/>
      <c r="F789" s="4"/>
      <c r="G789" s="4"/>
      <c r="H789" s="4"/>
      <c r="I789" s="4"/>
    </row>
    <row r="790" spans="1:9" ht="20">
      <c r="A790" s="315"/>
      <c r="B790" s="4"/>
      <c r="C790" s="4"/>
      <c r="D790" s="4"/>
      <c r="E790" s="4"/>
      <c r="F790" s="4"/>
      <c r="G790" s="4"/>
      <c r="H790" s="4"/>
      <c r="I790" s="4"/>
    </row>
    <row r="791" spans="1:9" ht="20">
      <c r="A791" s="315"/>
      <c r="B791" s="4"/>
      <c r="C791" s="4"/>
      <c r="D791" s="4"/>
      <c r="E791" s="4"/>
      <c r="F791" s="4"/>
      <c r="G791" s="4"/>
      <c r="H791" s="4"/>
      <c r="I791" s="4"/>
    </row>
    <row r="792" spans="1:9" ht="20">
      <c r="A792" s="315"/>
      <c r="B792" s="4"/>
      <c r="C792" s="4"/>
      <c r="D792" s="4"/>
      <c r="E792" s="4"/>
      <c r="F792" s="4"/>
      <c r="G792" s="4"/>
      <c r="H792" s="4"/>
      <c r="I792" s="4"/>
    </row>
    <row r="793" spans="1:9" ht="20">
      <c r="A793" s="315"/>
      <c r="B793" s="4"/>
      <c r="C793" s="4"/>
      <c r="D793" s="4"/>
      <c r="E793" s="4"/>
      <c r="F793" s="4"/>
      <c r="G793" s="4"/>
      <c r="H793" s="4"/>
      <c r="I793" s="4"/>
    </row>
    <row r="794" spans="1:9" ht="20">
      <c r="A794" s="315"/>
      <c r="B794" s="4"/>
      <c r="C794" s="4"/>
      <c r="D794" s="4"/>
      <c r="E794" s="4"/>
      <c r="F794" s="4"/>
      <c r="G794" s="4"/>
      <c r="H794" s="4"/>
      <c r="I794" s="4"/>
    </row>
    <row r="795" spans="1:9" ht="20">
      <c r="A795" s="315"/>
      <c r="B795" s="4"/>
      <c r="C795" s="4"/>
      <c r="D795" s="4"/>
      <c r="E795" s="4"/>
      <c r="F795" s="4"/>
      <c r="G795" s="4"/>
      <c r="H795" s="4"/>
      <c r="I795" s="4"/>
    </row>
    <row r="796" spans="1:9" ht="20">
      <c r="A796" s="315"/>
      <c r="B796" s="4"/>
      <c r="C796" s="4"/>
      <c r="D796" s="4"/>
      <c r="E796" s="4"/>
      <c r="F796" s="4"/>
      <c r="G796" s="4"/>
      <c r="H796" s="4"/>
      <c r="I796" s="4"/>
    </row>
    <row r="797" spans="1:9" ht="20">
      <c r="A797" s="315"/>
      <c r="B797" s="4"/>
      <c r="C797" s="4"/>
      <c r="D797" s="4"/>
      <c r="E797" s="4"/>
      <c r="F797" s="4"/>
      <c r="G797" s="4"/>
      <c r="H797" s="4"/>
      <c r="I797" s="4"/>
    </row>
    <row r="798" spans="1:9" ht="20">
      <c r="A798" s="315"/>
      <c r="B798" s="4"/>
      <c r="C798" s="4"/>
      <c r="D798" s="4"/>
      <c r="E798" s="4"/>
      <c r="F798" s="4"/>
      <c r="G798" s="4"/>
      <c r="H798" s="4"/>
      <c r="I798" s="4"/>
    </row>
    <row r="799" spans="1:9" ht="20">
      <c r="A799" s="315"/>
      <c r="B799" s="4"/>
      <c r="C799" s="4"/>
      <c r="D799" s="4"/>
      <c r="E799" s="4"/>
      <c r="F799" s="4"/>
      <c r="G799" s="4"/>
      <c r="H799" s="4"/>
      <c r="I799" s="4"/>
    </row>
    <row r="800" spans="1:9" ht="20">
      <c r="A800" s="315"/>
      <c r="B800" s="4"/>
      <c r="C800" s="4"/>
      <c r="D800" s="4"/>
      <c r="E800" s="4"/>
      <c r="F800" s="4"/>
      <c r="G800" s="4"/>
      <c r="H800" s="4"/>
      <c r="I800" s="4"/>
    </row>
    <row r="801" spans="1:9" ht="20">
      <c r="A801" s="315"/>
      <c r="B801" s="4"/>
      <c r="C801" s="4"/>
      <c r="D801" s="4"/>
      <c r="E801" s="4"/>
      <c r="F801" s="4"/>
      <c r="G801" s="4"/>
      <c r="H801" s="4"/>
      <c r="I801" s="4"/>
    </row>
    <row r="802" spans="1:9" ht="20">
      <c r="A802" s="315"/>
      <c r="B802" s="4"/>
      <c r="C802" s="4"/>
      <c r="D802" s="4"/>
      <c r="E802" s="4"/>
      <c r="F802" s="4"/>
      <c r="G802" s="4"/>
      <c r="H802" s="4"/>
      <c r="I802" s="4"/>
    </row>
    <row r="803" spans="1:9" ht="20">
      <c r="A803" s="315"/>
      <c r="B803" s="4"/>
      <c r="C803" s="4"/>
      <c r="D803" s="4"/>
      <c r="E803" s="4"/>
      <c r="F803" s="4"/>
      <c r="G803" s="4"/>
      <c r="H803" s="4"/>
      <c r="I803" s="4"/>
    </row>
    <row r="804" spans="1:9" ht="20">
      <c r="A804" s="315"/>
      <c r="B804" s="4"/>
      <c r="C804" s="4"/>
      <c r="D804" s="4"/>
      <c r="E804" s="4"/>
      <c r="F804" s="4"/>
      <c r="G804" s="4"/>
      <c r="H804" s="4"/>
      <c r="I804" s="4"/>
    </row>
    <row r="805" spans="1:9" ht="20">
      <c r="A805" s="315"/>
      <c r="B805" s="4"/>
      <c r="C805" s="4"/>
      <c r="D805" s="4"/>
      <c r="E805" s="4"/>
      <c r="F805" s="4"/>
      <c r="G805" s="4"/>
      <c r="H805" s="4"/>
      <c r="I805" s="4"/>
    </row>
    <row r="806" spans="1:9" ht="20">
      <c r="A806" s="315"/>
      <c r="B806" s="4"/>
      <c r="C806" s="4"/>
      <c r="D806" s="4"/>
      <c r="E806" s="4"/>
      <c r="F806" s="4"/>
      <c r="G806" s="4"/>
      <c r="H806" s="4"/>
      <c r="I806" s="4"/>
    </row>
    <row r="807" spans="1:9" ht="20">
      <c r="A807" s="315"/>
      <c r="B807" s="4"/>
      <c r="C807" s="4"/>
      <c r="D807" s="4"/>
      <c r="E807" s="4"/>
      <c r="F807" s="4"/>
      <c r="G807" s="4"/>
      <c r="H807" s="4"/>
      <c r="I807" s="4"/>
    </row>
    <row r="808" spans="1:9" ht="20">
      <c r="A808" s="315"/>
      <c r="B808" s="4"/>
      <c r="C808" s="4"/>
      <c r="D808" s="4"/>
      <c r="E808" s="4"/>
      <c r="F808" s="4"/>
      <c r="G808" s="4"/>
      <c r="H808" s="4"/>
      <c r="I808" s="4"/>
    </row>
    <row r="809" spans="1:9" ht="20">
      <c r="A809" s="315"/>
      <c r="B809" s="4"/>
      <c r="C809" s="4"/>
      <c r="D809" s="4"/>
      <c r="E809" s="4"/>
      <c r="F809" s="4"/>
      <c r="G809" s="4"/>
      <c r="H809" s="4"/>
      <c r="I809" s="4"/>
    </row>
    <row r="810" spans="1:9" ht="20">
      <c r="A810" s="315"/>
      <c r="B810" s="4"/>
      <c r="C810" s="4"/>
      <c r="D810" s="4"/>
      <c r="E810" s="4"/>
      <c r="F810" s="4"/>
      <c r="G810" s="4"/>
      <c r="H810" s="4"/>
      <c r="I810" s="4"/>
    </row>
    <row r="811" spans="1:9" ht="20">
      <c r="A811" s="315"/>
      <c r="B811" s="4"/>
      <c r="C811" s="4"/>
      <c r="D811" s="4"/>
      <c r="E811" s="4"/>
      <c r="F811" s="4"/>
      <c r="G811" s="4"/>
      <c r="H811" s="4"/>
      <c r="I811" s="4"/>
    </row>
    <row r="812" spans="1:9" ht="20">
      <c r="A812" s="315"/>
      <c r="B812" s="4"/>
      <c r="C812" s="4"/>
      <c r="D812" s="4"/>
      <c r="E812" s="4"/>
      <c r="F812" s="4"/>
      <c r="G812" s="4"/>
      <c r="H812" s="4"/>
      <c r="I812" s="4"/>
    </row>
    <row r="813" spans="1:9" ht="20">
      <c r="A813" s="315"/>
      <c r="B813" s="4"/>
      <c r="C813" s="4"/>
      <c r="D813" s="4"/>
      <c r="E813" s="4"/>
      <c r="F813" s="4"/>
      <c r="G813" s="4"/>
      <c r="H813" s="4"/>
      <c r="I813" s="4"/>
    </row>
    <row r="814" spans="1:9" ht="20">
      <c r="A814" s="315"/>
      <c r="B814" s="4"/>
      <c r="C814" s="4"/>
      <c r="D814" s="4"/>
      <c r="E814" s="4"/>
      <c r="F814" s="4"/>
      <c r="G814" s="4"/>
      <c r="H814" s="4"/>
      <c r="I814" s="4"/>
    </row>
    <row r="815" spans="1:9" ht="20">
      <c r="A815" s="315"/>
      <c r="B815" s="4"/>
      <c r="C815" s="4"/>
      <c r="D815" s="4"/>
      <c r="E815" s="4"/>
      <c r="F815" s="4"/>
      <c r="G815" s="4"/>
      <c r="H815" s="4"/>
      <c r="I815" s="4"/>
    </row>
    <row r="816" spans="1:9" ht="20">
      <c r="A816" s="315"/>
      <c r="B816" s="4"/>
      <c r="C816" s="4"/>
      <c r="D816" s="4"/>
      <c r="E816" s="4"/>
      <c r="F816" s="4"/>
      <c r="G816" s="4"/>
      <c r="H816" s="4"/>
      <c r="I816" s="4"/>
    </row>
    <row r="817" spans="1:9" ht="20">
      <c r="A817" s="315"/>
      <c r="B817" s="4"/>
      <c r="C817" s="4"/>
      <c r="D817" s="4"/>
      <c r="E817" s="4"/>
      <c r="F817" s="4"/>
      <c r="G817" s="4"/>
      <c r="H817" s="4"/>
      <c r="I817" s="4"/>
    </row>
    <row r="818" spans="1:9" ht="20">
      <c r="A818" s="315"/>
      <c r="B818" s="4"/>
      <c r="C818" s="4"/>
      <c r="D818" s="4"/>
      <c r="E818" s="4"/>
      <c r="F818" s="4"/>
      <c r="G818" s="4"/>
      <c r="H818" s="4"/>
      <c r="I818" s="4"/>
    </row>
    <row r="819" spans="1:9" ht="20">
      <c r="A819" s="315"/>
      <c r="B819" s="4"/>
      <c r="C819" s="4"/>
      <c r="D819" s="4"/>
      <c r="E819" s="4"/>
      <c r="F819" s="4"/>
      <c r="G819" s="4"/>
      <c r="H819" s="4"/>
      <c r="I819" s="4"/>
    </row>
    <row r="820" spans="1:9" ht="20">
      <c r="A820" s="315"/>
      <c r="B820" s="4"/>
      <c r="C820" s="4"/>
      <c r="D820" s="4"/>
      <c r="E820" s="4"/>
      <c r="F820" s="4"/>
      <c r="G820" s="4"/>
      <c r="H820" s="4"/>
      <c r="I820" s="4"/>
    </row>
    <row r="821" spans="1:9" ht="20">
      <c r="A821" s="315"/>
      <c r="B821" s="4"/>
      <c r="C821" s="4"/>
      <c r="D821" s="4"/>
      <c r="E821" s="4"/>
      <c r="F821" s="4"/>
      <c r="G821" s="4"/>
      <c r="H821" s="4"/>
      <c r="I821" s="4"/>
    </row>
    <row r="822" spans="1:9" ht="20">
      <c r="A822" s="315"/>
      <c r="B822" s="4"/>
      <c r="C822" s="4"/>
      <c r="D822" s="4"/>
      <c r="E822" s="4"/>
      <c r="F822" s="4"/>
      <c r="G822" s="4"/>
      <c r="H822" s="4"/>
      <c r="I822" s="4"/>
    </row>
    <row r="823" spans="1:9" ht="20">
      <c r="A823" s="315"/>
      <c r="B823" s="4"/>
      <c r="C823" s="4"/>
      <c r="D823" s="4"/>
      <c r="E823" s="4"/>
      <c r="F823" s="4"/>
      <c r="G823" s="4"/>
      <c r="H823" s="4"/>
      <c r="I823" s="4"/>
    </row>
    <row r="824" spans="1:9" ht="20">
      <c r="A824" s="315"/>
      <c r="B824" s="4"/>
      <c r="C824" s="4"/>
      <c r="D824" s="4"/>
      <c r="E824" s="4"/>
      <c r="F824" s="4"/>
      <c r="G824" s="4"/>
      <c r="H824" s="4"/>
      <c r="I824" s="4"/>
    </row>
    <row r="825" spans="1:9" ht="20">
      <c r="A825" s="315"/>
      <c r="B825" s="4"/>
      <c r="C825" s="4"/>
      <c r="D825" s="4"/>
      <c r="E825" s="4"/>
      <c r="F825" s="4"/>
      <c r="G825" s="4"/>
      <c r="H825" s="4"/>
      <c r="I825" s="4"/>
    </row>
    <row r="826" spans="1:9" ht="20">
      <c r="A826" s="315"/>
      <c r="B826" s="4"/>
      <c r="C826" s="4"/>
      <c r="D826" s="4"/>
      <c r="E826" s="4"/>
      <c r="F826" s="4"/>
      <c r="G826" s="4"/>
      <c r="H826" s="4"/>
      <c r="I826" s="4"/>
    </row>
    <row r="827" spans="1:9" ht="20">
      <c r="A827" s="315"/>
      <c r="B827" s="4"/>
      <c r="C827" s="4"/>
      <c r="D827" s="4"/>
      <c r="E827" s="4"/>
      <c r="F827" s="4"/>
      <c r="G827" s="4"/>
      <c r="H827" s="4"/>
      <c r="I827" s="4"/>
    </row>
    <row r="828" spans="1:9" ht="20">
      <c r="A828" s="315"/>
      <c r="B828" s="4"/>
      <c r="C828" s="4"/>
      <c r="D828" s="4"/>
      <c r="E828" s="4"/>
      <c r="F828" s="4"/>
      <c r="G828" s="4"/>
      <c r="H828" s="4"/>
      <c r="I828" s="4"/>
    </row>
    <row r="829" spans="1:9" ht="20">
      <c r="A829" s="315"/>
      <c r="B829" s="4"/>
      <c r="C829" s="4"/>
      <c r="D829" s="4"/>
      <c r="E829" s="4"/>
      <c r="F829" s="4"/>
      <c r="G829" s="4"/>
      <c r="H829" s="4"/>
      <c r="I829" s="4"/>
    </row>
    <row r="830" spans="1:9" ht="20">
      <c r="A830" s="315"/>
      <c r="B830" s="4"/>
      <c r="C830" s="4"/>
      <c r="D830" s="4"/>
      <c r="E830" s="4"/>
      <c r="F830" s="4"/>
      <c r="G830" s="4"/>
      <c r="H830" s="4"/>
      <c r="I830" s="4"/>
    </row>
    <row r="831" spans="1:9" ht="20">
      <c r="A831" s="315"/>
      <c r="B831" s="4"/>
      <c r="C831" s="4"/>
      <c r="D831" s="4"/>
      <c r="E831" s="4"/>
      <c r="F831" s="4"/>
      <c r="G831" s="4"/>
      <c r="H831" s="4"/>
      <c r="I831" s="4"/>
    </row>
    <row r="832" spans="1:9" ht="20">
      <c r="A832" s="315"/>
      <c r="B832" s="4"/>
      <c r="C832" s="4"/>
      <c r="D832" s="4"/>
      <c r="E832" s="4"/>
      <c r="F832" s="4"/>
      <c r="G832" s="4"/>
      <c r="H832" s="4"/>
      <c r="I832" s="4"/>
    </row>
    <row r="833" spans="1:9" ht="20">
      <c r="A833" s="315"/>
      <c r="B833" s="4"/>
      <c r="C833" s="4"/>
      <c r="D833" s="4"/>
      <c r="E833" s="4"/>
      <c r="F833" s="4"/>
      <c r="G833" s="4"/>
      <c r="H833" s="4"/>
      <c r="I833" s="4"/>
    </row>
    <row r="834" spans="1:9" ht="20">
      <c r="A834" s="315"/>
      <c r="B834" s="4"/>
      <c r="C834" s="4"/>
      <c r="D834" s="4"/>
      <c r="E834" s="4"/>
      <c r="F834" s="4"/>
      <c r="G834" s="4"/>
      <c r="H834" s="4"/>
      <c r="I834" s="4"/>
    </row>
    <row r="835" spans="1:9" ht="20">
      <c r="A835" s="315"/>
      <c r="B835" s="4"/>
      <c r="C835" s="4"/>
      <c r="D835" s="4"/>
      <c r="E835" s="4"/>
      <c r="F835" s="4"/>
      <c r="G835" s="4"/>
      <c r="H835" s="4"/>
      <c r="I835" s="4"/>
    </row>
    <row r="836" spans="1:9" ht="20">
      <c r="A836" s="315"/>
      <c r="B836" s="4"/>
      <c r="C836" s="4"/>
      <c r="D836" s="4"/>
      <c r="E836" s="4"/>
      <c r="F836" s="4"/>
      <c r="G836" s="4"/>
      <c r="H836" s="4"/>
      <c r="I836" s="4"/>
    </row>
    <row r="837" spans="1:9" ht="20">
      <c r="A837" s="315"/>
      <c r="B837" s="4"/>
      <c r="C837" s="4"/>
      <c r="D837" s="4"/>
      <c r="E837" s="4"/>
      <c r="F837" s="4"/>
      <c r="G837" s="4"/>
      <c r="H837" s="4"/>
      <c r="I837" s="4"/>
    </row>
    <row r="838" spans="1:9" ht="20">
      <c r="A838" s="315"/>
      <c r="B838" s="4"/>
      <c r="C838" s="4"/>
      <c r="D838" s="4"/>
      <c r="E838" s="4"/>
      <c r="F838" s="4"/>
      <c r="G838" s="4"/>
      <c r="H838" s="4"/>
      <c r="I838" s="4"/>
    </row>
    <row r="839" spans="1:9" ht="20">
      <c r="A839" s="315"/>
      <c r="B839" s="4"/>
      <c r="C839" s="4"/>
      <c r="D839" s="4"/>
      <c r="E839" s="4"/>
      <c r="F839" s="4"/>
      <c r="G839" s="4"/>
      <c r="H839" s="4"/>
      <c r="I839" s="4"/>
    </row>
    <row r="840" spans="1:9" ht="20">
      <c r="A840" s="315"/>
      <c r="B840" s="4"/>
      <c r="C840" s="4"/>
      <c r="D840" s="4"/>
      <c r="E840" s="4"/>
      <c r="F840" s="4"/>
      <c r="G840" s="4"/>
      <c r="H840" s="4"/>
      <c r="I840" s="4"/>
    </row>
    <row r="841" spans="1:9" ht="20">
      <c r="A841" s="315"/>
      <c r="B841" s="4"/>
      <c r="C841" s="4"/>
      <c r="D841" s="4"/>
      <c r="E841" s="4"/>
      <c r="F841" s="4"/>
      <c r="G841" s="4"/>
      <c r="H841" s="4"/>
      <c r="I841" s="4"/>
    </row>
    <row r="842" spans="1:9" ht="20">
      <c r="A842" s="315"/>
      <c r="B842" s="4"/>
      <c r="C842" s="4"/>
      <c r="D842" s="4"/>
      <c r="E842" s="4"/>
      <c r="F842" s="4"/>
      <c r="G842" s="4"/>
      <c r="H842" s="4"/>
      <c r="I842" s="4"/>
    </row>
    <row r="843" spans="1:9" ht="20">
      <c r="A843" s="315"/>
      <c r="B843" s="4"/>
      <c r="C843" s="4"/>
      <c r="D843" s="4"/>
      <c r="E843" s="4"/>
      <c r="F843" s="4"/>
      <c r="G843" s="4"/>
      <c r="H843" s="4"/>
      <c r="I843" s="4"/>
    </row>
    <row r="844" spans="1:9" ht="20">
      <c r="A844" s="315"/>
      <c r="B844" s="4"/>
      <c r="C844" s="4"/>
      <c r="D844" s="4"/>
      <c r="E844" s="4"/>
      <c r="F844" s="4"/>
      <c r="G844" s="4"/>
      <c r="H844" s="4"/>
      <c r="I844" s="4"/>
    </row>
    <row r="845" spans="1:9" ht="20">
      <c r="A845" s="315"/>
      <c r="B845" s="4"/>
      <c r="C845" s="4"/>
      <c r="D845" s="4"/>
      <c r="E845" s="4"/>
      <c r="F845" s="4"/>
      <c r="G845" s="4"/>
      <c r="H845" s="4"/>
      <c r="I845" s="4"/>
    </row>
    <row r="846" spans="1:9" ht="20">
      <c r="A846" s="315"/>
      <c r="B846" s="4"/>
      <c r="C846" s="4"/>
      <c r="D846" s="4"/>
      <c r="E846" s="4"/>
      <c r="F846" s="4"/>
      <c r="G846" s="4"/>
      <c r="H846" s="4"/>
      <c r="I846" s="4"/>
    </row>
    <row r="847" spans="1:9" ht="20">
      <c r="A847" s="315"/>
      <c r="B847" s="4"/>
      <c r="C847" s="4"/>
      <c r="D847" s="4"/>
      <c r="E847" s="4"/>
      <c r="F847" s="4"/>
      <c r="G847" s="4"/>
      <c r="H847" s="4"/>
      <c r="I847" s="4"/>
    </row>
    <row r="848" spans="1:9" ht="20">
      <c r="A848" s="315"/>
      <c r="B848" s="4"/>
      <c r="C848" s="4"/>
      <c r="D848" s="4"/>
      <c r="E848" s="4"/>
      <c r="F848" s="4"/>
      <c r="G848" s="4"/>
      <c r="H848" s="4"/>
      <c r="I848" s="4"/>
    </row>
    <row r="849" spans="1:9" ht="20">
      <c r="A849" s="315"/>
      <c r="B849" s="4"/>
      <c r="C849" s="4"/>
      <c r="D849" s="4"/>
      <c r="E849" s="4"/>
      <c r="F849" s="4"/>
      <c r="G849" s="4"/>
      <c r="H849" s="4"/>
      <c r="I849" s="4"/>
    </row>
    <row r="850" spans="1:9" ht="20">
      <c r="A850" s="315"/>
      <c r="B850" s="4"/>
      <c r="C850" s="4"/>
      <c r="D850" s="4"/>
      <c r="E850" s="4"/>
      <c r="F850" s="4"/>
      <c r="G850" s="4"/>
      <c r="H850" s="4"/>
      <c r="I850" s="4"/>
    </row>
    <row r="851" spans="1:9" ht="20">
      <c r="A851" s="315"/>
      <c r="B851" s="4"/>
      <c r="C851" s="4"/>
      <c r="D851" s="4"/>
      <c r="E851" s="4"/>
      <c r="F851" s="4"/>
      <c r="G851" s="4"/>
      <c r="H851" s="4"/>
      <c r="I851" s="4"/>
    </row>
    <row r="852" spans="1:9" ht="20">
      <c r="A852" s="315"/>
      <c r="B852" s="4"/>
      <c r="C852" s="4"/>
      <c r="D852" s="4"/>
      <c r="E852" s="4"/>
      <c r="F852" s="4"/>
      <c r="G852" s="4"/>
      <c r="H852" s="4"/>
      <c r="I852" s="4"/>
    </row>
    <row r="853" spans="1:9" ht="20">
      <c r="A853" s="315"/>
      <c r="B853" s="4"/>
      <c r="C853" s="4"/>
      <c r="D853" s="4"/>
      <c r="E853" s="4"/>
      <c r="F853" s="4"/>
      <c r="G853" s="4"/>
      <c r="H853" s="4"/>
      <c r="I853" s="4"/>
    </row>
    <row r="854" spans="1:9" ht="20">
      <c r="A854" s="315"/>
      <c r="B854" s="4"/>
      <c r="C854" s="4"/>
      <c r="D854" s="4"/>
      <c r="E854" s="4"/>
      <c r="F854" s="4"/>
      <c r="G854" s="4"/>
      <c r="H854" s="4"/>
      <c r="I854" s="4"/>
    </row>
    <row r="855" spans="1:9" ht="20">
      <c r="A855" s="315"/>
      <c r="B855" s="4"/>
      <c r="C855" s="4"/>
      <c r="D855" s="4"/>
      <c r="E855" s="4"/>
      <c r="F855" s="4"/>
      <c r="G855" s="4"/>
      <c r="H855" s="4"/>
      <c r="I855" s="4"/>
    </row>
    <row r="856" spans="1:9" ht="20">
      <c r="A856" s="315"/>
      <c r="B856" s="4"/>
      <c r="C856" s="4"/>
      <c r="D856" s="4"/>
      <c r="E856" s="4"/>
      <c r="F856" s="4"/>
      <c r="G856" s="4"/>
      <c r="H856" s="4"/>
      <c r="I856" s="4"/>
    </row>
    <row r="857" spans="1:9" ht="20">
      <c r="A857" s="315"/>
      <c r="B857" s="4"/>
      <c r="C857" s="4"/>
      <c r="D857" s="4"/>
      <c r="E857" s="4"/>
      <c r="F857" s="4"/>
      <c r="G857" s="4"/>
      <c r="H857" s="4"/>
      <c r="I857" s="4"/>
    </row>
    <row r="858" spans="1:9" ht="20">
      <c r="A858" s="315"/>
      <c r="B858" s="4"/>
      <c r="C858" s="4"/>
      <c r="D858" s="4"/>
      <c r="E858" s="4"/>
      <c r="F858" s="4"/>
      <c r="G858" s="4"/>
      <c r="H858" s="4"/>
      <c r="I858" s="4"/>
    </row>
    <row r="859" spans="1:9" ht="20">
      <c r="A859" s="315"/>
      <c r="B859" s="4"/>
      <c r="C859" s="4"/>
      <c r="D859" s="4"/>
      <c r="E859" s="4"/>
      <c r="F859" s="4"/>
      <c r="G859" s="4"/>
      <c r="H859" s="4"/>
      <c r="I859" s="4"/>
    </row>
    <row r="860" spans="1:9" ht="20">
      <c r="A860" s="315"/>
      <c r="B860" s="4"/>
      <c r="C860" s="4"/>
      <c r="D860" s="4"/>
      <c r="E860" s="4"/>
      <c r="F860" s="4"/>
      <c r="G860" s="4"/>
      <c r="H860" s="4"/>
      <c r="I860" s="4"/>
    </row>
    <row r="861" spans="1:9" ht="20">
      <c r="A861" s="315"/>
      <c r="B861" s="4"/>
      <c r="C861" s="4"/>
      <c r="D861" s="4"/>
      <c r="E861" s="4"/>
      <c r="F861" s="4"/>
      <c r="G861" s="4"/>
      <c r="H861" s="4"/>
      <c r="I861" s="4"/>
    </row>
    <row r="862" spans="1:9" ht="20">
      <c r="A862" s="315"/>
      <c r="B862" s="4"/>
      <c r="C862" s="4"/>
      <c r="D862" s="4"/>
      <c r="E862" s="4"/>
      <c r="F862" s="4"/>
      <c r="G862" s="4"/>
      <c r="H862" s="4"/>
      <c r="I862" s="4"/>
    </row>
    <row r="863" spans="1:9" ht="20">
      <c r="A863" s="315"/>
      <c r="B863" s="4"/>
      <c r="C863" s="4"/>
      <c r="D863" s="4"/>
      <c r="E863" s="4"/>
      <c r="F863" s="4"/>
      <c r="G863" s="4"/>
      <c r="H863" s="4"/>
      <c r="I863" s="4"/>
    </row>
    <row r="864" spans="1:9" ht="20">
      <c r="A864" s="315"/>
      <c r="B864" s="4"/>
      <c r="C864" s="4"/>
      <c r="D864" s="4"/>
      <c r="E864" s="4"/>
      <c r="F864" s="4"/>
      <c r="G864" s="4"/>
      <c r="H864" s="4"/>
      <c r="I864" s="4"/>
    </row>
    <row r="865" spans="1:9" ht="20">
      <c r="A865" s="315"/>
      <c r="B865" s="4"/>
      <c r="C865" s="4"/>
      <c r="D865" s="4"/>
      <c r="E865" s="4"/>
      <c r="F865" s="4"/>
      <c r="G865" s="4"/>
      <c r="H865" s="4"/>
      <c r="I865" s="4"/>
    </row>
    <row r="866" spans="1:9" ht="20">
      <c r="A866" s="315"/>
      <c r="B866" s="4"/>
      <c r="C866" s="4"/>
      <c r="D866" s="4"/>
      <c r="E866" s="4"/>
      <c r="F866" s="4"/>
      <c r="G866" s="4"/>
      <c r="H866" s="4"/>
      <c r="I866" s="4"/>
    </row>
    <row r="867" spans="1:9" ht="20">
      <c r="A867" s="315"/>
      <c r="B867" s="4"/>
      <c r="C867" s="4"/>
      <c r="D867" s="4"/>
      <c r="E867" s="4"/>
      <c r="F867" s="4"/>
      <c r="G867" s="4"/>
      <c r="H867" s="4"/>
      <c r="I867" s="4"/>
    </row>
    <row r="868" spans="1:9" ht="20">
      <c r="A868" s="315"/>
      <c r="B868" s="4"/>
      <c r="C868" s="4"/>
      <c r="D868" s="4"/>
      <c r="E868" s="4"/>
      <c r="F868" s="4"/>
      <c r="G868" s="4"/>
      <c r="H868" s="4"/>
      <c r="I868" s="4"/>
    </row>
    <row r="869" spans="1:9" ht="20">
      <c r="A869" s="315"/>
      <c r="B869" s="4"/>
      <c r="C869" s="4"/>
      <c r="D869" s="4"/>
      <c r="E869" s="4"/>
      <c r="F869" s="4"/>
      <c r="G869" s="4"/>
      <c r="H869" s="4"/>
      <c r="I869" s="4"/>
    </row>
    <row r="870" spans="1:9" ht="20">
      <c r="A870" s="315"/>
      <c r="B870" s="4"/>
      <c r="C870" s="4"/>
      <c r="D870" s="4"/>
      <c r="E870" s="4"/>
      <c r="F870" s="4"/>
      <c r="G870" s="4"/>
      <c r="H870" s="4"/>
      <c r="I870" s="4"/>
    </row>
    <row r="871" spans="1:9" ht="20">
      <c r="A871" s="315"/>
      <c r="B871" s="4"/>
      <c r="C871" s="4"/>
      <c r="D871" s="4"/>
      <c r="E871" s="4"/>
      <c r="F871" s="4"/>
      <c r="G871" s="4"/>
      <c r="H871" s="4"/>
      <c r="I871" s="4"/>
    </row>
    <row r="872" spans="1:9" ht="20">
      <c r="A872" s="315"/>
      <c r="B872" s="4"/>
      <c r="C872" s="4"/>
      <c r="D872" s="4"/>
      <c r="E872" s="4"/>
      <c r="F872" s="4"/>
      <c r="G872" s="4"/>
      <c r="H872" s="4"/>
      <c r="I872" s="4"/>
    </row>
    <row r="873" spans="1:9" ht="20">
      <c r="A873" s="315"/>
      <c r="B873" s="4"/>
      <c r="C873" s="4"/>
      <c r="D873" s="4"/>
      <c r="E873" s="4"/>
      <c r="F873" s="4"/>
      <c r="G873" s="4"/>
      <c r="H873" s="4"/>
      <c r="I873" s="4"/>
    </row>
    <row r="874" spans="1:9" ht="20">
      <c r="A874" s="315"/>
      <c r="B874" s="4"/>
      <c r="C874" s="4"/>
      <c r="D874" s="4"/>
      <c r="E874" s="4"/>
      <c r="F874" s="4"/>
      <c r="G874" s="4"/>
      <c r="H874" s="4"/>
      <c r="I874" s="4"/>
    </row>
    <row r="875" spans="1:9" ht="20">
      <c r="A875" s="315"/>
      <c r="B875" s="4"/>
      <c r="C875" s="4"/>
      <c r="D875" s="4"/>
      <c r="E875" s="4"/>
      <c r="F875" s="4"/>
      <c r="G875" s="4"/>
      <c r="H875" s="4"/>
      <c r="I875" s="4"/>
    </row>
    <row r="876" spans="1:9" ht="20">
      <c r="A876" s="315"/>
      <c r="B876" s="4"/>
      <c r="C876" s="4"/>
      <c r="D876" s="4"/>
      <c r="E876" s="4"/>
      <c r="F876" s="4"/>
      <c r="G876" s="4"/>
      <c r="H876" s="4"/>
      <c r="I876" s="4"/>
    </row>
    <row r="877" spans="1:9" ht="20">
      <c r="A877" s="315"/>
      <c r="B877" s="4"/>
      <c r="C877" s="4"/>
      <c r="D877" s="4"/>
      <c r="E877" s="4"/>
      <c r="F877" s="4"/>
      <c r="G877" s="4"/>
      <c r="H877" s="4"/>
      <c r="I877" s="4"/>
    </row>
    <row r="878" spans="1:9" ht="20">
      <c r="A878" s="315"/>
      <c r="B878" s="4"/>
      <c r="C878" s="4"/>
      <c r="D878" s="4"/>
      <c r="E878" s="4"/>
      <c r="F878" s="4"/>
      <c r="G878" s="4"/>
      <c r="H878" s="4"/>
      <c r="I878" s="4"/>
    </row>
    <row r="879" spans="1:9" ht="20">
      <c r="A879" s="315"/>
      <c r="B879" s="4"/>
      <c r="C879" s="4"/>
      <c r="D879" s="4"/>
      <c r="E879" s="4"/>
      <c r="F879" s="4"/>
      <c r="G879" s="4"/>
      <c r="H879" s="4"/>
      <c r="I879" s="4"/>
    </row>
    <row r="880" spans="1:9" ht="20">
      <c r="A880" s="315"/>
      <c r="B880" s="4"/>
      <c r="C880" s="4"/>
      <c r="D880" s="4"/>
      <c r="E880" s="4"/>
      <c r="F880" s="4"/>
      <c r="G880" s="4"/>
      <c r="H880" s="4"/>
      <c r="I880" s="4"/>
    </row>
    <row r="881" spans="1:9" ht="20">
      <c r="A881" s="315"/>
      <c r="B881" s="4"/>
      <c r="C881" s="4"/>
      <c r="D881" s="4"/>
      <c r="E881" s="4"/>
      <c r="F881" s="4"/>
      <c r="G881" s="4"/>
      <c r="H881" s="4"/>
      <c r="I881" s="4"/>
    </row>
    <row r="882" spans="1:9" ht="20">
      <c r="A882" s="315"/>
      <c r="B882" s="4"/>
      <c r="C882" s="4"/>
      <c r="D882" s="4"/>
      <c r="E882" s="4"/>
      <c r="F882" s="4"/>
      <c r="G882" s="4"/>
      <c r="H882" s="4"/>
      <c r="I882" s="4"/>
    </row>
    <row r="883" spans="1:9" ht="20">
      <c r="A883" s="315"/>
      <c r="B883" s="4"/>
      <c r="C883" s="4"/>
      <c r="D883" s="4"/>
      <c r="E883" s="4"/>
      <c r="F883" s="4"/>
      <c r="G883" s="4"/>
      <c r="H883" s="4"/>
      <c r="I883" s="4"/>
    </row>
    <row r="884" spans="1:9" ht="20">
      <c r="A884" s="315"/>
      <c r="B884" s="4"/>
      <c r="C884" s="4"/>
      <c r="D884" s="4"/>
      <c r="E884" s="4"/>
      <c r="F884" s="4"/>
      <c r="G884" s="4"/>
      <c r="H884" s="4"/>
      <c r="I884" s="4"/>
    </row>
    <row r="885" spans="1:9" ht="20">
      <c r="A885" s="315"/>
      <c r="B885" s="4"/>
      <c r="C885" s="4"/>
      <c r="D885" s="4"/>
      <c r="E885" s="4"/>
      <c r="F885" s="4"/>
      <c r="G885" s="4"/>
      <c r="H885" s="4"/>
      <c r="I885" s="4"/>
    </row>
    <row r="886" spans="1:9" ht="20">
      <c r="A886" s="315"/>
      <c r="B886" s="4"/>
      <c r="C886" s="4"/>
      <c r="D886" s="4"/>
      <c r="E886" s="4"/>
      <c r="F886" s="4"/>
      <c r="G886" s="4"/>
      <c r="H886" s="4"/>
      <c r="I886" s="4"/>
    </row>
    <row r="887" spans="1:9" ht="20">
      <c r="A887" s="315"/>
      <c r="B887" s="4"/>
      <c r="C887" s="4"/>
      <c r="D887" s="4"/>
      <c r="E887" s="4"/>
      <c r="F887" s="4"/>
      <c r="G887" s="4"/>
      <c r="H887" s="4"/>
      <c r="I887" s="4"/>
    </row>
    <row r="888" spans="1:9" ht="20">
      <c r="A888" s="315"/>
      <c r="B888" s="4"/>
      <c r="C888" s="4"/>
      <c r="D888" s="4"/>
      <c r="E888" s="4"/>
      <c r="F888" s="4"/>
      <c r="G888" s="4"/>
      <c r="H888" s="4"/>
      <c r="I888" s="4"/>
    </row>
    <row r="889" spans="1:9" ht="20">
      <c r="A889" s="315"/>
      <c r="B889" s="4"/>
      <c r="C889" s="4"/>
      <c r="D889" s="4"/>
      <c r="E889" s="4"/>
      <c r="F889" s="4"/>
      <c r="G889" s="4"/>
      <c r="H889" s="4"/>
      <c r="I889" s="4"/>
    </row>
    <row r="890" spans="1:9" ht="20">
      <c r="A890" s="315"/>
      <c r="B890" s="4"/>
      <c r="C890" s="4"/>
      <c r="D890" s="4"/>
      <c r="E890" s="4"/>
      <c r="F890" s="4"/>
      <c r="G890" s="4"/>
      <c r="H890" s="4"/>
      <c r="I890" s="4"/>
    </row>
    <row r="891" spans="1:9" ht="20">
      <c r="A891" s="315"/>
      <c r="B891" s="4"/>
      <c r="C891" s="4"/>
      <c r="D891" s="4"/>
      <c r="E891" s="4"/>
      <c r="F891" s="4"/>
      <c r="G891" s="4"/>
      <c r="H891" s="4"/>
      <c r="I891" s="4"/>
    </row>
    <row r="892" spans="1:9" ht="20">
      <c r="A892" s="315"/>
      <c r="B892" s="4"/>
      <c r="C892" s="4"/>
      <c r="D892" s="4"/>
      <c r="E892" s="4"/>
      <c r="F892" s="4"/>
      <c r="G892" s="4"/>
      <c r="H892" s="4"/>
      <c r="I892" s="4"/>
    </row>
    <row r="893" spans="1:9" ht="20">
      <c r="A893" s="315"/>
      <c r="B893" s="4"/>
      <c r="C893" s="4"/>
      <c r="D893" s="4"/>
      <c r="E893" s="4"/>
      <c r="F893" s="4"/>
      <c r="G893" s="4"/>
      <c r="H893" s="4"/>
      <c r="I893" s="4"/>
    </row>
    <row r="894" spans="1:9" ht="20">
      <c r="A894" s="315"/>
      <c r="B894" s="4"/>
      <c r="C894" s="4"/>
      <c r="D894" s="4"/>
      <c r="E894" s="4"/>
      <c r="F894" s="4"/>
      <c r="G894" s="4"/>
      <c r="H894" s="4"/>
      <c r="I894" s="4"/>
    </row>
    <row r="895" spans="1:9" ht="20">
      <c r="A895" s="315"/>
      <c r="B895" s="4"/>
      <c r="C895" s="4"/>
      <c r="D895" s="4"/>
      <c r="E895" s="4"/>
      <c r="F895" s="4"/>
      <c r="G895" s="4"/>
      <c r="H895" s="4"/>
      <c r="I895" s="4"/>
    </row>
    <row r="896" spans="1:9" ht="20">
      <c r="A896" s="315"/>
      <c r="B896" s="4"/>
      <c r="C896" s="4"/>
      <c r="D896" s="4"/>
      <c r="E896" s="4"/>
      <c r="F896" s="4"/>
      <c r="G896" s="4"/>
      <c r="H896" s="4"/>
      <c r="I896" s="4"/>
    </row>
    <row r="897" spans="1:9" ht="20">
      <c r="A897" s="315"/>
      <c r="B897" s="4"/>
      <c r="C897" s="4"/>
      <c r="D897" s="4"/>
      <c r="E897" s="4"/>
      <c r="F897" s="4"/>
      <c r="G897" s="4"/>
      <c r="H897" s="4"/>
      <c r="I897" s="4"/>
    </row>
    <row r="898" spans="1:9" ht="20">
      <c r="A898" s="315"/>
      <c r="B898" s="4"/>
      <c r="C898" s="4"/>
      <c r="D898" s="4"/>
      <c r="E898" s="4"/>
      <c r="F898" s="4"/>
      <c r="G898" s="4"/>
      <c r="H898" s="4"/>
      <c r="I898" s="4"/>
    </row>
    <row r="899" spans="1:9" ht="20">
      <c r="A899" s="315"/>
      <c r="B899" s="4"/>
      <c r="C899" s="4"/>
      <c r="D899" s="4"/>
      <c r="E899" s="4"/>
      <c r="F899" s="4"/>
      <c r="G899" s="4"/>
      <c r="H899" s="4"/>
      <c r="I899" s="4"/>
    </row>
    <row r="900" spans="1:9" ht="20">
      <c r="A900" s="315"/>
      <c r="B900" s="4"/>
      <c r="C900" s="4"/>
      <c r="D900" s="4"/>
      <c r="E900" s="4"/>
      <c r="F900" s="4"/>
      <c r="G900" s="4"/>
      <c r="H900" s="4"/>
      <c r="I900" s="4"/>
    </row>
    <row r="901" spans="1:9" ht="20">
      <c r="A901" s="315"/>
      <c r="B901" s="4"/>
      <c r="C901" s="4"/>
      <c r="D901" s="4"/>
      <c r="E901" s="4"/>
      <c r="F901" s="4"/>
      <c r="G901" s="4"/>
      <c r="H901" s="4"/>
      <c r="I901" s="4"/>
    </row>
    <row r="902" spans="1:9" ht="20">
      <c r="A902" s="315"/>
      <c r="B902" s="4"/>
      <c r="C902" s="4"/>
      <c r="D902" s="4"/>
      <c r="E902" s="4"/>
      <c r="F902" s="4"/>
      <c r="G902" s="4"/>
      <c r="H902" s="4"/>
      <c r="I902" s="4"/>
    </row>
    <row r="903" spans="1:9" ht="20">
      <c r="A903" s="315"/>
      <c r="B903" s="4"/>
      <c r="C903" s="4"/>
      <c r="D903" s="4"/>
      <c r="E903" s="4"/>
      <c r="F903" s="4"/>
      <c r="G903" s="4"/>
      <c r="H903" s="4"/>
      <c r="I903" s="4"/>
    </row>
    <row r="904" spans="1:9" ht="20">
      <c r="A904" s="315"/>
      <c r="B904" s="4"/>
      <c r="C904" s="4"/>
      <c r="D904" s="4"/>
      <c r="E904" s="4"/>
      <c r="F904" s="4"/>
      <c r="G904" s="4"/>
      <c r="H904" s="4"/>
      <c r="I904" s="4"/>
    </row>
    <row r="905" spans="1:9" ht="20">
      <c r="A905" s="315"/>
      <c r="B905" s="4"/>
      <c r="C905" s="4"/>
      <c r="D905" s="4"/>
      <c r="E905" s="4"/>
      <c r="F905" s="4"/>
      <c r="G905" s="4"/>
      <c r="H905" s="4"/>
      <c r="I905" s="4"/>
    </row>
    <row r="906" spans="1:9" ht="20">
      <c r="A906" s="315"/>
      <c r="B906" s="4"/>
      <c r="C906" s="4"/>
      <c r="D906" s="4"/>
      <c r="E906" s="4"/>
      <c r="F906" s="4"/>
      <c r="G906" s="4"/>
      <c r="H906" s="4"/>
      <c r="I906" s="4"/>
    </row>
    <row r="907" spans="1:9" ht="20">
      <c r="A907" s="315"/>
      <c r="B907" s="4"/>
      <c r="C907" s="4"/>
      <c r="D907" s="4"/>
      <c r="E907" s="4"/>
      <c r="F907" s="4"/>
      <c r="G907" s="4"/>
      <c r="H907" s="4"/>
      <c r="I907" s="4"/>
    </row>
    <row r="908" spans="1:9" ht="20">
      <c r="A908" s="315"/>
      <c r="B908" s="4"/>
      <c r="C908" s="4"/>
      <c r="D908" s="4"/>
      <c r="E908" s="4"/>
      <c r="F908" s="4"/>
      <c r="G908" s="4"/>
      <c r="H908" s="4"/>
      <c r="I908" s="4"/>
    </row>
    <row r="909" spans="1:9" ht="20">
      <c r="A909" s="315"/>
      <c r="B909" s="4"/>
      <c r="C909" s="4"/>
      <c r="D909" s="4"/>
      <c r="E909" s="4"/>
      <c r="F909" s="4"/>
      <c r="G909" s="4"/>
      <c r="H909" s="4"/>
      <c r="I909" s="4"/>
    </row>
    <row r="910" spans="1:9" ht="20">
      <c r="A910" s="315"/>
      <c r="B910" s="4"/>
      <c r="C910" s="4"/>
      <c r="D910" s="4"/>
      <c r="E910" s="4"/>
      <c r="F910" s="4"/>
      <c r="G910" s="4"/>
      <c r="H910" s="4"/>
      <c r="I910" s="4"/>
    </row>
    <row r="911" spans="1:9" ht="20">
      <c r="A911" s="315"/>
      <c r="B911" s="4"/>
      <c r="C911" s="4"/>
      <c r="D911" s="4"/>
      <c r="E911" s="4"/>
      <c r="F911" s="4"/>
      <c r="G911" s="4"/>
      <c r="H911" s="4"/>
      <c r="I911" s="4"/>
    </row>
    <row r="912" spans="1:9" ht="20">
      <c r="A912" s="315"/>
      <c r="B912" s="4"/>
      <c r="C912" s="4"/>
      <c r="D912" s="4"/>
      <c r="E912" s="4"/>
      <c r="F912" s="4"/>
      <c r="G912" s="4"/>
      <c r="H912" s="4"/>
      <c r="I912" s="4"/>
    </row>
    <row r="913" spans="1:9" ht="20">
      <c r="A913" s="315"/>
      <c r="B913" s="4"/>
      <c r="C913" s="4"/>
      <c r="D913" s="4"/>
      <c r="E913" s="4"/>
      <c r="F913" s="4"/>
      <c r="G913" s="4"/>
      <c r="H913" s="4"/>
      <c r="I913" s="4"/>
    </row>
    <row r="914" spans="1:9" ht="20">
      <c r="A914" s="315"/>
      <c r="B914" s="4"/>
      <c r="C914" s="4"/>
      <c r="D914" s="4"/>
      <c r="E914" s="4"/>
      <c r="F914" s="4"/>
      <c r="G914" s="4"/>
      <c r="H914" s="4"/>
      <c r="I914" s="4"/>
    </row>
    <row r="915" spans="1:9" ht="20">
      <c r="A915" s="315"/>
      <c r="B915" s="4"/>
      <c r="C915" s="4"/>
      <c r="D915" s="4"/>
      <c r="E915" s="4"/>
      <c r="F915" s="4"/>
      <c r="G915" s="4"/>
      <c r="H915" s="4"/>
      <c r="I915" s="4"/>
    </row>
    <row r="916" spans="1:9" ht="20">
      <c r="A916" s="315"/>
      <c r="B916" s="4"/>
      <c r="C916" s="4"/>
      <c r="D916" s="4"/>
      <c r="E916" s="4"/>
      <c r="F916" s="4"/>
      <c r="G916" s="4"/>
      <c r="H916" s="4"/>
      <c r="I916" s="4"/>
    </row>
    <row r="917" spans="1:9" ht="20">
      <c r="A917" s="315"/>
      <c r="B917" s="4"/>
      <c r="C917" s="4"/>
      <c r="D917" s="4"/>
      <c r="E917" s="4"/>
      <c r="F917" s="4"/>
      <c r="G917" s="4"/>
      <c r="H917" s="4"/>
      <c r="I917" s="4"/>
    </row>
    <row r="918" spans="1:9" ht="20">
      <c r="A918" s="315"/>
      <c r="B918" s="4"/>
      <c r="C918" s="4"/>
      <c r="D918" s="4"/>
      <c r="E918" s="4"/>
      <c r="F918" s="4"/>
      <c r="G918" s="4"/>
      <c r="H918" s="4"/>
      <c r="I918" s="4"/>
    </row>
    <row r="919" spans="1:9" ht="20">
      <c r="A919" s="315"/>
      <c r="B919" s="4"/>
      <c r="C919" s="4"/>
      <c r="D919" s="4"/>
      <c r="E919" s="4"/>
      <c r="F919" s="4"/>
      <c r="G919" s="4"/>
      <c r="H919" s="4"/>
      <c r="I919" s="4"/>
    </row>
    <row r="920" spans="1:9" ht="20">
      <c r="A920" s="315"/>
      <c r="B920" s="4"/>
      <c r="C920" s="4"/>
      <c r="D920" s="4"/>
      <c r="E920" s="4"/>
      <c r="F920" s="4"/>
      <c r="G920" s="4"/>
      <c r="H920" s="4"/>
      <c r="I920" s="4"/>
    </row>
    <row r="921" spans="1:9" ht="20">
      <c r="A921" s="315"/>
      <c r="B921" s="4"/>
      <c r="C921" s="4"/>
      <c r="D921" s="4"/>
      <c r="E921" s="4"/>
      <c r="F921" s="4"/>
      <c r="G921" s="4"/>
      <c r="H921" s="4"/>
      <c r="I921" s="4"/>
    </row>
    <row r="922" spans="1:9" ht="20">
      <c r="A922" s="315"/>
      <c r="B922" s="4"/>
      <c r="C922" s="4"/>
      <c r="D922" s="4"/>
      <c r="E922" s="4"/>
      <c r="F922" s="4"/>
      <c r="G922" s="4"/>
      <c r="H922" s="4"/>
      <c r="I922" s="4"/>
    </row>
    <row r="923" spans="1:9" ht="20">
      <c r="A923" s="315"/>
      <c r="B923" s="4"/>
      <c r="C923" s="4"/>
      <c r="D923" s="4"/>
      <c r="E923" s="4"/>
      <c r="F923" s="4"/>
      <c r="G923" s="4"/>
      <c r="H923" s="4"/>
      <c r="I923" s="4"/>
    </row>
    <row r="924" spans="1:9" ht="20">
      <c r="A924" s="315"/>
      <c r="B924" s="4"/>
      <c r="C924" s="4"/>
      <c r="D924" s="4"/>
      <c r="E924" s="4"/>
      <c r="F924" s="4"/>
      <c r="G924" s="4"/>
      <c r="H924" s="4"/>
      <c r="I924" s="4"/>
    </row>
    <row r="925" spans="1:9" ht="20">
      <c r="A925" s="315"/>
      <c r="B925" s="4"/>
      <c r="C925" s="4"/>
      <c r="D925" s="4"/>
      <c r="E925" s="4"/>
      <c r="F925" s="4"/>
      <c r="G925" s="4"/>
      <c r="H925" s="4"/>
      <c r="I925" s="4"/>
    </row>
    <row r="926" spans="1:9" ht="20">
      <c r="A926" s="315"/>
      <c r="B926" s="4"/>
      <c r="C926" s="4"/>
      <c r="D926" s="4"/>
      <c r="E926" s="4"/>
      <c r="F926" s="4"/>
      <c r="G926" s="4"/>
      <c r="H926" s="4"/>
      <c r="I926" s="4"/>
    </row>
    <row r="927" spans="1:9" ht="20">
      <c r="A927" s="315"/>
      <c r="B927" s="4"/>
      <c r="C927" s="4"/>
      <c r="D927" s="4"/>
      <c r="E927" s="4"/>
      <c r="F927" s="4"/>
      <c r="G927" s="4"/>
      <c r="H927" s="4"/>
      <c r="I927" s="4"/>
    </row>
    <row r="928" spans="1:9" ht="20">
      <c r="A928" s="315"/>
      <c r="B928" s="4"/>
      <c r="C928" s="4"/>
      <c r="D928" s="4"/>
      <c r="E928" s="4"/>
      <c r="F928" s="4"/>
      <c r="G928" s="4"/>
      <c r="H928" s="4"/>
      <c r="I928" s="4"/>
    </row>
    <row r="929" spans="1:9" ht="20">
      <c r="A929" s="315"/>
      <c r="B929" s="4"/>
      <c r="C929" s="4"/>
      <c r="D929" s="4"/>
      <c r="E929" s="4"/>
      <c r="F929" s="4"/>
      <c r="G929" s="4"/>
      <c r="H929" s="4"/>
      <c r="I929" s="4"/>
    </row>
    <row r="930" spans="1:9" ht="20">
      <c r="A930" s="315"/>
      <c r="B930" s="4"/>
      <c r="C930" s="4"/>
      <c r="D930" s="4"/>
      <c r="E930" s="4"/>
      <c r="F930" s="4"/>
      <c r="G930" s="4"/>
      <c r="H930" s="4"/>
      <c r="I930" s="4"/>
    </row>
    <row r="931" spans="1:9" ht="20">
      <c r="A931" s="315"/>
      <c r="B931" s="4"/>
      <c r="C931" s="4"/>
      <c r="D931" s="4"/>
      <c r="E931" s="4"/>
      <c r="F931" s="4"/>
      <c r="G931" s="4"/>
      <c r="H931" s="4"/>
      <c r="I931" s="4"/>
    </row>
    <row r="932" spans="1:9" ht="20">
      <c r="A932" s="315"/>
      <c r="B932" s="4"/>
      <c r="C932" s="4"/>
      <c r="D932" s="4"/>
      <c r="E932" s="4"/>
      <c r="F932" s="4"/>
      <c r="G932" s="4"/>
      <c r="H932" s="4"/>
      <c r="I932" s="4"/>
    </row>
    <row r="933" spans="1:9" ht="20">
      <c r="A933" s="315"/>
      <c r="B933" s="4"/>
      <c r="C933" s="4"/>
      <c r="D933" s="4"/>
      <c r="E933" s="4"/>
      <c r="F933" s="4"/>
      <c r="G933" s="4"/>
      <c r="H933" s="4"/>
      <c r="I933" s="4"/>
    </row>
    <row r="934" spans="1:9" ht="20">
      <c r="A934" s="315"/>
      <c r="B934" s="4"/>
      <c r="C934" s="4"/>
      <c r="D934" s="4"/>
      <c r="E934" s="4"/>
      <c r="F934" s="4"/>
      <c r="G934" s="4"/>
      <c r="H934" s="4"/>
      <c r="I934" s="4"/>
    </row>
    <row r="935" spans="1:9" ht="20">
      <c r="A935" s="315"/>
      <c r="B935" s="4"/>
      <c r="C935" s="4"/>
      <c r="D935" s="4"/>
      <c r="E935" s="4"/>
      <c r="F935" s="4"/>
      <c r="G935" s="4"/>
      <c r="H935" s="4"/>
      <c r="I935" s="4"/>
    </row>
    <row r="936" spans="1:9" ht="20">
      <c r="A936" s="315"/>
      <c r="B936" s="4"/>
      <c r="C936" s="4"/>
      <c r="D936" s="4"/>
      <c r="E936" s="4"/>
      <c r="F936" s="4"/>
      <c r="G936" s="4"/>
      <c r="H936" s="4"/>
      <c r="I936" s="4"/>
    </row>
    <row r="937" spans="1:9" ht="20">
      <c r="A937" s="315"/>
      <c r="B937" s="4"/>
      <c r="C937" s="4"/>
      <c r="D937" s="4"/>
      <c r="E937" s="4"/>
      <c r="F937" s="4"/>
      <c r="G937" s="4"/>
      <c r="H937" s="4"/>
      <c r="I937" s="4"/>
    </row>
    <row r="938" spans="1:9" ht="20">
      <c r="A938" s="315"/>
      <c r="B938" s="4"/>
      <c r="C938" s="4"/>
      <c r="D938" s="4"/>
      <c r="E938" s="4"/>
      <c r="F938" s="4"/>
      <c r="G938" s="4"/>
      <c r="H938" s="4"/>
      <c r="I938" s="4"/>
    </row>
    <row r="939" spans="1:9" ht="20">
      <c r="A939" s="315"/>
      <c r="B939" s="4"/>
      <c r="C939" s="4"/>
      <c r="D939" s="4"/>
      <c r="E939" s="4"/>
      <c r="F939" s="4"/>
      <c r="G939" s="4"/>
      <c r="H939" s="4"/>
      <c r="I939" s="4"/>
    </row>
    <row r="940" spans="1:9" ht="20">
      <c r="A940" s="315"/>
      <c r="B940" s="4"/>
      <c r="C940" s="4"/>
      <c r="D940" s="4"/>
      <c r="E940" s="4"/>
      <c r="F940" s="4"/>
      <c r="G940" s="4"/>
      <c r="H940" s="4"/>
      <c r="I940" s="4"/>
    </row>
    <row r="941" spans="1:9" ht="20">
      <c r="A941" s="315"/>
      <c r="B941" s="4"/>
      <c r="C941" s="4"/>
      <c r="D941" s="4"/>
      <c r="E941" s="4"/>
      <c r="F941" s="4"/>
      <c r="G941" s="4"/>
      <c r="H941" s="4"/>
      <c r="I941" s="4"/>
    </row>
    <row r="942" spans="1:9" ht="20">
      <c r="A942" s="315"/>
      <c r="B942" s="4"/>
      <c r="C942" s="4"/>
      <c r="D942" s="4"/>
      <c r="E942" s="4"/>
      <c r="F942" s="4"/>
      <c r="G942" s="4"/>
      <c r="H942" s="4"/>
      <c r="I942" s="4"/>
    </row>
    <row r="943" spans="1:9" ht="20">
      <c r="A943" s="315"/>
      <c r="B943" s="4"/>
      <c r="C943" s="4"/>
      <c r="D943" s="4"/>
      <c r="E943" s="4"/>
      <c r="F943" s="4"/>
      <c r="G943" s="4"/>
      <c r="H943" s="4"/>
      <c r="I943" s="4"/>
    </row>
    <row r="944" spans="1:9" ht="20">
      <c r="A944" s="315"/>
      <c r="B944" s="4"/>
      <c r="C944" s="4"/>
      <c r="D944" s="4"/>
      <c r="E944" s="4"/>
      <c r="F944" s="4"/>
      <c r="G944" s="4"/>
      <c r="H944" s="4"/>
      <c r="I944" s="4"/>
    </row>
    <row r="945" spans="1:9" ht="20">
      <c r="A945" s="315"/>
      <c r="B945" s="4"/>
      <c r="C945" s="4"/>
      <c r="D945" s="4"/>
      <c r="E945" s="4"/>
      <c r="F945" s="4"/>
      <c r="G945" s="4"/>
      <c r="H945" s="4"/>
      <c r="I945" s="4"/>
    </row>
    <row r="946" spans="1:9" ht="20">
      <c r="A946" s="315"/>
      <c r="B946" s="4"/>
      <c r="C946" s="4"/>
      <c r="D946" s="4"/>
      <c r="E946" s="4"/>
      <c r="F946" s="4"/>
      <c r="G946" s="4"/>
      <c r="H946" s="4"/>
      <c r="I946" s="4"/>
    </row>
    <row r="947" spans="1:9" ht="20">
      <c r="A947" s="315"/>
      <c r="B947" s="4"/>
      <c r="C947" s="4"/>
      <c r="D947" s="4"/>
      <c r="E947" s="4"/>
      <c r="F947" s="4"/>
      <c r="G947" s="4"/>
      <c r="H947" s="4"/>
      <c r="I947" s="4"/>
    </row>
    <row r="948" spans="1:9" ht="20">
      <c r="A948" s="315"/>
      <c r="B948" s="4"/>
      <c r="C948" s="4"/>
      <c r="D948" s="4"/>
      <c r="E948" s="4"/>
      <c r="F948" s="4"/>
      <c r="G948" s="4"/>
      <c r="H948" s="4"/>
      <c r="I948" s="4"/>
    </row>
    <row r="949" spans="1:9" ht="20">
      <c r="A949" s="315"/>
      <c r="B949" s="4"/>
      <c r="C949" s="4"/>
      <c r="D949" s="4"/>
      <c r="E949" s="4"/>
      <c r="F949" s="4"/>
      <c r="G949" s="4"/>
      <c r="H949" s="4"/>
      <c r="I949" s="4"/>
    </row>
    <row r="950" spans="1:9" ht="20">
      <c r="A950" s="315"/>
      <c r="B950" s="4"/>
      <c r="C950" s="4"/>
      <c r="D950" s="4"/>
      <c r="E950" s="4"/>
      <c r="F950" s="4"/>
      <c r="G950" s="4"/>
      <c r="H950" s="4"/>
      <c r="I950" s="4"/>
    </row>
    <row r="951" spans="1:9" ht="20">
      <c r="A951" s="315"/>
      <c r="B951" s="4"/>
      <c r="C951" s="4"/>
      <c r="D951" s="4"/>
      <c r="E951" s="4"/>
      <c r="F951" s="4"/>
      <c r="G951" s="4"/>
      <c r="H951" s="4"/>
      <c r="I951" s="4"/>
    </row>
    <row r="952" spans="1:9" ht="20">
      <c r="A952" s="315"/>
      <c r="B952" s="4"/>
      <c r="C952" s="4"/>
      <c r="D952" s="4"/>
      <c r="E952" s="4"/>
      <c r="F952" s="4"/>
      <c r="G952" s="4"/>
      <c r="H952" s="4"/>
      <c r="I952" s="4"/>
    </row>
    <row r="953" spans="1:9" ht="20">
      <c r="A953" s="315"/>
      <c r="B953" s="4"/>
      <c r="C953" s="4"/>
      <c r="D953" s="4"/>
      <c r="E953" s="4"/>
      <c r="F953" s="4"/>
      <c r="G953" s="4"/>
      <c r="H953" s="4"/>
      <c r="I953" s="4"/>
    </row>
    <row r="954" spans="1:9" ht="20">
      <c r="A954" s="315"/>
      <c r="B954" s="4"/>
      <c r="C954" s="4"/>
      <c r="D954" s="4"/>
      <c r="E954" s="4"/>
      <c r="F954" s="4"/>
      <c r="G954" s="4"/>
      <c r="H954" s="4"/>
      <c r="I954" s="4"/>
    </row>
    <row r="955" spans="1:9" ht="20">
      <c r="A955" s="315"/>
      <c r="B955" s="4"/>
      <c r="C955" s="4"/>
      <c r="D955" s="4"/>
      <c r="E955" s="4"/>
      <c r="F955" s="4"/>
      <c r="G955" s="4"/>
      <c r="H955" s="4"/>
      <c r="I955" s="4"/>
    </row>
    <row r="956" spans="1:9" ht="20">
      <c r="A956" s="315"/>
      <c r="B956" s="4"/>
      <c r="C956" s="4"/>
      <c r="D956" s="4"/>
      <c r="E956" s="4"/>
      <c r="F956" s="4"/>
      <c r="G956" s="4"/>
      <c r="H956" s="4"/>
      <c r="I956" s="4"/>
    </row>
    <row r="957" spans="1:9" ht="20">
      <c r="A957" s="315"/>
      <c r="B957" s="4"/>
      <c r="C957" s="4"/>
      <c r="D957" s="4"/>
      <c r="E957" s="4"/>
      <c r="F957" s="4"/>
      <c r="G957" s="4"/>
      <c r="H957" s="4"/>
      <c r="I957" s="4"/>
    </row>
    <row r="958" spans="1:9" ht="20">
      <c r="A958" s="315"/>
      <c r="B958" s="4"/>
      <c r="C958" s="4"/>
      <c r="D958" s="4"/>
      <c r="E958" s="4"/>
      <c r="F958" s="4"/>
      <c r="G958" s="4"/>
      <c r="H958" s="4"/>
      <c r="I958" s="4"/>
    </row>
    <row r="959" spans="1:9" ht="20">
      <c r="A959" s="315"/>
      <c r="B959" s="4"/>
      <c r="C959" s="4"/>
      <c r="D959" s="4"/>
      <c r="E959" s="4"/>
      <c r="F959" s="4"/>
      <c r="G959" s="4"/>
      <c r="H959" s="4"/>
      <c r="I959" s="4"/>
    </row>
    <row r="960" spans="1:9" ht="20">
      <c r="A960" s="315"/>
      <c r="B960" s="4"/>
      <c r="C960" s="4"/>
      <c r="D960" s="4"/>
      <c r="E960" s="4"/>
      <c r="F960" s="4"/>
      <c r="G960" s="4"/>
      <c r="H960" s="4"/>
      <c r="I960" s="4"/>
    </row>
    <row r="961" spans="1:9" ht="20">
      <c r="A961" s="315"/>
      <c r="B961" s="4"/>
      <c r="C961" s="4"/>
      <c r="D961" s="4"/>
      <c r="E961" s="4"/>
      <c r="F961" s="4"/>
      <c r="G961" s="4"/>
      <c r="H961" s="4"/>
      <c r="I961" s="4"/>
    </row>
    <row r="962" spans="1:9" ht="20">
      <c r="A962" s="315"/>
      <c r="B962" s="4"/>
      <c r="C962" s="4"/>
      <c r="D962" s="4"/>
      <c r="E962" s="4"/>
      <c r="F962" s="4"/>
      <c r="G962" s="4"/>
      <c r="H962" s="4"/>
      <c r="I962" s="4"/>
    </row>
    <row r="963" spans="1:9" ht="20">
      <c r="A963" s="315"/>
      <c r="B963" s="4"/>
      <c r="C963" s="4"/>
      <c r="D963" s="4"/>
      <c r="E963" s="4"/>
      <c r="F963" s="4"/>
      <c r="G963" s="4"/>
      <c r="H963" s="4"/>
      <c r="I963" s="4"/>
    </row>
    <row r="964" spans="1:9" ht="20">
      <c r="A964" s="315"/>
      <c r="B964" s="4"/>
      <c r="C964" s="4"/>
      <c r="D964" s="4"/>
      <c r="E964" s="4"/>
      <c r="F964" s="4"/>
      <c r="G964" s="4"/>
      <c r="H964" s="4"/>
      <c r="I964" s="4"/>
    </row>
    <row r="965" spans="1:9" ht="20">
      <c r="A965" s="315"/>
      <c r="B965" s="4"/>
      <c r="C965" s="4"/>
      <c r="D965" s="4"/>
      <c r="E965" s="4"/>
      <c r="F965" s="4"/>
      <c r="G965" s="4"/>
      <c r="H965" s="4"/>
      <c r="I965" s="4"/>
    </row>
    <row r="966" spans="1:9" ht="20">
      <c r="A966" s="315"/>
      <c r="B966" s="4"/>
      <c r="C966" s="4"/>
      <c r="D966" s="4"/>
      <c r="E966" s="4"/>
      <c r="F966" s="4"/>
      <c r="G966" s="4"/>
      <c r="H966" s="4"/>
      <c r="I966" s="4"/>
    </row>
    <row r="967" spans="1:9" ht="20">
      <c r="A967" s="315"/>
      <c r="B967" s="4"/>
      <c r="C967" s="4"/>
      <c r="D967" s="4"/>
      <c r="E967" s="4"/>
      <c r="F967" s="4"/>
      <c r="G967" s="4"/>
      <c r="H967" s="4"/>
      <c r="I967" s="4"/>
    </row>
    <row r="968" spans="1:9" ht="20">
      <c r="A968" s="315"/>
      <c r="B968" s="4"/>
      <c r="C968" s="4"/>
      <c r="D968" s="4"/>
      <c r="E968" s="4"/>
      <c r="F968" s="4"/>
      <c r="G968" s="4"/>
      <c r="H968" s="4"/>
      <c r="I968" s="4"/>
    </row>
    <row r="969" spans="1:9" ht="20">
      <c r="A969" s="315"/>
      <c r="B969" s="4"/>
      <c r="C969" s="4"/>
      <c r="D969" s="4"/>
      <c r="E969" s="4"/>
      <c r="F969" s="4"/>
      <c r="G969" s="4"/>
      <c r="H969" s="4"/>
      <c r="I969" s="4"/>
    </row>
    <row r="970" spans="1:9" ht="20">
      <c r="A970" s="315"/>
      <c r="B970" s="4"/>
      <c r="C970" s="4"/>
      <c r="D970" s="4"/>
      <c r="E970" s="4"/>
      <c r="F970" s="4"/>
      <c r="G970" s="4"/>
      <c r="H970" s="4"/>
      <c r="I970" s="4"/>
    </row>
    <row r="971" spans="1:9" ht="20">
      <c r="A971" s="315"/>
      <c r="B971" s="4"/>
      <c r="C971" s="4"/>
      <c r="D971" s="4"/>
      <c r="E971" s="4"/>
      <c r="F971" s="4"/>
      <c r="G971" s="4"/>
      <c r="H971" s="4"/>
      <c r="I971" s="4"/>
    </row>
    <row r="972" spans="1:9" ht="20">
      <c r="A972" s="315"/>
      <c r="B972" s="4"/>
      <c r="C972" s="4"/>
      <c r="D972" s="4"/>
      <c r="E972" s="4"/>
      <c r="F972" s="4"/>
      <c r="G972" s="4"/>
      <c r="H972" s="4"/>
      <c r="I972" s="4"/>
    </row>
    <row r="973" spans="1:9" ht="20">
      <c r="A973" s="315"/>
      <c r="B973" s="4"/>
      <c r="C973" s="4"/>
      <c r="D973" s="4"/>
      <c r="E973" s="4"/>
      <c r="F973" s="4"/>
      <c r="G973" s="4"/>
      <c r="H973" s="4"/>
      <c r="I973" s="4"/>
    </row>
    <row r="974" spans="1:9" ht="20">
      <c r="A974" s="315"/>
      <c r="B974" s="4"/>
      <c r="C974" s="4"/>
      <c r="D974" s="4"/>
      <c r="E974" s="4"/>
      <c r="F974" s="4"/>
      <c r="G974" s="4"/>
      <c r="H974" s="4"/>
      <c r="I974" s="4"/>
    </row>
    <row r="975" spans="1:9" ht="20">
      <c r="A975" s="315"/>
      <c r="B975" s="4"/>
      <c r="C975" s="4"/>
      <c r="D975" s="4"/>
      <c r="E975" s="4"/>
      <c r="F975" s="4"/>
      <c r="G975" s="4"/>
      <c r="H975" s="4"/>
      <c r="I975" s="4"/>
    </row>
    <row r="976" spans="1:9" ht="20">
      <c r="A976" s="315"/>
      <c r="B976" s="4"/>
      <c r="C976" s="4"/>
      <c r="D976" s="4"/>
      <c r="E976" s="4"/>
      <c r="F976" s="4"/>
      <c r="G976" s="4"/>
      <c r="H976" s="4"/>
      <c r="I976" s="4"/>
    </row>
    <row r="977" spans="1:9" ht="20">
      <c r="A977" s="315"/>
      <c r="B977" s="4"/>
      <c r="C977" s="4"/>
      <c r="D977" s="4"/>
      <c r="E977" s="4"/>
      <c r="F977" s="4"/>
      <c r="G977" s="4"/>
      <c r="H977" s="4"/>
      <c r="I977" s="4"/>
    </row>
    <row r="978" spans="1:9" ht="20">
      <c r="A978" s="315"/>
      <c r="B978" s="4"/>
      <c r="C978" s="4"/>
      <c r="D978" s="4"/>
      <c r="E978" s="4"/>
      <c r="F978" s="4"/>
      <c r="G978" s="4"/>
      <c r="H978" s="4"/>
      <c r="I978" s="4"/>
    </row>
    <row r="979" spans="1:9" ht="20">
      <c r="A979" s="315"/>
      <c r="B979" s="4"/>
      <c r="C979" s="4"/>
      <c r="D979" s="4"/>
      <c r="E979" s="4"/>
      <c r="F979" s="4"/>
      <c r="G979" s="4"/>
      <c r="H979" s="4"/>
      <c r="I979" s="4"/>
    </row>
    <row r="980" spans="1:9" ht="20">
      <c r="A980" s="315"/>
      <c r="B980" s="4"/>
      <c r="C980" s="4"/>
      <c r="D980" s="4"/>
      <c r="E980" s="4"/>
      <c r="F980" s="4"/>
      <c r="G980" s="4"/>
      <c r="H980" s="4"/>
      <c r="I980" s="4"/>
    </row>
    <row r="981" spans="1:9" ht="20">
      <c r="A981" s="315"/>
      <c r="B981" s="4"/>
      <c r="C981" s="4"/>
      <c r="D981" s="4"/>
      <c r="E981" s="4"/>
      <c r="F981" s="4"/>
      <c r="G981" s="4"/>
      <c r="H981" s="4"/>
      <c r="I981" s="4"/>
    </row>
    <row r="982" spans="1:9" ht="20">
      <c r="A982" s="315"/>
      <c r="B982" s="4"/>
      <c r="C982" s="4"/>
      <c r="D982" s="4"/>
      <c r="E982" s="4"/>
      <c r="F982" s="4"/>
      <c r="G982" s="4"/>
      <c r="H982" s="4"/>
      <c r="I982" s="4"/>
    </row>
    <row r="983" spans="1:9" ht="20">
      <c r="A983" s="315"/>
      <c r="B983" s="4"/>
      <c r="C983" s="4"/>
      <c r="D983" s="4"/>
      <c r="E983" s="4"/>
      <c r="F983" s="4"/>
      <c r="G983" s="4"/>
      <c r="H983" s="4"/>
      <c r="I983" s="4"/>
    </row>
  </sheetData>
  <mergeCells count="57">
    <mergeCell ref="A1:E1"/>
    <mergeCell ref="A2:A6"/>
    <mergeCell ref="A10:A15"/>
    <mergeCell ref="A130:A133"/>
    <mergeCell ref="A136:A140"/>
    <mergeCell ref="A116:A120"/>
    <mergeCell ref="A123:A127"/>
    <mergeCell ref="A102:A106"/>
    <mergeCell ref="A109:A113"/>
    <mergeCell ref="A18:A22"/>
    <mergeCell ref="A25:A29"/>
    <mergeCell ref="A32:A36"/>
    <mergeCell ref="A39:A43"/>
    <mergeCell ref="A46:A50"/>
    <mergeCell ref="A53:A57"/>
    <mergeCell ref="A60:A64"/>
    <mergeCell ref="A143:A147"/>
    <mergeCell ref="A150:A154"/>
    <mergeCell ref="A157:A161"/>
    <mergeCell ref="A164:A168"/>
    <mergeCell ref="A171:A175"/>
    <mergeCell ref="A178:A182"/>
    <mergeCell ref="A185:A189"/>
    <mergeCell ref="A192:A196"/>
    <mergeCell ref="A199:A203"/>
    <mergeCell ref="A206:A210"/>
    <mergeCell ref="A213:A217"/>
    <mergeCell ref="A220:A224"/>
    <mergeCell ref="A227:A231"/>
    <mergeCell ref="A234:A238"/>
    <mergeCell ref="A241:A245"/>
    <mergeCell ref="A248:A252"/>
    <mergeCell ref="A255:A259"/>
    <mergeCell ref="A262:A266"/>
    <mergeCell ref="A269:A274"/>
    <mergeCell ref="A277:A281"/>
    <mergeCell ref="A284:A288"/>
    <mergeCell ref="A291:A295"/>
    <mergeCell ref="A298:A302"/>
    <mergeCell ref="A354:A358"/>
    <mergeCell ref="A361:A365"/>
    <mergeCell ref="A368:A372"/>
    <mergeCell ref="A375:A379"/>
    <mergeCell ref="A382:A386"/>
    <mergeCell ref="A389:A393"/>
    <mergeCell ref="A305:A309"/>
    <mergeCell ref="A312:A316"/>
    <mergeCell ref="A319:A323"/>
    <mergeCell ref="A326:A330"/>
    <mergeCell ref="A333:A337"/>
    <mergeCell ref="A340:A344"/>
    <mergeCell ref="A347:A351"/>
    <mergeCell ref="A67:A71"/>
    <mergeCell ref="A74:A78"/>
    <mergeCell ref="A81:A85"/>
    <mergeCell ref="A88:A92"/>
    <mergeCell ref="A95:A99"/>
  </mergeCells>
  <phoneticPr fontId="79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G1009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9" sqref="C9"/>
    </sheetView>
  </sheetViews>
  <sheetFormatPr baseColWidth="10" defaultColWidth="12.6328125" defaultRowHeight="15.75" customHeight="1" outlineLevelCol="1"/>
  <cols>
    <col min="2" max="2" width="24.36328125" customWidth="1" collapsed="1"/>
    <col min="3" max="8" width="14.90625" hidden="1" customWidth="1" outlineLevel="1"/>
    <col min="9" max="9" width="0.36328125" customWidth="1"/>
    <col min="10" max="23" width="12.6328125" outlineLevel="1"/>
  </cols>
  <sheetData>
    <row r="1" spans="1:33" ht="13">
      <c r="A1" s="328"/>
      <c r="C1" s="620" t="s">
        <v>68</v>
      </c>
      <c r="D1" s="539"/>
      <c r="E1" s="539"/>
      <c r="F1" s="539"/>
      <c r="G1" s="539"/>
      <c r="H1" s="539"/>
      <c r="I1" s="539"/>
      <c r="J1" s="621" t="s">
        <v>69</v>
      </c>
      <c r="K1" s="539"/>
      <c r="L1" s="539"/>
      <c r="M1" s="539"/>
      <c r="N1" s="539"/>
      <c r="O1" s="539"/>
      <c r="P1" s="539"/>
      <c r="Q1" s="622" t="s">
        <v>70</v>
      </c>
      <c r="R1" s="546"/>
      <c r="S1" s="546"/>
      <c r="T1" s="546"/>
      <c r="U1" s="546"/>
      <c r="V1" s="546"/>
      <c r="W1" s="547"/>
      <c r="X1" s="570" t="s">
        <v>71</v>
      </c>
      <c r="Y1" s="546"/>
      <c r="Z1" s="546"/>
      <c r="AA1" s="546"/>
      <c r="AB1" s="546"/>
      <c r="AC1" s="546"/>
      <c r="AD1" s="547"/>
    </row>
    <row r="2" spans="1:33" ht="12.5">
      <c r="C2" s="329">
        <v>45894</v>
      </c>
      <c r="D2" s="329">
        <v>45895</v>
      </c>
      <c r="E2" s="329">
        <v>45896</v>
      </c>
      <c r="F2" s="329">
        <v>45897</v>
      </c>
      <c r="G2" s="329">
        <v>45898</v>
      </c>
      <c r="H2" s="329">
        <v>45899</v>
      </c>
      <c r="I2" s="329">
        <v>45900</v>
      </c>
      <c r="J2" s="330">
        <v>45901</v>
      </c>
      <c r="K2" s="329">
        <v>45902</v>
      </c>
      <c r="L2" s="329">
        <v>45903</v>
      </c>
      <c r="M2" s="329">
        <v>45904</v>
      </c>
      <c r="N2" s="329">
        <v>45905</v>
      </c>
      <c r="O2" s="329">
        <v>45906</v>
      </c>
      <c r="P2" s="329">
        <v>45907</v>
      </c>
      <c r="Q2" s="331">
        <v>45908</v>
      </c>
      <c r="R2" s="332">
        <v>45909</v>
      </c>
      <c r="S2" s="332">
        <v>45910</v>
      </c>
      <c r="T2" s="332">
        <v>45911</v>
      </c>
      <c r="U2" s="332">
        <v>45912</v>
      </c>
      <c r="V2" s="332">
        <v>45913</v>
      </c>
      <c r="W2" s="333">
        <v>45914</v>
      </c>
      <c r="X2" s="334">
        <v>45915</v>
      </c>
      <c r="Y2" s="334">
        <v>45916</v>
      </c>
      <c r="Z2" s="334">
        <v>45917</v>
      </c>
      <c r="AA2" s="334">
        <v>45918</v>
      </c>
      <c r="AB2" s="334">
        <v>45919</v>
      </c>
      <c r="AC2" s="334">
        <v>45920</v>
      </c>
      <c r="AD2" s="177">
        <v>45921</v>
      </c>
    </row>
    <row r="3" spans="1:33" ht="12" customHeight="1">
      <c r="A3" s="335"/>
      <c r="B3" s="336"/>
      <c r="C3" s="337"/>
      <c r="D3" s="337"/>
      <c r="E3" s="337"/>
      <c r="F3" s="337"/>
      <c r="G3" s="337"/>
      <c r="H3" s="337"/>
      <c r="I3" s="337"/>
      <c r="J3" s="338"/>
      <c r="K3" s="337"/>
      <c r="L3" s="337"/>
      <c r="M3" s="337"/>
      <c r="N3" s="337"/>
      <c r="O3" s="337"/>
      <c r="P3" s="337"/>
      <c r="Q3" s="339"/>
      <c r="R3" s="339"/>
      <c r="S3" s="339"/>
      <c r="T3" s="339"/>
      <c r="U3" s="339"/>
      <c r="V3" s="339"/>
      <c r="W3" s="339"/>
      <c r="X3" s="339"/>
      <c r="Y3" s="339"/>
      <c r="Z3" s="339"/>
      <c r="AA3" s="339"/>
      <c r="AB3" s="339"/>
      <c r="AC3" s="339"/>
      <c r="AD3" s="339"/>
      <c r="AE3" s="340"/>
      <c r="AF3" s="340"/>
      <c r="AG3" s="340"/>
    </row>
    <row r="4" spans="1:33" ht="12" customHeight="1">
      <c r="B4" s="341" t="s">
        <v>27</v>
      </c>
      <c r="C4" s="342">
        <f t="shared" ref="C4:AD4" si="0">COUNTIF(C10:C23,"congé")+COUNTIF(C26:C32,"congé")</f>
        <v>1</v>
      </c>
      <c r="D4" s="342">
        <f t="shared" si="0"/>
        <v>1</v>
      </c>
      <c r="E4" s="342">
        <f t="shared" si="0"/>
        <v>1</v>
      </c>
      <c r="F4" s="342">
        <f t="shared" si="0"/>
        <v>1</v>
      </c>
      <c r="G4" s="342">
        <f t="shared" si="0"/>
        <v>1</v>
      </c>
      <c r="H4" s="342">
        <f t="shared" si="0"/>
        <v>0</v>
      </c>
      <c r="I4" s="342">
        <f t="shared" si="0"/>
        <v>0</v>
      </c>
      <c r="J4" s="343">
        <f t="shared" si="0"/>
        <v>0</v>
      </c>
      <c r="K4" s="342">
        <f t="shared" si="0"/>
        <v>0</v>
      </c>
      <c r="L4" s="342">
        <f t="shared" si="0"/>
        <v>0</v>
      </c>
      <c r="M4" s="342">
        <f t="shared" si="0"/>
        <v>0</v>
      </c>
      <c r="N4" s="342">
        <f t="shared" si="0"/>
        <v>0</v>
      </c>
      <c r="O4" s="342">
        <f t="shared" si="0"/>
        <v>0</v>
      </c>
      <c r="P4" s="342">
        <f t="shared" si="0"/>
        <v>0</v>
      </c>
      <c r="Q4" s="342">
        <f t="shared" si="0"/>
        <v>0</v>
      </c>
      <c r="R4" s="342">
        <f t="shared" si="0"/>
        <v>0</v>
      </c>
      <c r="S4" s="342">
        <f t="shared" si="0"/>
        <v>0</v>
      </c>
      <c r="T4" s="342">
        <f t="shared" si="0"/>
        <v>0</v>
      </c>
      <c r="U4" s="342">
        <f t="shared" si="0"/>
        <v>0</v>
      </c>
      <c r="V4" s="342">
        <f t="shared" si="0"/>
        <v>0</v>
      </c>
      <c r="W4" s="342">
        <f t="shared" si="0"/>
        <v>0</v>
      </c>
      <c r="X4" s="342">
        <f t="shared" si="0"/>
        <v>0</v>
      </c>
      <c r="Y4" s="342">
        <f t="shared" si="0"/>
        <v>0</v>
      </c>
      <c r="Z4" s="342">
        <f t="shared" si="0"/>
        <v>0</v>
      </c>
      <c r="AA4" s="342">
        <f t="shared" si="0"/>
        <v>0</v>
      </c>
      <c r="AB4" s="342">
        <f t="shared" si="0"/>
        <v>0</v>
      </c>
      <c r="AC4" s="342">
        <f t="shared" si="0"/>
        <v>0</v>
      </c>
      <c r="AD4" s="342">
        <f t="shared" si="0"/>
        <v>0</v>
      </c>
      <c r="AE4" s="344"/>
      <c r="AF4" s="344"/>
      <c r="AG4" s="344"/>
    </row>
    <row r="5" spans="1:33" ht="12" customHeight="1">
      <c r="B5" s="341" t="s">
        <v>2</v>
      </c>
      <c r="C5" s="342">
        <f t="shared" ref="C5:AD5" si="1">COUNTIF(C10:C23,"OFF")+COUNTIF(C26:C32,"OFF")</f>
        <v>2</v>
      </c>
      <c r="D5" s="342">
        <f t="shared" si="1"/>
        <v>4</v>
      </c>
      <c r="E5" s="342">
        <f t="shared" si="1"/>
        <v>4</v>
      </c>
      <c r="F5" s="342">
        <f t="shared" si="1"/>
        <v>4</v>
      </c>
      <c r="G5" s="342">
        <f t="shared" si="1"/>
        <v>4</v>
      </c>
      <c r="H5" s="342">
        <f t="shared" si="1"/>
        <v>11</v>
      </c>
      <c r="I5" s="342">
        <f t="shared" si="1"/>
        <v>12</v>
      </c>
      <c r="J5" s="343">
        <f t="shared" si="1"/>
        <v>3</v>
      </c>
      <c r="K5" s="342">
        <f t="shared" si="1"/>
        <v>3</v>
      </c>
      <c r="L5" s="342">
        <f t="shared" si="1"/>
        <v>4</v>
      </c>
      <c r="M5" s="342">
        <f t="shared" si="1"/>
        <v>2</v>
      </c>
      <c r="N5" s="342">
        <f t="shared" si="1"/>
        <v>4</v>
      </c>
      <c r="O5" s="342">
        <f t="shared" si="1"/>
        <v>11</v>
      </c>
      <c r="P5" s="342">
        <f t="shared" si="1"/>
        <v>15</v>
      </c>
      <c r="Q5" s="343">
        <f t="shared" si="1"/>
        <v>3</v>
      </c>
      <c r="R5" s="342">
        <f t="shared" si="1"/>
        <v>3</v>
      </c>
      <c r="S5" s="342">
        <f t="shared" si="1"/>
        <v>3</v>
      </c>
      <c r="T5" s="342">
        <f t="shared" si="1"/>
        <v>4</v>
      </c>
      <c r="U5" s="342">
        <f t="shared" si="1"/>
        <v>5</v>
      </c>
      <c r="V5" s="342">
        <f t="shared" si="1"/>
        <v>10</v>
      </c>
      <c r="W5" s="342">
        <f t="shared" si="1"/>
        <v>12</v>
      </c>
      <c r="X5" s="343">
        <f t="shared" si="1"/>
        <v>3</v>
      </c>
      <c r="Y5" s="342">
        <f t="shared" si="1"/>
        <v>3</v>
      </c>
      <c r="Z5" s="342">
        <f t="shared" si="1"/>
        <v>3</v>
      </c>
      <c r="AA5" s="342">
        <f t="shared" si="1"/>
        <v>4</v>
      </c>
      <c r="AB5" s="342">
        <f t="shared" si="1"/>
        <v>5</v>
      </c>
      <c r="AC5" s="342">
        <f t="shared" si="1"/>
        <v>10</v>
      </c>
      <c r="AD5" s="342">
        <f t="shared" si="1"/>
        <v>12</v>
      </c>
      <c r="AE5" s="344"/>
      <c r="AF5" s="344"/>
      <c r="AG5" s="344"/>
    </row>
    <row r="6" spans="1:33" ht="12" customHeight="1">
      <c r="A6" s="623" t="s">
        <v>398</v>
      </c>
      <c r="B6" s="345" t="s">
        <v>262</v>
      </c>
      <c r="C6" s="337">
        <f t="shared" ref="C6:AD6" si="2">COUNTIFS(C10:C23,"&lt;&gt;"&amp;"OFF",C10:C23,"&lt;&gt;"&amp;"ABS",C10:C23,"&lt;&gt;"&amp;"CP",C10:C23,"&lt;&gt;"&amp;"FERIE",C10:C23,"&lt;&gt;*🎧*")</f>
        <v>10</v>
      </c>
      <c r="D6" s="337">
        <f t="shared" si="2"/>
        <v>8</v>
      </c>
      <c r="E6" s="337">
        <f t="shared" si="2"/>
        <v>7</v>
      </c>
      <c r="F6" s="337">
        <f t="shared" si="2"/>
        <v>8</v>
      </c>
      <c r="G6" s="337">
        <f t="shared" si="2"/>
        <v>7</v>
      </c>
      <c r="H6" s="337">
        <f t="shared" si="2"/>
        <v>3</v>
      </c>
      <c r="I6" s="337">
        <f t="shared" si="2"/>
        <v>2</v>
      </c>
      <c r="J6" s="338">
        <f t="shared" si="2"/>
        <v>9</v>
      </c>
      <c r="K6" s="337">
        <f t="shared" si="2"/>
        <v>8</v>
      </c>
      <c r="L6" s="337">
        <f t="shared" si="2"/>
        <v>8</v>
      </c>
      <c r="M6" s="337">
        <f t="shared" si="2"/>
        <v>10</v>
      </c>
      <c r="N6" s="337">
        <f t="shared" si="2"/>
        <v>9</v>
      </c>
      <c r="O6" s="337">
        <f t="shared" si="2"/>
        <v>4</v>
      </c>
      <c r="P6" s="337">
        <f t="shared" si="2"/>
        <v>2</v>
      </c>
      <c r="Q6" s="338">
        <f t="shared" si="2"/>
        <v>7</v>
      </c>
      <c r="R6" s="337">
        <f t="shared" si="2"/>
        <v>7</v>
      </c>
      <c r="S6" s="337">
        <f t="shared" si="2"/>
        <v>7</v>
      </c>
      <c r="T6" s="337">
        <f t="shared" si="2"/>
        <v>7</v>
      </c>
      <c r="U6" s="337">
        <f t="shared" si="2"/>
        <v>6</v>
      </c>
      <c r="V6" s="337">
        <f t="shared" si="2"/>
        <v>3</v>
      </c>
      <c r="W6" s="337">
        <f t="shared" si="2"/>
        <v>5</v>
      </c>
      <c r="X6" s="338">
        <f t="shared" si="2"/>
        <v>8</v>
      </c>
      <c r="Y6" s="337">
        <f t="shared" si="2"/>
        <v>8</v>
      </c>
      <c r="Z6" s="337">
        <f t="shared" si="2"/>
        <v>8</v>
      </c>
      <c r="AA6" s="337">
        <f t="shared" si="2"/>
        <v>6</v>
      </c>
      <c r="AB6" s="337">
        <f t="shared" si="2"/>
        <v>5</v>
      </c>
      <c r="AC6" s="337">
        <f t="shared" si="2"/>
        <v>2</v>
      </c>
      <c r="AD6" s="337">
        <f t="shared" si="2"/>
        <v>4</v>
      </c>
      <c r="AE6" s="346"/>
      <c r="AF6" s="346"/>
      <c r="AG6" s="346"/>
    </row>
    <row r="7" spans="1:33" ht="12" customHeight="1">
      <c r="A7" s="539"/>
      <c r="B7" s="341" t="s">
        <v>266</v>
      </c>
      <c r="C7" s="342">
        <f t="shared" ref="C7:AD7" si="3">COUNTIFS(C26:C32,"&lt;&gt;"&amp;"OFF",C26:C32,"&lt;&gt;"&amp;"ABS",C26:C32,"&lt;&gt;"&amp;"CP",C26:C32,"&lt;&gt;"&amp;"FERIE")</f>
        <v>6</v>
      </c>
      <c r="D7" s="342">
        <f t="shared" si="3"/>
        <v>5</v>
      </c>
      <c r="E7" s="342">
        <f t="shared" si="3"/>
        <v>6</v>
      </c>
      <c r="F7" s="342">
        <f t="shared" si="3"/>
        <v>6</v>
      </c>
      <c r="G7" s="342">
        <f t="shared" si="3"/>
        <v>5</v>
      </c>
      <c r="H7" s="342">
        <f t="shared" si="3"/>
        <v>4</v>
      </c>
      <c r="I7" s="342">
        <f t="shared" si="3"/>
        <v>1</v>
      </c>
      <c r="J7" s="343">
        <f t="shared" si="3"/>
        <v>6</v>
      </c>
      <c r="K7" s="342">
        <f t="shared" si="3"/>
        <v>6</v>
      </c>
      <c r="L7" s="342">
        <f t="shared" si="3"/>
        <v>6</v>
      </c>
      <c r="M7" s="342">
        <f t="shared" si="3"/>
        <v>6</v>
      </c>
      <c r="N7" s="342">
        <f t="shared" si="3"/>
        <v>5</v>
      </c>
      <c r="O7" s="342">
        <f t="shared" si="3"/>
        <v>4</v>
      </c>
      <c r="P7" s="342">
        <f t="shared" si="3"/>
        <v>2</v>
      </c>
      <c r="Q7" s="343">
        <f t="shared" si="3"/>
        <v>6</v>
      </c>
      <c r="R7" s="342">
        <f t="shared" si="3"/>
        <v>6</v>
      </c>
      <c r="S7" s="342">
        <f t="shared" si="3"/>
        <v>6</v>
      </c>
      <c r="T7" s="342">
        <f t="shared" si="3"/>
        <v>6</v>
      </c>
      <c r="U7" s="342">
        <f t="shared" si="3"/>
        <v>6</v>
      </c>
      <c r="V7" s="342">
        <f t="shared" si="3"/>
        <v>5</v>
      </c>
      <c r="W7" s="342">
        <f t="shared" si="3"/>
        <v>2</v>
      </c>
      <c r="X7" s="343">
        <f t="shared" si="3"/>
        <v>6</v>
      </c>
      <c r="Y7" s="342">
        <f t="shared" si="3"/>
        <v>6</v>
      </c>
      <c r="Z7" s="342">
        <f t="shared" si="3"/>
        <v>6</v>
      </c>
      <c r="AA7" s="342">
        <f t="shared" si="3"/>
        <v>6</v>
      </c>
      <c r="AB7" s="342">
        <f t="shared" si="3"/>
        <v>6</v>
      </c>
      <c r="AC7" s="342">
        <f t="shared" si="3"/>
        <v>5</v>
      </c>
      <c r="AD7" s="342">
        <f t="shared" si="3"/>
        <v>2</v>
      </c>
      <c r="AE7" s="344"/>
      <c r="AF7" s="344"/>
      <c r="AG7" s="344"/>
    </row>
    <row r="8" spans="1:33" ht="12" customHeight="1">
      <c r="A8" s="539"/>
      <c r="B8" s="347" t="s">
        <v>478</v>
      </c>
      <c r="C8" s="348">
        <f t="shared" ref="C8:AD8" si="4">COUNTIF(C10:C23,"*🎧*")+COUNTIF(C26:C32,"*🎧*")</f>
        <v>4</v>
      </c>
      <c r="D8" s="348">
        <f t="shared" si="4"/>
        <v>3</v>
      </c>
      <c r="E8" s="348">
        <f t="shared" si="4"/>
        <v>3</v>
      </c>
      <c r="F8" s="348">
        <f t="shared" si="4"/>
        <v>4</v>
      </c>
      <c r="G8" s="348">
        <f t="shared" si="4"/>
        <v>4</v>
      </c>
      <c r="H8" s="348">
        <f t="shared" si="4"/>
        <v>3</v>
      </c>
      <c r="I8" s="348">
        <f t="shared" si="4"/>
        <v>6</v>
      </c>
      <c r="J8" s="349">
        <f t="shared" si="4"/>
        <v>5</v>
      </c>
      <c r="K8" s="348">
        <f t="shared" si="4"/>
        <v>5</v>
      </c>
      <c r="L8" s="348">
        <f t="shared" si="4"/>
        <v>5</v>
      </c>
      <c r="M8" s="348">
        <f t="shared" si="4"/>
        <v>4</v>
      </c>
      <c r="N8" s="348">
        <f t="shared" si="4"/>
        <v>5</v>
      </c>
      <c r="O8" s="348">
        <f t="shared" si="4"/>
        <v>4</v>
      </c>
      <c r="P8" s="348">
        <f t="shared" si="4"/>
        <v>4</v>
      </c>
      <c r="Q8" s="349">
        <f t="shared" si="4"/>
        <v>5</v>
      </c>
      <c r="R8" s="348">
        <f t="shared" si="4"/>
        <v>5</v>
      </c>
      <c r="S8" s="348">
        <f t="shared" si="4"/>
        <v>5</v>
      </c>
      <c r="T8" s="348">
        <f t="shared" si="4"/>
        <v>4</v>
      </c>
      <c r="U8" s="348">
        <f t="shared" si="4"/>
        <v>4</v>
      </c>
      <c r="V8" s="348">
        <f t="shared" si="4"/>
        <v>4</v>
      </c>
      <c r="W8" s="348">
        <f t="shared" si="4"/>
        <v>2</v>
      </c>
      <c r="X8" s="349">
        <f t="shared" si="4"/>
        <v>4</v>
      </c>
      <c r="Y8" s="348">
        <f t="shared" si="4"/>
        <v>5</v>
      </c>
      <c r="Z8" s="348">
        <f t="shared" si="4"/>
        <v>5</v>
      </c>
      <c r="AA8" s="348">
        <f t="shared" si="4"/>
        <v>5</v>
      </c>
      <c r="AB8" s="348">
        <f t="shared" si="4"/>
        <v>5</v>
      </c>
      <c r="AC8" s="348">
        <f t="shared" si="4"/>
        <v>4</v>
      </c>
      <c r="AD8" s="348">
        <f t="shared" si="4"/>
        <v>2</v>
      </c>
    </row>
    <row r="9" spans="1:33" ht="13">
      <c r="A9" s="350" t="s">
        <v>479</v>
      </c>
      <c r="B9" s="351"/>
      <c r="C9" s="352" t="s">
        <v>11</v>
      </c>
      <c r="D9" s="352" t="s">
        <v>11</v>
      </c>
      <c r="E9" s="352" t="s">
        <v>11</v>
      </c>
      <c r="F9" s="352" t="s">
        <v>11</v>
      </c>
      <c r="G9" s="352" t="s">
        <v>11</v>
      </c>
      <c r="H9" s="353" t="s">
        <v>2</v>
      </c>
      <c r="I9" s="353" t="s">
        <v>2</v>
      </c>
      <c r="J9" s="354" t="s">
        <v>11</v>
      </c>
      <c r="K9" s="352" t="s">
        <v>11</v>
      </c>
      <c r="L9" s="352" t="s">
        <v>11</v>
      </c>
      <c r="M9" s="352" t="s">
        <v>11</v>
      </c>
      <c r="N9" s="352" t="s">
        <v>11</v>
      </c>
      <c r="O9" s="353" t="s">
        <v>2</v>
      </c>
      <c r="P9" s="353" t="s">
        <v>2</v>
      </c>
      <c r="Q9" s="355"/>
      <c r="R9" s="356"/>
      <c r="S9" s="356"/>
      <c r="T9" s="356"/>
      <c r="U9" s="356"/>
      <c r="V9" s="357"/>
      <c r="W9" s="358"/>
      <c r="X9" s="356"/>
      <c r="Y9" s="356"/>
      <c r="Z9" s="356"/>
      <c r="AA9" s="356"/>
      <c r="AB9" s="356"/>
      <c r="AC9" s="357"/>
      <c r="AD9" s="358"/>
      <c r="AE9" s="351"/>
      <c r="AF9" s="351"/>
      <c r="AG9" s="351"/>
    </row>
    <row r="10" spans="1:33" ht="13">
      <c r="A10" s="624" t="s">
        <v>0</v>
      </c>
      <c r="B10" s="359" t="s">
        <v>480</v>
      </c>
      <c r="C10" s="360" t="s">
        <v>6</v>
      </c>
      <c r="D10" s="360" t="s">
        <v>5</v>
      </c>
      <c r="E10" s="360" t="s">
        <v>5</v>
      </c>
      <c r="F10" s="360" t="s">
        <v>5</v>
      </c>
      <c r="G10" s="361" t="s">
        <v>2</v>
      </c>
      <c r="H10" s="361" t="s">
        <v>2</v>
      </c>
      <c r="I10" s="362" t="s">
        <v>4</v>
      </c>
      <c r="J10" s="363" t="s">
        <v>11</v>
      </c>
      <c r="K10" s="364" t="s">
        <v>11</v>
      </c>
      <c r="L10" s="361" t="s">
        <v>2</v>
      </c>
      <c r="M10" s="364" t="s">
        <v>11</v>
      </c>
      <c r="N10" s="364" t="s">
        <v>11</v>
      </c>
      <c r="O10" s="365" t="s">
        <v>8</v>
      </c>
      <c r="P10" s="361" t="s">
        <v>2</v>
      </c>
      <c r="Q10" s="366" t="s">
        <v>8</v>
      </c>
      <c r="R10" s="367" t="s">
        <v>8</v>
      </c>
      <c r="S10" s="367" t="s">
        <v>8</v>
      </c>
      <c r="T10" s="368" t="s">
        <v>16</v>
      </c>
      <c r="U10" s="369" t="s">
        <v>2</v>
      </c>
      <c r="V10" s="369" t="s">
        <v>2</v>
      </c>
      <c r="W10" s="370" t="s">
        <v>3</v>
      </c>
      <c r="X10" s="371" t="s">
        <v>11</v>
      </c>
      <c r="Y10" s="372" t="s">
        <v>481</v>
      </c>
      <c r="Z10" s="373" t="s">
        <v>11</v>
      </c>
      <c r="AA10" s="373" t="s">
        <v>11</v>
      </c>
      <c r="AB10" s="373" t="s">
        <v>11</v>
      </c>
      <c r="AC10" s="369" t="s">
        <v>2</v>
      </c>
      <c r="AD10" s="374" t="s">
        <v>2</v>
      </c>
    </row>
    <row r="11" spans="1:33" ht="13">
      <c r="A11" s="539"/>
      <c r="B11" s="359" t="s">
        <v>402</v>
      </c>
      <c r="C11" s="361" t="s">
        <v>2</v>
      </c>
      <c r="D11" s="375" t="s">
        <v>16</v>
      </c>
      <c r="E11" s="376" t="s">
        <v>19</v>
      </c>
      <c r="F11" s="361" t="s">
        <v>2</v>
      </c>
      <c r="G11" s="376" t="s">
        <v>19</v>
      </c>
      <c r="H11" s="375" t="s">
        <v>16</v>
      </c>
      <c r="I11" s="377" t="s">
        <v>7</v>
      </c>
      <c r="J11" s="378" t="s">
        <v>5</v>
      </c>
      <c r="K11" s="360" t="s">
        <v>5</v>
      </c>
      <c r="L11" s="360" t="s">
        <v>5</v>
      </c>
      <c r="M11" s="360" t="s">
        <v>5</v>
      </c>
      <c r="N11" s="360" t="s">
        <v>5</v>
      </c>
      <c r="O11" s="361" t="s">
        <v>2</v>
      </c>
      <c r="P11" s="361" t="s">
        <v>2</v>
      </c>
      <c r="Q11" s="379" t="s">
        <v>6</v>
      </c>
      <c r="R11" s="369" t="s">
        <v>2</v>
      </c>
      <c r="S11" s="369" t="s">
        <v>2</v>
      </c>
      <c r="T11" s="380" t="s">
        <v>5</v>
      </c>
      <c r="U11" s="380" t="s">
        <v>5</v>
      </c>
      <c r="V11" s="380" t="s">
        <v>6</v>
      </c>
      <c r="W11" s="370" t="s">
        <v>3</v>
      </c>
      <c r="X11" s="381" t="s">
        <v>2</v>
      </c>
      <c r="Y11" s="380" t="s">
        <v>5</v>
      </c>
      <c r="Z11" s="380" t="s">
        <v>5</v>
      </c>
      <c r="AA11" s="373" t="s">
        <v>11</v>
      </c>
      <c r="AB11" s="373" t="s">
        <v>11</v>
      </c>
      <c r="AC11" s="373" t="s">
        <v>10</v>
      </c>
      <c r="AD11" s="374" t="s">
        <v>2</v>
      </c>
    </row>
    <row r="12" spans="1:33" ht="13">
      <c r="A12" s="539"/>
      <c r="B12" s="359" t="s">
        <v>482</v>
      </c>
      <c r="C12" s="364" t="s">
        <v>11</v>
      </c>
      <c r="D12" s="364" t="s">
        <v>11</v>
      </c>
      <c r="E12" s="361" t="s">
        <v>2</v>
      </c>
      <c r="F12" s="361" t="s">
        <v>2</v>
      </c>
      <c r="G12" s="364" t="s">
        <v>11</v>
      </c>
      <c r="H12" s="364" t="s">
        <v>11</v>
      </c>
      <c r="I12" s="364" t="s">
        <v>11</v>
      </c>
      <c r="J12" s="382" t="s">
        <v>8</v>
      </c>
      <c r="K12" s="365" t="s">
        <v>8</v>
      </c>
      <c r="L12" s="361" t="s">
        <v>2</v>
      </c>
      <c r="M12" s="361" t="s">
        <v>2</v>
      </c>
      <c r="N12" s="365" t="s">
        <v>8</v>
      </c>
      <c r="O12" s="365" t="s">
        <v>8</v>
      </c>
      <c r="P12" s="383" t="s">
        <v>7</v>
      </c>
      <c r="Q12" s="384" t="s">
        <v>19</v>
      </c>
      <c r="R12" s="384" t="s">
        <v>19</v>
      </c>
      <c r="S12" s="384" t="s">
        <v>19</v>
      </c>
      <c r="T12" s="384" t="s">
        <v>19</v>
      </c>
      <c r="U12" s="384" t="s">
        <v>19</v>
      </c>
      <c r="V12" s="369" t="s">
        <v>2</v>
      </c>
      <c r="W12" s="374" t="s">
        <v>2</v>
      </c>
      <c r="X12" s="384" t="s">
        <v>19</v>
      </c>
      <c r="Y12" s="369" t="s">
        <v>2</v>
      </c>
      <c r="Z12" s="369" t="s">
        <v>2</v>
      </c>
      <c r="AA12" s="376" t="s">
        <v>19</v>
      </c>
      <c r="AB12" s="376" t="s">
        <v>19</v>
      </c>
      <c r="AC12" s="376" t="s">
        <v>19</v>
      </c>
      <c r="AD12" s="376" t="s">
        <v>19</v>
      </c>
    </row>
    <row r="13" spans="1:33" ht="13">
      <c r="A13" s="539"/>
      <c r="B13" s="359" t="s">
        <v>267</v>
      </c>
      <c r="C13" s="385" t="s">
        <v>9</v>
      </c>
      <c r="D13" s="385" t="s">
        <v>9</v>
      </c>
      <c r="E13" s="361" t="s">
        <v>2</v>
      </c>
      <c r="F13" s="361" t="s">
        <v>2</v>
      </c>
      <c r="G13" s="385" t="s">
        <v>9</v>
      </c>
      <c r="H13" s="385" t="s">
        <v>9</v>
      </c>
      <c r="I13" s="377" t="s">
        <v>183</v>
      </c>
      <c r="J13" s="363" t="s">
        <v>11</v>
      </c>
      <c r="K13" s="361" t="s">
        <v>2</v>
      </c>
      <c r="L13" s="375" t="s">
        <v>15</v>
      </c>
      <c r="M13" s="364" t="s">
        <v>11</v>
      </c>
      <c r="N13" s="360" t="s">
        <v>5</v>
      </c>
      <c r="O13" s="386" t="s">
        <v>13</v>
      </c>
      <c r="P13" s="361" t="s">
        <v>2</v>
      </c>
      <c r="Q13" s="381" t="s">
        <v>2</v>
      </c>
      <c r="R13" s="380" t="s">
        <v>6</v>
      </c>
      <c r="S13" s="380" t="s">
        <v>6</v>
      </c>
      <c r="T13" s="380" t="s">
        <v>6</v>
      </c>
      <c r="U13" s="380" t="s">
        <v>6</v>
      </c>
      <c r="V13" s="369" t="s">
        <v>2</v>
      </c>
      <c r="W13" s="370" t="s">
        <v>3</v>
      </c>
      <c r="X13" s="371" t="s">
        <v>11</v>
      </c>
      <c r="Y13" s="373" t="s">
        <v>11</v>
      </c>
      <c r="Z13" s="373" t="s">
        <v>11</v>
      </c>
      <c r="AA13" s="387" t="s">
        <v>16</v>
      </c>
      <c r="AB13" s="387" t="s">
        <v>16</v>
      </c>
      <c r="AC13" s="369" t="s">
        <v>2</v>
      </c>
      <c r="AD13" s="374" t="s">
        <v>2</v>
      </c>
    </row>
    <row r="14" spans="1:33" ht="13">
      <c r="A14" s="539"/>
      <c r="B14" s="359" t="s">
        <v>275</v>
      </c>
      <c r="C14" s="360" t="s">
        <v>5</v>
      </c>
      <c r="D14" s="361" t="s">
        <v>2</v>
      </c>
      <c r="E14" s="361" t="s">
        <v>2</v>
      </c>
      <c r="F14" s="375" t="s">
        <v>16</v>
      </c>
      <c r="G14" s="364" t="s">
        <v>11</v>
      </c>
      <c r="H14" s="360" t="s">
        <v>6</v>
      </c>
      <c r="I14" s="360" t="s">
        <v>18</v>
      </c>
      <c r="J14" s="388" t="s">
        <v>2</v>
      </c>
      <c r="K14" s="361" t="s">
        <v>2</v>
      </c>
      <c r="L14" s="365" t="s">
        <v>8</v>
      </c>
      <c r="M14" s="365" t="s">
        <v>8</v>
      </c>
      <c r="N14" s="364" t="s">
        <v>11</v>
      </c>
      <c r="O14" s="364" t="s">
        <v>11</v>
      </c>
      <c r="P14" s="364" t="s">
        <v>11</v>
      </c>
      <c r="Q14" s="379" t="s">
        <v>5</v>
      </c>
      <c r="R14" s="369" t="s">
        <v>2</v>
      </c>
      <c r="S14" s="367" t="s">
        <v>8</v>
      </c>
      <c r="T14" s="367" t="s">
        <v>8</v>
      </c>
      <c r="U14" s="367" t="s">
        <v>8</v>
      </c>
      <c r="V14" s="369" t="s">
        <v>2</v>
      </c>
      <c r="W14" s="389" t="s">
        <v>6</v>
      </c>
      <c r="X14" s="381" t="s">
        <v>2</v>
      </c>
      <c r="Y14" s="380" t="s">
        <v>6</v>
      </c>
      <c r="Z14" s="380" t="s">
        <v>6</v>
      </c>
      <c r="AA14" s="380" t="s">
        <v>6</v>
      </c>
      <c r="AB14" s="380" t="s">
        <v>6</v>
      </c>
      <c r="AC14" s="369" t="s">
        <v>2</v>
      </c>
      <c r="AD14" s="370" t="s">
        <v>3</v>
      </c>
    </row>
    <row r="15" spans="1:33" ht="13">
      <c r="A15" s="539"/>
      <c r="B15" s="359" t="s">
        <v>279</v>
      </c>
      <c r="C15" s="364" t="s">
        <v>11</v>
      </c>
      <c r="D15" s="364" t="s">
        <v>11</v>
      </c>
      <c r="E15" s="364" t="s">
        <v>11</v>
      </c>
      <c r="F15" s="364" t="s">
        <v>11</v>
      </c>
      <c r="G15" s="360" t="s">
        <v>5</v>
      </c>
      <c r="H15" s="361" t="s">
        <v>2</v>
      </c>
      <c r="I15" s="361" t="s">
        <v>2</v>
      </c>
      <c r="J15" s="382" t="s">
        <v>8</v>
      </c>
      <c r="K15" s="365" t="s">
        <v>8</v>
      </c>
      <c r="L15" s="365" t="s">
        <v>8</v>
      </c>
      <c r="M15" s="365" t="s">
        <v>8</v>
      </c>
      <c r="N15" s="365" t="s">
        <v>8</v>
      </c>
      <c r="O15" s="361" t="s">
        <v>2</v>
      </c>
      <c r="P15" s="361" t="s">
        <v>2</v>
      </c>
      <c r="Q15" s="366" t="s">
        <v>8</v>
      </c>
      <c r="R15" s="367" t="s">
        <v>8</v>
      </c>
      <c r="S15" s="369" t="s">
        <v>2</v>
      </c>
      <c r="T15" s="369" t="s">
        <v>2</v>
      </c>
      <c r="U15" s="387" t="s">
        <v>16</v>
      </c>
      <c r="V15" s="387" t="s">
        <v>15</v>
      </c>
      <c r="W15" s="370" t="s">
        <v>3</v>
      </c>
      <c r="X15" s="379" t="s">
        <v>5</v>
      </c>
      <c r="Y15" s="369" t="s">
        <v>2</v>
      </c>
      <c r="Z15" s="367" t="s">
        <v>8</v>
      </c>
      <c r="AA15" s="367" t="s">
        <v>8</v>
      </c>
      <c r="AB15" s="367" t="s">
        <v>8</v>
      </c>
      <c r="AC15" s="369" t="s">
        <v>2</v>
      </c>
      <c r="AD15" s="389" t="s">
        <v>6</v>
      </c>
    </row>
    <row r="16" spans="1:33" ht="13">
      <c r="A16" s="539"/>
      <c r="B16" s="359" t="s">
        <v>281</v>
      </c>
      <c r="C16" s="375" t="s">
        <v>16</v>
      </c>
      <c r="D16" s="365" t="s">
        <v>8</v>
      </c>
      <c r="E16" s="385" t="s">
        <v>9</v>
      </c>
      <c r="F16" s="385" t="s">
        <v>9</v>
      </c>
      <c r="G16" s="361" t="s">
        <v>2</v>
      </c>
      <c r="H16" s="375" t="s">
        <v>15</v>
      </c>
      <c r="I16" s="361" t="s">
        <v>2</v>
      </c>
      <c r="J16" s="382" t="s">
        <v>8</v>
      </c>
      <c r="K16" s="360" t="s">
        <v>5</v>
      </c>
      <c r="L16" s="360" t="s">
        <v>5</v>
      </c>
      <c r="M16" s="360" t="s">
        <v>5</v>
      </c>
      <c r="N16" s="361" t="s">
        <v>2</v>
      </c>
      <c r="O16" s="361" t="s">
        <v>2</v>
      </c>
      <c r="P16" s="360" t="s">
        <v>282</v>
      </c>
      <c r="Q16" s="371" t="s">
        <v>11</v>
      </c>
      <c r="R16" s="373" t="s">
        <v>11</v>
      </c>
      <c r="S16" s="373" t="s">
        <v>11</v>
      </c>
      <c r="T16" s="367" t="s">
        <v>8</v>
      </c>
      <c r="U16" s="367" t="s">
        <v>8</v>
      </c>
      <c r="V16" s="369" t="s">
        <v>2</v>
      </c>
      <c r="W16" s="374" t="s">
        <v>2</v>
      </c>
      <c r="X16" s="371" t="s">
        <v>11</v>
      </c>
      <c r="Y16" s="373" t="s">
        <v>11</v>
      </c>
      <c r="Z16" s="373" t="s">
        <v>11</v>
      </c>
      <c r="AA16" s="367" t="s">
        <v>8</v>
      </c>
      <c r="AB16" s="367" t="s">
        <v>8</v>
      </c>
      <c r="AC16" s="369" t="s">
        <v>2</v>
      </c>
      <c r="AD16" s="374" t="s">
        <v>2</v>
      </c>
    </row>
    <row r="17" spans="1:33" ht="13">
      <c r="A17" s="539"/>
      <c r="B17" s="359" t="s">
        <v>289</v>
      </c>
      <c r="C17" s="375" t="s">
        <v>15</v>
      </c>
      <c r="D17" s="375" t="s">
        <v>15</v>
      </c>
      <c r="E17" s="376" t="s">
        <v>19</v>
      </c>
      <c r="F17" s="375" t="s">
        <v>15</v>
      </c>
      <c r="G17" s="375" t="s">
        <v>15</v>
      </c>
      <c r="H17" s="361" t="s">
        <v>2</v>
      </c>
      <c r="I17" s="362" t="s">
        <v>4</v>
      </c>
      <c r="J17" s="378" t="s">
        <v>5</v>
      </c>
      <c r="K17" s="376" t="s">
        <v>19</v>
      </c>
      <c r="L17" s="386" t="s">
        <v>12</v>
      </c>
      <c r="M17" s="386" t="s">
        <v>12</v>
      </c>
      <c r="N17" s="361" t="s">
        <v>2</v>
      </c>
      <c r="O17" s="360" t="s">
        <v>5</v>
      </c>
      <c r="P17" s="361" t="s">
        <v>2</v>
      </c>
      <c r="Q17" s="371" t="s">
        <v>11</v>
      </c>
      <c r="R17" s="373" t="s">
        <v>11</v>
      </c>
      <c r="S17" s="373" t="s">
        <v>11</v>
      </c>
      <c r="T17" s="373" t="s">
        <v>11</v>
      </c>
      <c r="U17" s="369" t="s">
        <v>2</v>
      </c>
      <c r="V17" s="387" t="s">
        <v>16</v>
      </c>
      <c r="W17" s="374" t="s">
        <v>2</v>
      </c>
      <c r="X17" s="366" t="s">
        <v>8</v>
      </c>
      <c r="Y17" s="367" t="s">
        <v>8</v>
      </c>
      <c r="Z17" s="369" t="s">
        <v>2</v>
      </c>
      <c r="AA17" s="369" t="s">
        <v>2</v>
      </c>
      <c r="AB17" s="387" t="s">
        <v>15</v>
      </c>
      <c r="AC17" s="387" t="s">
        <v>15</v>
      </c>
      <c r="AD17" s="370" t="s">
        <v>3</v>
      </c>
    </row>
    <row r="18" spans="1:33" ht="13">
      <c r="A18" s="539"/>
      <c r="B18" s="359" t="s">
        <v>296</v>
      </c>
      <c r="C18" s="364" t="s">
        <v>11</v>
      </c>
      <c r="D18" s="361" t="s">
        <v>2</v>
      </c>
      <c r="E18" s="364" t="s">
        <v>11</v>
      </c>
      <c r="F18" s="364" t="s">
        <v>11</v>
      </c>
      <c r="G18" s="364" t="s">
        <v>10</v>
      </c>
      <c r="H18" s="361" t="s">
        <v>2</v>
      </c>
      <c r="I18" s="362" t="s">
        <v>4</v>
      </c>
      <c r="J18" s="388" t="s">
        <v>2</v>
      </c>
      <c r="K18" s="365" t="s">
        <v>8</v>
      </c>
      <c r="L18" s="365" t="s">
        <v>8</v>
      </c>
      <c r="M18" s="365" t="s">
        <v>8</v>
      </c>
      <c r="N18" s="365" t="s">
        <v>8</v>
      </c>
      <c r="O18" s="361" t="s">
        <v>2</v>
      </c>
      <c r="P18" s="383" t="s">
        <v>183</v>
      </c>
      <c r="Q18" s="390" t="s">
        <v>15</v>
      </c>
      <c r="R18" s="387" t="s">
        <v>15</v>
      </c>
      <c r="S18" s="387" t="s">
        <v>15</v>
      </c>
      <c r="T18" s="369" t="s">
        <v>2</v>
      </c>
      <c r="U18" s="369" t="s">
        <v>2</v>
      </c>
      <c r="V18" s="367" t="s">
        <v>8</v>
      </c>
      <c r="W18" s="391" t="s">
        <v>106</v>
      </c>
      <c r="X18" s="371" t="s">
        <v>11</v>
      </c>
      <c r="Y18" s="373" t="s">
        <v>11</v>
      </c>
      <c r="Z18" s="373" t="s">
        <v>11</v>
      </c>
      <c r="AA18" s="373" t="s">
        <v>11</v>
      </c>
      <c r="AB18" s="369" t="s">
        <v>2</v>
      </c>
      <c r="AC18" s="380" t="s">
        <v>6</v>
      </c>
      <c r="AD18" s="374" t="s">
        <v>2</v>
      </c>
    </row>
    <row r="19" spans="1:33" ht="13">
      <c r="A19" s="539"/>
      <c r="B19" s="359" t="s">
        <v>483</v>
      </c>
      <c r="C19" s="361" t="s">
        <v>27</v>
      </c>
      <c r="D19" s="361" t="s">
        <v>27</v>
      </c>
      <c r="E19" s="361" t="s">
        <v>27</v>
      </c>
      <c r="F19" s="361" t="s">
        <v>27</v>
      </c>
      <c r="G19" s="361" t="s">
        <v>27</v>
      </c>
      <c r="H19" s="361" t="s">
        <v>2</v>
      </c>
      <c r="I19" s="361" t="s">
        <v>2</v>
      </c>
      <c r="J19" s="363" t="s">
        <v>11</v>
      </c>
      <c r="K19" s="364" t="s">
        <v>11</v>
      </c>
      <c r="L19" s="364" t="s">
        <v>11</v>
      </c>
      <c r="M19" s="364" t="s">
        <v>11</v>
      </c>
      <c r="N19" s="364" t="s">
        <v>11</v>
      </c>
      <c r="O19" s="392" t="s">
        <v>2</v>
      </c>
      <c r="P19" s="392" t="s">
        <v>2</v>
      </c>
      <c r="Q19" s="371" t="s">
        <v>11</v>
      </c>
      <c r="R19" s="373" t="s">
        <v>11</v>
      </c>
      <c r="S19" s="373" t="s">
        <v>11</v>
      </c>
      <c r="T19" s="373" t="s">
        <v>11</v>
      </c>
      <c r="U19" s="373" t="s">
        <v>11</v>
      </c>
      <c r="V19" s="369" t="s">
        <v>2</v>
      </c>
      <c r="W19" s="374" t="s">
        <v>2</v>
      </c>
      <c r="X19" s="387" t="s">
        <v>15</v>
      </c>
      <c r="Y19" s="387" t="s">
        <v>15</v>
      </c>
      <c r="Z19" s="387" t="s">
        <v>15</v>
      </c>
      <c r="AA19" s="369" t="s">
        <v>2</v>
      </c>
      <c r="AB19" s="369" t="s">
        <v>2</v>
      </c>
      <c r="AC19" s="367" t="s">
        <v>8</v>
      </c>
      <c r="AD19" s="391" t="s">
        <v>7</v>
      </c>
    </row>
    <row r="20" spans="1:33" ht="13">
      <c r="A20" s="539"/>
      <c r="B20" s="359" t="s">
        <v>298</v>
      </c>
      <c r="C20" s="365" t="s">
        <v>8</v>
      </c>
      <c r="D20" s="361" t="s">
        <v>2</v>
      </c>
      <c r="E20" s="365" t="s">
        <v>8</v>
      </c>
      <c r="F20" s="365" t="s">
        <v>8</v>
      </c>
      <c r="G20" s="365" t="s">
        <v>8</v>
      </c>
      <c r="H20" s="365" t="s">
        <v>8</v>
      </c>
      <c r="I20" s="361" t="s">
        <v>2</v>
      </c>
      <c r="J20" s="393" t="s">
        <v>12</v>
      </c>
      <c r="K20" s="386" t="s">
        <v>12</v>
      </c>
      <c r="L20" s="364" t="s">
        <v>11</v>
      </c>
      <c r="M20" s="364" t="s">
        <v>11</v>
      </c>
      <c r="N20" s="386" t="s">
        <v>12</v>
      </c>
      <c r="O20" s="361" t="s">
        <v>2</v>
      </c>
      <c r="P20" s="361" t="s">
        <v>2</v>
      </c>
      <c r="Q20" s="381" t="s">
        <v>2</v>
      </c>
      <c r="R20" s="380" t="s">
        <v>5</v>
      </c>
      <c r="S20" s="380" t="s">
        <v>5</v>
      </c>
      <c r="T20" s="373" t="s">
        <v>11</v>
      </c>
      <c r="U20" s="373" t="s">
        <v>11</v>
      </c>
      <c r="V20" s="373" t="s">
        <v>10</v>
      </c>
      <c r="W20" s="374" t="s">
        <v>2</v>
      </c>
      <c r="X20" s="387" t="s">
        <v>16</v>
      </c>
      <c r="Y20" s="387" t="s">
        <v>16</v>
      </c>
      <c r="Z20" s="387" t="s">
        <v>16</v>
      </c>
      <c r="AA20" s="369" t="s">
        <v>2</v>
      </c>
      <c r="AB20" s="369" t="s">
        <v>2</v>
      </c>
      <c r="AC20" s="367" t="s">
        <v>8</v>
      </c>
      <c r="AD20" s="391" t="s">
        <v>106</v>
      </c>
    </row>
    <row r="21" spans="1:33" ht="13">
      <c r="A21" s="539"/>
      <c r="B21" s="359" t="s">
        <v>311</v>
      </c>
      <c r="C21" s="364" t="s">
        <v>11</v>
      </c>
      <c r="D21" s="360" t="s">
        <v>6</v>
      </c>
      <c r="E21" s="360" t="s">
        <v>6</v>
      </c>
      <c r="F21" s="360" t="s">
        <v>6</v>
      </c>
      <c r="G21" s="360" t="s">
        <v>6</v>
      </c>
      <c r="H21" s="361" t="s">
        <v>2</v>
      </c>
      <c r="I21" s="361" t="s">
        <v>2</v>
      </c>
      <c r="J21" s="394" t="s">
        <v>15</v>
      </c>
      <c r="K21" s="375" t="s">
        <v>15</v>
      </c>
      <c r="L21" s="361" t="s">
        <v>2</v>
      </c>
      <c r="M21" s="376" t="s">
        <v>19</v>
      </c>
      <c r="N21" s="375" t="s">
        <v>15</v>
      </c>
      <c r="O21" s="375" t="s">
        <v>15</v>
      </c>
      <c r="P21" s="361" t="s">
        <v>2</v>
      </c>
      <c r="Q21" s="390" t="s">
        <v>16</v>
      </c>
      <c r="R21" s="387" t="s">
        <v>16</v>
      </c>
      <c r="S21" s="387" t="s">
        <v>16</v>
      </c>
      <c r="T21" s="369" t="s">
        <v>2</v>
      </c>
      <c r="U21" s="369" t="s">
        <v>2</v>
      </c>
      <c r="V21" s="367" t="s">
        <v>8</v>
      </c>
      <c r="W21" s="391" t="s">
        <v>7</v>
      </c>
      <c r="X21" s="366" t="s">
        <v>8</v>
      </c>
      <c r="Y21" s="367" t="s">
        <v>8</v>
      </c>
      <c r="Z21" s="367" t="s">
        <v>8</v>
      </c>
      <c r="AA21" s="387" t="s">
        <v>15</v>
      </c>
      <c r="AB21" s="369" t="s">
        <v>2</v>
      </c>
      <c r="AC21" s="369" t="s">
        <v>2</v>
      </c>
      <c r="AD21" s="370" t="s">
        <v>3</v>
      </c>
    </row>
    <row r="22" spans="1:33" ht="13">
      <c r="A22" s="539"/>
      <c r="B22" s="359" t="s">
        <v>302</v>
      </c>
      <c r="C22" s="364" t="s">
        <v>11</v>
      </c>
      <c r="D22" s="364" t="s">
        <v>11</v>
      </c>
      <c r="E22" s="364" t="s">
        <v>11</v>
      </c>
      <c r="F22" s="364" t="s">
        <v>11</v>
      </c>
      <c r="G22" s="364" t="s">
        <v>11</v>
      </c>
      <c r="H22" s="361" t="s">
        <v>2</v>
      </c>
      <c r="I22" s="361" t="s">
        <v>2</v>
      </c>
      <c r="J22" s="363" t="s">
        <v>104</v>
      </c>
      <c r="K22" s="364" t="s">
        <v>104</v>
      </c>
      <c r="L22" s="364" t="s">
        <v>104</v>
      </c>
      <c r="M22" s="364" t="s">
        <v>104</v>
      </c>
      <c r="N22" s="364" t="s">
        <v>104</v>
      </c>
      <c r="O22" s="361" t="s">
        <v>2</v>
      </c>
      <c r="P22" s="361" t="s">
        <v>2</v>
      </c>
      <c r="Q22" s="371" t="s">
        <v>10</v>
      </c>
      <c r="R22" s="373" t="s">
        <v>10</v>
      </c>
      <c r="S22" s="373" t="s">
        <v>10</v>
      </c>
      <c r="T22" s="373" t="s">
        <v>10</v>
      </c>
      <c r="U22" s="373" t="s">
        <v>10</v>
      </c>
      <c r="V22" s="369" t="s">
        <v>2</v>
      </c>
      <c r="W22" s="374" t="s">
        <v>2</v>
      </c>
      <c r="X22" s="371" t="s">
        <v>10</v>
      </c>
      <c r="Y22" s="373" t="s">
        <v>10</v>
      </c>
      <c r="Z22" s="373" t="s">
        <v>10</v>
      </c>
      <c r="AA22" s="373" t="s">
        <v>10</v>
      </c>
      <c r="AB22" s="373" t="s">
        <v>10</v>
      </c>
      <c r="AC22" s="369" t="s">
        <v>2</v>
      </c>
      <c r="AD22" s="374" t="s">
        <v>2</v>
      </c>
    </row>
    <row r="23" spans="1:33" ht="13">
      <c r="A23" s="539"/>
      <c r="B23" s="395" t="s">
        <v>304</v>
      </c>
      <c r="C23" s="364" t="s">
        <v>11</v>
      </c>
      <c r="D23" s="364" t="s">
        <v>11</v>
      </c>
      <c r="E23" s="364" t="s">
        <v>11</v>
      </c>
      <c r="F23" s="364" t="s">
        <v>11</v>
      </c>
      <c r="G23" s="364" t="s">
        <v>11</v>
      </c>
      <c r="H23" s="361" t="s">
        <v>2</v>
      </c>
      <c r="I23" s="361" t="s">
        <v>2</v>
      </c>
      <c r="J23" s="363" t="s">
        <v>104</v>
      </c>
      <c r="K23" s="364" t="s">
        <v>104</v>
      </c>
      <c r="L23" s="364" t="s">
        <v>104</v>
      </c>
      <c r="M23" s="364" t="s">
        <v>104</v>
      </c>
      <c r="N23" s="364" t="s">
        <v>104</v>
      </c>
      <c r="O23" s="361" t="s">
        <v>2</v>
      </c>
      <c r="P23" s="361" t="s">
        <v>2</v>
      </c>
      <c r="Q23" s="371" t="s">
        <v>10</v>
      </c>
      <c r="R23" s="373" t="s">
        <v>10</v>
      </c>
      <c r="S23" s="373" t="s">
        <v>10</v>
      </c>
      <c r="T23" s="373" t="s">
        <v>10</v>
      </c>
      <c r="U23" s="373" t="s">
        <v>10</v>
      </c>
      <c r="V23" s="369" t="s">
        <v>2</v>
      </c>
      <c r="W23" s="374" t="s">
        <v>2</v>
      </c>
      <c r="X23" s="371" t="s">
        <v>10</v>
      </c>
      <c r="Y23" s="373" t="s">
        <v>10</v>
      </c>
      <c r="Z23" s="373" t="s">
        <v>10</v>
      </c>
      <c r="AA23" s="373" t="s">
        <v>10</v>
      </c>
      <c r="AB23" s="373" t="s">
        <v>10</v>
      </c>
      <c r="AC23" s="369" t="s">
        <v>2</v>
      </c>
      <c r="AD23" s="374" t="s">
        <v>2</v>
      </c>
      <c r="AE23" s="396"/>
      <c r="AF23" s="396"/>
      <c r="AG23" s="396"/>
    </row>
    <row r="24" spans="1:33" ht="8.25" customHeight="1">
      <c r="A24" s="397"/>
      <c r="B24" s="398"/>
      <c r="C24" s="399"/>
      <c r="D24" s="399"/>
      <c r="E24" s="399"/>
      <c r="F24" s="399"/>
      <c r="G24" s="399"/>
      <c r="H24" s="400"/>
      <c r="I24" s="400"/>
      <c r="J24" s="401"/>
      <c r="K24" s="399"/>
      <c r="L24" s="400"/>
      <c r="M24" s="399"/>
      <c r="N24" s="399"/>
      <c r="O24" s="399"/>
      <c r="P24" s="400"/>
      <c r="Q24" s="402"/>
      <c r="R24" s="403"/>
      <c r="S24" s="403"/>
      <c r="T24" s="403"/>
      <c r="U24" s="403"/>
      <c r="V24" s="403"/>
      <c r="W24" s="403"/>
      <c r="X24" s="403"/>
      <c r="Y24" s="403"/>
      <c r="Z24" s="403"/>
      <c r="AA24" s="403"/>
      <c r="AB24" s="403"/>
      <c r="AC24" s="403"/>
      <c r="AD24" s="403"/>
      <c r="AE24" s="398"/>
      <c r="AF24" s="398"/>
      <c r="AG24" s="398"/>
    </row>
    <row r="25" spans="1:33" ht="13">
      <c r="A25" s="404" t="s">
        <v>479</v>
      </c>
      <c r="B25" s="405" t="s">
        <v>46</v>
      </c>
      <c r="C25" s="364" t="s">
        <v>11</v>
      </c>
      <c r="D25" s="364" t="s">
        <v>11</v>
      </c>
      <c r="E25" s="364" t="s">
        <v>11</v>
      </c>
      <c r="F25" s="364" t="s">
        <v>11</v>
      </c>
      <c r="G25" s="364" t="s">
        <v>11</v>
      </c>
      <c r="H25" s="361" t="s">
        <v>2</v>
      </c>
      <c r="I25" s="361" t="s">
        <v>2</v>
      </c>
      <c r="J25" s="363" t="s">
        <v>11</v>
      </c>
      <c r="K25" s="364" t="s">
        <v>11</v>
      </c>
      <c r="L25" s="361" t="s">
        <v>2</v>
      </c>
      <c r="M25" s="364" t="s">
        <v>11</v>
      </c>
      <c r="N25" s="364" t="s">
        <v>11</v>
      </c>
      <c r="O25" s="364" t="s">
        <v>11</v>
      </c>
      <c r="P25" s="361" t="s">
        <v>2</v>
      </c>
      <c r="Q25" s="406"/>
      <c r="R25" s="407"/>
      <c r="S25" s="407"/>
      <c r="T25" s="407"/>
      <c r="U25" s="407"/>
      <c r="V25" s="408"/>
      <c r="W25" s="409"/>
      <c r="X25" s="407"/>
      <c r="Y25" s="407"/>
      <c r="Z25" s="407"/>
      <c r="AA25" s="407"/>
      <c r="AB25" s="407"/>
      <c r="AC25" s="408"/>
      <c r="AD25" s="409"/>
      <c r="AE25" s="351"/>
      <c r="AF25" s="351"/>
      <c r="AG25" s="351"/>
    </row>
    <row r="26" spans="1:33" ht="13">
      <c r="A26" s="625" t="s">
        <v>324</v>
      </c>
      <c r="B26" s="359" t="s">
        <v>484</v>
      </c>
      <c r="C26" s="364" t="s">
        <v>10</v>
      </c>
      <c r="D26" s="376" t="s">
        <v>19</v>
      </c>
      <c r="E26" s="364" t="s">
        <v>10</v>
      </c>
      <c r="F26" s="364" t="s">
        <v>10</v>
      </c>
      <c r="G26" s="361" t="s">
        <v>2</v>
      </c>
      <c r="H26" s="361" t="s">
        <v>2</v>
      </c>
      <c r="I26" s="376" t="s">
        <v>19</v>
      </c>
      <c r="J26" s="378" t="s">
        <v>6</v>
      </c>
      <c r="K26" s="360" t="s">
        <v>6</v>
      </c>
      <c r="L26" s="360" t="s">
        <v>6</v>
      </c>
      <c r="M26" s="361" t="s">
        <v>2</v>
      </c>
      <c r="N26" s="361" t="s">
        <v>2</v>
      </c>
      <c r="O26" s="360" t="s">
        <v>6</v>
      </c>
      <c r="P26" s="362" t="s">
        <v>4</v>
      </c>
      <c r="Q26" s="410"/>
      <c r="R26" s="411"/>
      <c r="S26" s="411"/>
      <c r="T26" s="411"/>
      <c r="U26" s="411"/>
      <c r="V26" s="412"/>
      <c r="W26" s="413"/>
      <c r="X26" s="411"/>
      <c r="Y26" s="411"/>
      <c r="Z26" s="411"/>
      <c r="AA26" s="411"/>
      <c r="AB26" s="411"/>
      <c r="AC26" s="412"/>
      <c r="AD26" s="413"/>
    </row>
    <row r="27" spans="1:33" ht="13">
      <c r="A27" s="539"/>
      <c r="B27" s="359" t="s">
        <v>325</v>
      </c>
      <c r="C27" s="365" t="s">
        <v>8</v>
      </c>
      <c r="D27" s="365" t="s">
        <v>8</v>
      </c>
      <c r="E27" s="365" t="s">
        <v>8</v>
      </c>
      <c r="F27" s="365" t="s">
        <v>8</v>
      </c>
      <c r="G27" s="365" t="s">
        <v>8</v>
      </c>
      <c r="H27" s="361" t="s">
        <v>2</v>
      </c>
      <c r="I27" s="361" t="s">
        <v>2</v>
      </c>
      <c r="J27" s="393" t="s">
        <v>12</v>
      </c>
      <c r="K27" s="386" t="s">
        <v>12</v>
      </c>
      <c r="L27" s="361" t="s">
        <v>2</v>
      </c>
      <c r="M27" s="360" t="s">
        <v>6</v>
      </c>
      <c r="N27" s="360" t="s">
        <v>6</v>
      </c>
      <c r="O27" s="364" t="s">
        <v>11</v>
      </c>
      <c r="P27" s="361" t="s">
        <v>2</v>
      </c>
      <c r="Q27" s="381" t="s">
        <v>2</v>
      </c>
      <c r="R27" s="373" t="s">
        <v>11</v>
      </c>
      <c r="S27" s="373" t="s">
        <v>11</v>
      </c>
      <c r="T27" s="373" t="s">
        <v>11</v>
      </c>
      <c r="U27" s="373" t="s">
        <v>11</v>
      </c>
      <c r="V27" s="380" t="s">
        <v>5</v>
      </c>
      <c r="W27" s="374" t="s">
        <v>2</v>
      </c>
      <c r="X27" s="371" t="s">
        <v>11</v>
      </c>
      <c r="Y27" s="373" t="s">
        <v>11</v>
      </c>
      <c r="Z27" s="369" t="s">
        <v>2</v>
      </c>
      <c r="AA27" s="369" t="s">
        <v>2</v>
      </c>
      <c r="AB27" s="373" t="s">
        <v>11</v>
      </c>
      <c r="AC27" s="373" t="s">
        <v>11</v>
      </c>
      <c r="AD27" s="370" t="s">
        <v>3</v>
      </c>
    </row>
    <row r="28" spans="1:33" ht="13">
      <c r="A28" s="539"/>
      <c r="B28" s="414" t="s">
        <v>326</v>
      </c>
      <c r="C28" s="365" t="s">
        <v>8</v>
      </c>
      <c r="D28" s="365" t="s">
        <v>8</v>
      </c>
      <c r="E28" s="360" t="s">
        <v>5</v>
      </c>
      <c r="F28" s="361" t="s">
        <v>2</v>
      </c>
      <c r="G28" s="364" t="s">
        <v>11</v>
      </c>
      <c r="H28" s="365" t="s">
        <v>8</v>
      </c>
      <c r="I28" s="361" t="s">
        <v>2</v>
      </c>
      <c r="J28" s="363" t="s">
        <v>11</v>
      </c>
      <c r="K28" s="364" t="s">
        <v>11</v>
      </c>
      <c r="L28" s="364" t="s">
        <v>11</v>
      </c>
      <c r="M28" s="364" t="s">
        <v>11</v>
      </c>
      <c r="N28" s="364" t="s">
        <v>11</v>
      </c>
      <c r="O28" s="361" t="s">
        <v>2</v>
      </c>
      <c r="P28" s="361" t="s">
        <v>2</v>
      </c>
      <c r="Q28" s="379" t="s">
        <v>5</v>
      </c>
      <c r="R28" s="380" t="s">
        <v>5</v>
      </c>
      <c r="S28" s="380" t="s">
        <v>5</v>
      </c>
      <c r="T28" s="380" t="s">
        <v>5</v>
      </c>
      <c r="U28" s="380" t="s">
        <v>5</v>
      </c>
      <c r="V28" s="369" t="s">
        <v>2</v>
      </c>
      <c r="W28" s="374" t="s">
        <v>2</v>
      </c>
      <c r="X28" s="381" t="s">
        <v>2</v>
      </c>
      <c r="Y28" s="415" t="s">
        <v>305</v>
      </c>
      <c r="Z28" s="415" t="s">
        <v>305</v>
      </c>
      <c r="AA28" s="373" t="s">
        <v>11</v>
      </c>
      <c r="AB28" s="373" t="s">
        <v>11</v>
      </c>
      <c r="AC28" s="380" t="s">
        <v>5</v>
      </c>
      <c r="AD28" s="374" t="s">
        <v>2</v>
      </c>
    </row>
    <row r="29" spans="1:33" ht="13">
      <c r="A29" s="539"/>
      <c r="B29" s="414" t="s">
        <v>328</v>
      </c>
      <c r="C29" s="361" t="s">
        <v>2</v>
      </c>
      <c r="D29" s="364" t="s">
        <v>11</v>
      </c>
      <c r="E29" s="364" t="s">
        <v>11</v>
      </c>
      <c r="F29" s="364" t="s">
        <v>11</v>
      </c>
      <c r="G29" s="364" t="s">
        <v>11</v>
      </c>
      <c r="H29" s="364" t="s">
        <v>11</v>
      </c>
      <c r="I29" s="361" t="s">
        <v>2</v>
      </c>
      <c r="J29" s="382" t="s">
        <v>8</v>
      </c>
      <c r="K29" s="365" t="s">
        <v>8</v>
      </c>
      <c r="L29" s="365" t="s">
        <v>8</v>
      </c>
      <c r="M29" s="365" t="s">
        <v>8</v>
      </c>
      <c r="N29" s="365" t="s">
        <v>8</v>
      </c>
      <c r="O29" s="361" t="s">
        <v>2</v>
      </c>
      <c r="P29" s="361" t="s">
        <v>2</v>
      </c>
      <c r="Q29" s="366" t="s">
        <v>8</v>
      </c>
      <c r="R29" s="367" t="s">
        <v>8</v>
      </c>
      <c r="S29" s="367" t="s">
        <v>8</v>
      </c>
      <c r="T29" s="367" t="s">
        <v>8</v>
      </c>
      <c r="U29" s="369" t="s">
        <v>2</v>
      </c>
      <c r="V29" s="367" t="s">
        <v>8</v>
      </c>
      <c r="W29" s="374" t="s">
        <v>2</v>
      </c>
      <c r="X29" s="379" t="s">
        <v>5</v>
      </c>
      <c r="Y29" s="380" t="s">
        <v>5</v>
      </c>
      <c r="Z29" s="380" t="s">
        <v>5</v>
      </c>
      <c r="AA29" s="380" t="s">
        <v>5</v>
      </c>
      <c r="AB29" s="380" t="s">
        <v>5</v>
      </c>
      <c r="AC29" s="369" t="s">
        <v>2</v>
      </c>
      <c r="AD29" s="374" t="s">
        <v>2</v>
      </c>
    </row>
    <row r="30" spans="1:33" ht="13">
      <c r="A30" s="539"/>
      <c r="B30" s="414" t="s">
        <v>332</v>
      </c>
      <c r="C30" s="364" t="s">
        <v>11</v>
      </c>
      <c r="D30" s="361" t="s">
        <v>2</v>
      </c>
      <c r="E30" s="365" t="s">
        <v>8</v>
      </c>
      <c r="F30" s="365" t="s">
        <v>8</v>
      </c>
      <c r="G30" s="365" t="s">
        <v>8</v>
      </c>
      <c r="H30" s="365" t="s">
        <v>8</v>
      </c>
      <c r="I30" s="361" t="s">
        <v>2</v>
      </c>
      <c r="J30" s="363" t="s">
        <v>11</v>
      </c>
      <c r="K30" s="364" t="s">
        <v>11</v>
      </c>
      <c r="L30" s="364" t="s">
        <v>11</v>
      </c>
      <c r="M30" s="364" t="s">
        <v>11</v>
      </c>
      <c r="N30" s="361" t="s">
        <v>2</v>
      </c>
      <c r="O30" s="365" t="s">
        <v>8</v>
      </c>
      <c r="P30" s="361" t="s">
        <v>2</v>
      </c>
      <c r="Q30" s="366" t="s">
        <v>9</v>
      </c>
      <c r="R30" s="367" t="s">
        <v>9</v>
      </c>
      <c r="S30" s="367" t="s">
        <v>9</v>
      </c>
      <c r="T30" s="367" t="s">
        <v>9</v>
      </c>
      <c r="U30" s="367" t="s">
        <v>9</v>
      </c>
      <c r="V30" s="369" t="s">
        <v>2</v>
      </c>
      <c r="W30" s="374" t="s">
        <v>2</v>
      </c>
      <c r="X30" s="366" t="s">
        <v>8</v>
      </c>
      <c r="Y30" s="367" t="s">
        <v>8</v>
      </c>
      <c r="Z30" s="367" t="s">
        <v>8</v>
      </c>
      <c r="AA30" s="367" t="s">
        <v>8</v>
      </c>
      <c r="AB30" s="369" t="s">
        <v>2</v>
      </c>
      <c r="AC30" s="367" t="s">
        <v>8</v>
      </c>
      <c r="AD30" s="374" t="s">
        <v>2</v>
      </c>
    </row>
    <row r="31" spans="1:33" ht="13">
      <c r="A31" s="539"/>
      <c r="B31" s="359" t="s">
        <v>333</v>
      </c>
      <c r="C31" s="364" t="s">
        <v>11</v>
      </c>
      <c r="D31" s="364" t="s">
        <v>11</v>
      </c>
      <c r="E31" s="364" t="s">
        <v>11</v>
      </c>
      <c r="F31" s="364" t="s">
        <v>11</v>
      </c>
      <c r="G31" s="361" t="s">
        <v>2</v>
      </c>
      <c r="H31" s="361" t="s">
        <v>2</v>
      </c>
      <c r="I31" s="362" t="s">
        <v>4</v>
      </c>
      <c r="J31" s="416" t="s">
        <v>9</v>
      </c>
      <c r="K31" s="385" t="s">
        <v>9</v>
      </c>
      <c r="L31" s="385" t="s">
        <v>9</v>
      </c>
      <c r="M31" s="385" t="s">
        <v>9</v>
      </c>
      <c r="N31" s="385" t="s">
        <v>9</v>
      </c>
      <c r="O31" s="361" t="s">
        <v>2</v>
      </c>
      <c r="P31" s="361" t="s">
        <v>2</v>
      </c>
      <c r="Q31" s="371" t="s">
        <v>11</v>
      </c>
      <c r="R31" s="369" t="s">
        <v>2</v>
      </c>
      <c r="S31" s="373" t="s">
        <v>11</v>
      </c>
      <c r="T31" s="373" t="s">
        <v>11</v>
      </c>
      <c r="U31" s="367" t="s">
        <v>8</v>
      </c>
      <c r="V31" s="367" t="s">
        <v>9</v>
      </c>
      <c r="W31" s="374" t="s">
        <v>2</v>
      </c>
      <c r="X31" s="366" t="s">
        <v>9</v>
      </c>
      <c r="Y31" s="367" t="s">
        <v>9</v>
      </c>
      <c r="Z31" s="367" t="s">
        <v>9</v>
      </c>
      <c r="AA31" s="367" t="s">
        <v>9</v>
      </c>
      <c r="AB31" s="367" t="s">
        <v>9</v>
      </c>
      <c r="AC31" s="369" t="s">
        <v>2</v>
      </c>
      <c r="AD31" s="374" t="s">
        <v>2</v>
      </c>
    </row>
    <row r="32" spans="1:33" ht="13">
      <c r="A32" s="626"/>
      <c r="B32" s="395" t="s">
        <v>335</v>
      </c>
      <c r="C32" s="417" t="s">
        <v>5</v>
      </c>
      <c r="D32" s="417" t="s">
        <v>5</v>
      </c>
      <c r="E32" s="418" t="s">
        <v>2</v>
      </c>
      <c r="F32" s="417" t="s">
        <v>5</v>
      </c>
      <c r="G32" s="417" t="s">
        <v>5</v>
      </c>
      <c r="H32" s="417" t="s">
        <v>5</v>
      </c>
      <c r="I32" s="418" t="s">
        <v>2</v>
      </c>
      <c r="J32" s="419" t="s">
        <v>2</v>
      </c>
      <c r="K32" s="418" t="s">
        <v>2</v>
      </c>
      <c r="L32" s="420" t="s">
        <v>8</v>
      </c>
      <c r="M32" s="420" t="s">
        <v>8</v>
      </c>
      <c r="N32" s="420" t="s">
        <v>8</v>
      </c>
      <c r="O32" s="421" t="s">
        <v>9</v>
      </c>
      <c r="P32" s="422" t="s">
        <v>4</v>
      </c>
      <c r="Q32" s="371" t="s">
        <v>11</v>
      </c>
      <c r="R32" s="373" t="s">
        <v>11</v>
      </c>
      <c r="S32" s="369" t="s">
        <v>2</v>
      </c>
      <c r="T32" s="369" t="s">
        <v>2</v>
      </c>
      <c r="U32" s="373" t="s">
        <v>11</v>
      </c>
      <c r="V32" s="373" t="s">
        <v>11</v>
      </c>
      <c r="W32" s="370" t="s">
        <v>3</v>
      </c>
      <c r="X32" s="371" t="s">
        <v>11</v>
      </c>
      <c r="Y32" s="369" t="s">
        <v>2</v>
      </c>
      <c r="Z32" s="373" t="s">
        <v>11</v>
      </c>
      <c r="AA32" s="373" t="s">
        <v>11</v>
      </c>
      <c r="AB32" s="373" t="s">
        <v>11</v>
      </c>
      <c r="AC32" s="367" t="s">
        <v>9</v>
      </c>
      <c r="AD32" s="374" t="s">
        <v>2</v>
      </c>
      <c r="AE32" s="396"/>
      <c r="AF32" s="396"/>
      <c r="AG32" s="396"/>
    </row>
    <row r="33" spans="1:23" ht="12.5">
      <c r="A33" s="423"/>
      <c r="J33" s="424"/>
      <c r="Q33" s="424"/>
    </row>
    <row r="34" spans="1:23" ht="12.5">
      <c r="J34" s="424"/>
      <c r="Q34" s="424"/>
    </row>
    <row r="35" spans="1:23" ht="13">
      <c r="A35" s="619" t="s">
        <v>485</v>
      </c>
      <c r="B35" s="425" t="s">
        <v>480</v>
      </c>
      <c r="J35" s="424"/>
      <c r="Q35" s="426"/>
      <c r="R35" s="426"/>
      <c r="S35" s="426"/>
      <c r="T35" s="426"/>
      <c r="U35" s="426"/>
      <c r="V35" s="369" t="s">
        <v>2</v>
      </c>
      <c r="W35" s="370"/>
    </row>
    <row r="36" spans="1:23" ht="13">
      <c r="A36" s="539"/>
      <c r="B36" s="427" t="s">
        <v>402</v>
      </c>
      <c r="J36" s="424"/>
      <c r="V36" s="428" t="s">
        <v>204</v>
      </c>
      <c r="W36" s="370"/>
    </row>
    <row r="37" spans="1:23" ht="13">
      <c r="A37" s="539"/>
      <c r="B37" s="425" t="s">
        <v>482</v>
      </c>
      <c r="J37" s="424"/>
      <c r="V37" s="369" t="s">
        <v>2</v>
      </c>
      <c r="W37" s="374" t="s">
        <v>2</v>
      </c>
    </row>
    <row r="38" spans="1:23" ht="13">
      <c r="A38" s="539"/>
      <c r="B38" s="427" t="s">
        <v>267</v>
      </c>
      <c r="J38" s="424"/>
      <c r="V38" s="429" t="s">
        <v>2</v>
      </c>
      <c r="W38" s="370"/>
    </row>
    <row r="39" spans="1:23" ht="13">
      <c r="A39" s="539"/>
      <c r="B39" s="425" t="s">
        <v>275</v>
      </c>
      <c r="J39" s="424"/>
      <c r="V39" s="429" t="s">
        <v>2</v>
      </c>
      <c r="W39" s="428" t="s">
        <v>204</v>
      </c>
    </row>
    <row r="40" spans="1:23" ht="13">
      <c r="A40" s="539"/>
      <c r="B40" s="427" t="s">
        <v>279</v>
      </c>
      <c r="J40" s="424"/>
      <c r="V40" s="428" t="s">
        <v>201</v>
      </c>
      <c r="W40" s="370"/>
    </row>
    <row r="41" spans="1:23" ht="13">
      <c r="A41" s="539"/>
      <c r="B41" s="425" t="s">
        <v>281</v>
      </c>
      <c r="J41" s="424"/>
      <c r="V41" s="369" t="s">
        <v>2</v>
      </c>
      <c r="W41" s="374" t="s">
        <v>2</v>
      </c>
    </row>
    <row r="42" spans="1:23" ht="13">
      <c r="A42" s="539"/>
      <c r="B42" s="427" t="s">
        <v>289</v>
      </c>
      <c r="J42" s="424"/>
      <c r="V42" s="428" t="s">
        <v>200</v>
      </c>
      <c r="W42" s="430" t="s">
        <v>2</v>
      </c>
    </row>
    <row r="43" spans="1:23" ht="12.5">
      <c r="A43" s="539"/>
      <c r="B43" s="425" t="s">
        <v>296</v>
      </c>
      <c r="J43" s="424"/>
      <c r="V43" s="428" t="s">
        <v>198</v>
      </c>
      <c r="W43" s="428" t="s">
        <v>199</v>
      </c>
    </row>
    <row r="44" spans="1:23" ht="13">
      <c r="A44" s="539"/>
      <c r="B44" s="427" t="s">
        <v>483</v>
      </c>
      <c r="J44" s="424"/>
      <c r="V44" s="369" t="s">
        <v>2</v>
      </c>
      <c r="W44" s="374" t="s">
        <v>2</v>
      </c>
    </row>
    <row r="45" spans="1:23" ht="13">
      <c r="A45" s="539"/>
      <c r="B45" s="425" t="s">
        <v>298</v>
      </c>
      <c r="J45" s="424"/>
      <c r="V45" s="428" t="s">
        <v>196</v>
      </c>
      <c r="W45" s="430" t="s">
        <v>2</v>
      </c>
    </row>
    <row r="46" spans="1:23" ht="12.5">
      <c r="A46" s="539"/>
      <c r="B46" s="427" t="s">
        <v>311</v>
      </c>
      <c r="J46" s="424"/>
      <c r="V46" s="428" t="s">
        <v>198</v>
      </c>
      <c r="W46" s="428" t="s">
        <v>202</v>
      </c>
    </row>
    <row r="47" spans="1:23" ht="13">
      <c r="A47" s="539"/>
      <c r="B47" s="425" t="s">
        <v>302</v>
      </c>
      <c r="J47" s="424"/>
      <c r="V47" s="369" t="s">
        <v>2</v>
      </c>
      <c r="W47" s="374" t="s">
        <v>2</v>
      </c>
    </row>
    <row r="48" spans="1:23" ht="13">
      <c r="A48" s="539"/>
      <c r="B48" s="427" t="s">
        <v>304</v>
      </c>
      <c r="J48" s="424"/>
      <c r="V48" s="429" t="s">
        <v>2</v>
      </c>
      <c r="W48" s="430" t="s">
        <v>2</v>
      </c>
    </row>
    <row r="49" spans="1:23" ht="12.5">
      <c r="A49" s="431"/>
      <c r="B49" s="431"/>
      <c r="J49" s="424"/>
      <c r="V49" s="431"/>
      <c r="W49" s="431"/>
    </row>
    <row r="50" spans="1:23" ht="12.5">
      <c r="A50" s="619" t="s">
        <v>486</v>
      </c>
      <c r="B50" s="432"/>
      <c r="J50" s="424"/>
      <c r="V50" s="431"/>
      <c r="W50" s="431"/>
    </row>
    <row r="51" spans="1:23" ht="13">
      <c r="A51" s="539"/>
      <c r="B51" s="427" t="s">
        <v>325</v>
      </c>
      <c r="J51" s="424"/>
      <c r="V51" s="428" t="s">
        <v>196</v>
      </c>
      <c r="W51" s="374" t="s">
        <v>2</v>
      </c>
    </row>
    <row r="52" spans="1:23" ht="13">
      <c r="A52" s="539"/>
      <c r="B52" s="425" t="s">
        <v>326</v>
      </c>
      <c r="J52" s="424"/>
      <c r="V52" s="369" t="s">
        <v>2</v>
      </c>
      <c r="W52" s="430" t="s">
        <v>2</v>
      </c>
    </row>
    <row r="53" spans="1:23" ht="13">
      <c r="A53" s="539"/>
      <c r="B53" s="427" t="s">
        <v>328</v>
      </c>
      <c r="J53" s="424"/>
      <c r="V53" s="428" t="s">
        <v>200</v>
      </c>
      <c r="W53" s="430" t="s">
        <v>2</v>
      </c>
    </row>
    <row r="54" spans="1:23" ht="13">
      <c r="A54" s="539"/>
      <c r="B54" s="425" t="s">
        <v>332</v>
      </c>
      <c r="J54" s="424"/>
      <c r="V54" s="369" t="s">
        <v>2</v>
      </c>
      <c r="W54" s="430" t="s">
        <v>2</v>
      </c>
    </row>
    <row r="55" spans="1:23" ht="13">
      <c r="A55" s="539"/>
      <c r="B55" s="427" t="s">
        <v>333</v>
      </c>
      <c r="J55" s="424"/>
      <c r="V55" s="428" t="s">
        <v>198</v>
      </c>
      <c r="W55" s="430" t="s">
        <v>2</v>
      </c>
    </row>
    <row r="56" spans="1:23" ht="13">
      <c r="A56" s="539"/>
      <c r="B56" s="425" t="s">
        <v>335</v>
      </c>
      <c r="J56" s="424"/>
      <c r="V56" s="428" t="s">
        <v>203</v>
      </c>
      <c r="W56" s="370"/>
    </row>
    <row r="57" spans="1:23" ht="12.5">
      <c r="J57" s="424"/>
    </row>
    <row r="58" spans="1:23" ht="12.5">
      <c r="J58" s="424"/>
    </row>
    <row r="59" spans="1:23" ht="12.5">
      <c r="J59" s="424"/>
    </row>
    <row r="60" spans="1:23" ht="12.5">
      <c r="J60" s="424"/>
    </row>
    <row r="61" spans="1:23" ht="12.5">
      <c r="J61" s="424"/>
    </row>
    <row r="62" spans="1:23" ht="12.5">
      <c r="J62" s="424"/>
    </row>
    <row r="63" spans="1:23" ht="12.5">
      <c r="J63" s="424"/>
    </row>
    <row r="64" spans="1:23" ht="12.5">
      <c r="J64" s="424"/>
      <c r="Q64" s="424"/>
    </row>
    <row r="65" spans="10:17" ht="12.5">
      <c r="J65" s="424"/>
      <c r="Q65" s="424"/>
    </row>
    <row r="66" spans="10:17" ht="12.5">
      <c r="J66" s="424"/>
      <c r="Q66" s="424"/>
    </row>
    <row r="67" spans="10:17" ht="12.5">
      <c r="J67" s="424"/>
      <c r="Q67" s="424"/>
    </row>
    <row r="68" spans="10:17" ht="12.5">
      <c r="J68" s="424"/>
      <c r="Q68" s="424"/>
    </row>
    <row r="69" spans="10:17" ht="12.5">
      <c r="J69" s="424"/>
      <c r="Q69" s="424"/>
    </row>
    <row r="70" spans="10:17" ht="12.5">
      <c r="J70" s="424"/>
      <c r="Q70" s="424"/>
    </row>
    <row r="71" spans="10:17" ht="12.5">
      <c r="J71" s="424"/>
      <c r="Q71" s="424"/>
    </row>
    <row r="72" spans="10:17" ht="12.5">
      <c r="J72" s="424"/>
      <c r="Q72" s="424"/>
    </row>
    <row r="73" spans="10:17" ht="12.5">
      <c r="J73" s="424"/>
      <c r="Q73" s="424"/>
    </row>
    <row r="74" spans="10:17" ht="12.5">
      <c r="J74" s="424"/>
      <c r="Q74" s="424"/>
    </row>
    <row r="75" spans="10:17" ht="12.5">
      <c r="J75" s="424"/>
      <c r="Q75" s="424"/>
    </row>
    <row r="76" spans="10:17" ht="12.5">
      <c r="J76" s="424"/>
      <c r="Q76" s="424"/>
    </row>
    <row r="77" spans="10:17" ht="12.5">
      <c r="J77" s="424"/>
      <c r="Q77" s="424"/>
    </row>
    <row r="78" spans="10:17" ht="12.5">
      <c r="J78" s="424"/>
      <c r="Q78" s="424"/>
    </row>
    <row r="79" spans="10:17" ht="12.5">
      <c r="J79" s="424"/>
      <c r="Q79" s="424"/>
    </row>
    <row r="80" spans="10:17" ht="12.5">
      <c r="J80" s="424"/>
      <c r="Q80" s="424"/>
    </row>
    <row r="81" spans="10:17" ht="12.5">
      <c r="J81" s="424"/>
      <c r="Q81" s="424"/>
    </row>
    <row r="82" spans="10:17" ht="12.5">
      <c r="J82" s="424"/>
      <c r="Q82" s="424"/>
    </row>
    <row r="83" spans="10:17" ht="12.5">
      <c r="J83" s="424"/>
      <c r="Q83" s="424"/>
    </row>
    <row r="84" spans="10:17" ht="12.5">
      <c r="J84" s="424"/>
      <c r="Q84" s="424"/>
    </row>
    <row r="85" spans="10:17" ht="12.5">
      <c r="J85" s="424"/>
      <c r="Q85" s="424"/>
    </row>
    <row r="86" spans="10:17" ht="12.5">
      <c r="J86" s="424"/>
      <c r="Q86" s="424"/>
    </row>
    <row r="87" spans="10:17" ht="12.5">
      <c r="J87" s="424"/>
      <c r="Q87" s="424"/>
    </row>
    <row r="88" spans="10:17" ht="12.5">
      <c r="J88" s="424"/>
      <c r="Q88" s="424"/>
    </row>
    <row r="89" spans="10:17" ht="12.5">
      <c r="J89" s="424"/>
      <c r="Q89" s="424"/>
    </row>
    <row r="90" spans="10:17" ht="12.5">
      <c r="J90" s="424"/>
      <c r="Q90" s="424"/>
    </row>
    <row r="91" spans="10:17" ht="12.5">
      <c r="J91" s="424"/>
      <c r="Q91" s="424"/>
    </row>
    <row r="92" spans="10:17" ht="12.5">
      <c r="J92" s="424"/>
      <c r="Q92" s="424"/>
    </row>
    <row r="93" spans="10:17" ht="12.5">
      <c r="J93" s="424"/>
      <c r="Q93" s="424"/>
    </row>
    <row r="94" spans="10:17" ht="12.5">
      <c r="J94" s="424"/>
      <c r="Q94" s="424"/>
    </row>
    <row r="95" spans="10:17" ht="12.5">
      <c r="J95" s="424"/>
      <c r="Q95" s="424"/>
    </row>
    <row r="96" spans="10:17" ht="12.5">
      <c r="J96" s="424"/>
      <c r="Q96" s="424"/>
    </row>
    <row r="97" spans="10:17" ht="12.5">
      <c r="J97" s="424"/>
      <c r="Q97" s="424"/>
    </row>
    <row r="98" spans="10:17" ht="12.5">
      <c r="J98" s="424"/>
      <c r="Q98" s="424"/>
    </row>
    <row r="99" spans="10:17" ht="12.5">
      <c r="J99" s="424"/>
      <c r="Q99" s="424"/>
    </row>
    <row r="100" spans="10:17" ht="12.5">
      <c r="J100" s="424"/>
      <c r="Q100" s="424"/>
    </row>
    <row r="101" spans="10:17" ht="12.5">
      <c r="J101" s="424"/>
      <c r="Q101" s="424"/>
    </row>
    <row r="102" spans="10:17" ht="12.5">
      <c r="J102" s="424"/>
      <c r="Q102" s="424"/>
    </row>
    <row r="103" spans="10:17" ht="12.5">
      <c r="J103" s="424"/>
      <c r="Q103" s="424"/>
    </row>
    <row r="104" spans="10:17" ht="12.5">
      <c r="J104" s="424"/>
      <c r="Q104" s="424"/>
    </row>
    <row r="105" spans="10:17" ht="12.5">
      <c r="J105" s="424"/>
      <c r="Q105" s="424"/>
    </row>
    <row r="106" spans="10:17" ht="12.5">
      <c r="J106" s="424"/>
      <c r="Q106" s="424"/>
    </row>
    <row r="107" spans="10:17" ht="12.5">
      <c r="J107" s="424"/>
      <c r="Q107" s="424"/>
    </row>
    <row r="108" spans="10:17" ht="12.5">
      <c r="J108" s="424"/>
      <c r="Q108" s="424"/>
    </row>
    <row r="109" spans="10:17" ht="12.5">
      <c r="J109" s="424"/>
      <c r="Q109" s="424"/>
    </row>
    <row r="110" spans="10:17" ht="12.5">
      <c r="J110" s="424"/>
      <c r="Q110" s="424"/>
    </row>
    <row r="111" spans="10:17" ht="12.5">
      <c r="J111" s="424"/>
      <c r="Q111" s="424"/>
    </row>
    <row r="112" spans="10:17" ht="12.5">
      <c r="J112" s="424"/>
      <c r="Q112" s="424"/>
    </row>
    <row r="113" spans="10:17" ht="12.5">
      <c r="J113" s="424"/>
      <c r="Q113" s="424"/>
    </row>
    <row r="114" spans="10:17" ht="12.5">
      <c r="J114" s="424"/>
      <c r="Q114" s="424"/>
    </row>
    <row r="115" spans="10:17" ht="12.5">
      <c r="J115" s="424"/>
      <c r="Q115" s="424"/>
    </row>
    <row r="116" spans="10:17" ht="12.5">
      <c r="J116" s="424"/>
      <c r="Q116" s="424"/>
    </row>
    <row r="117" spans="10:17" ht="12.5">
      <c r="J117" s="424"/>
      <c r="Q117" s="424"/>
    </row>
    <row r="118" spans="10:17" ht="12.5">
      <c r="J118" s="424"/>
      <c r="Q118" s="424"/>
    </row>
    <row r="119" spans="10:17" ht="12.5">
      <c r="J119" s="424"/>
      <c r="Q119" s="424"/>
    </row>
    <row r="120" spans="10:17" ht="12.5">
      <c r="J120" s="424"/>
      <c r="Q120" s="424"/>
    </row>
    <row r="121" spans="10:17" ht="12.5">
      <c r="J121" s="424"/>
      <c r="Q121" s="424"/>
    </row>
    <row r="122" spans="10:17" ht="12.5">
      <c r="J122" s="424"/>
      <c r="Q122" s="424"/>
    </row>
    <row r="123" spans="10:17" ht="12.5">
      <c r="J123" s="424"/>
      <c r="Q123" s="424"/>
    </row>
    <row r="124" spans="10:17" ht="12.5">
      <c r="J124" s="424"/>
      <c r="Q124" s="424"/>
    </row>
    <row r="125" spans="10:17" ht="12.5">
      <c r="J125" s="424"/>
      <c r="Q125" s="424"/>
    </row>
    <row r="126" spans="10:17" ht="12.5">
      <c r="J126" s="424"/>
      <c r="Q126" s="424"/>
    </row>
    <row r="127" spans="10:17" ht="12.5">
      <c r="J127" s="424"/>
      <c r="Q127" s="424"/>
    </row>
    <row r="128" spans="10:17" ht="12.5">
      <c r="J128" s="424"/>
      <c r="Q128" s="424"/>
    </row>
    <row r="129" spans="10:17" ht="12.5">
      <c r="J129" s="424"/>
      <c r="Q129" s="424"/>
    </row>
    <row r="130" spans="10:17" ht="12.5">
      <c r="J130" s="424"/>
      <c r="Q130" s="424"/>
    </row>
    <row r="131" spans="10:17" ht="12.5">
      <c r="J131" s="424"/>
      <c r="Q131" s="424"/>
    </row>
    <row r="132" spans="10:17" ht="12.5">
      <c r="J132" s="424"/>
      <c r="Q132" s="424"/>
    </row>
    <row r="133" spans="10:17" ht="12.5">
      <c r="J133" s="424"/>
      <c r="Q133" s="424"/>
    </row>
    <row r="134" spans="10:17" ht="12.5">
      <c r="J134" s="424"/>
      <c r="Q134" s="424"/>
    </row>
    <row r="135" spans="10:17" ht="12.5">
      <c r="J135" s="424"/>
      <c r="Q135" s="424"/>
    </row>
    <row r="136" spans="10:17" ht="12.5">
      <c r="J136" s="424"/>
      <c r="Q136" s="424"/>
    </row>
    <row r="137" spans="10:17" ht="12.5">
      <c r="J137" s="424"/>
      <c r="Q137" s="424"/>
    </row>
    <row r="138" spans="10:17" ht="12.5">
      <c r="J138" s="424"/>
      <c r="Q138" s="424"/>
    </row>
    <row r="139" spans="10:17" ht="12.5">
      <c r="J139" s="424"/>
      <c r="Q139" s="424"/>
    </row>
    <row r="140" spans="10:17" ht="12.5">
      <c r="J140" s="424"/>
      <c r="Q140" s="424"/>
    </row>
    <row r="141" spans="10:17" ht="12.5">
      <c r="J141" s="424"/>
      <c r="Q141" s="424"/>
    </row>
    <row r="142" spans="10:17" ht="12.5">
      <c r="J142" s="424"/>
      <c r="Q142" s="424"/>
    </row>
    <row r="143" spans="10:17" ht="12.5">
      <c r="J143" s="424"/>
      <c r="Q143" s="424"/>
    </row>
    <row r="144" spans="10:17" ht="12.5">
      <c r="J144" s="424"/>
      <c r="Q144" s="424"/>
    </row>
    <row r="145" spans="10:17" ht="12.5">
      <c r="J145" s="424"/>
      <c r="Q145" s="424"/>
    </row>
    <row r="146" spans="10:17" ht="12.5">
      <c r="J146" s="424"/>
      <c r="Q146" s="424"/>
    </row>
    <row r="147" spans="10:17" ht="12.5">
      <c r="J147" s="424"/>
      <c r="Q147" s="424"/>
    </row>
    <row r="148" spans="10:17" ht="12.5">
      <c r="J148" s="424"/>
      <c r="Q148" s="424"/>
    </row>
    <row r="149" spans="10:17" ht="12.5">
      <c r="J149" s="424"/>
      <c r="Q149" s="424"/>
    </row>
    <row r="150" spans="10:17" ht="12.5">
      <c r="J150" s="424"/>
      <c r="Q150" s="424"/>
    </row>
    <row r="151" spans="10:17" ht="12.5">
      <c r="J151" s="424"/>
      <c r="Q151" s="424"/>
    </row>
    <row r="152" spans="10:17" ht="12.5">
      <c r="J152" s="424"/>
      <c r="Q152" s="424"/>
    </row>
    <row r="153" spans="10:17" ht="12.5">
      <c r="J153" s="424"/>
      <c r="Q153" s="424"/>
    </row>
    <row r="154" spans="10:17" ht="12.5">
      <c r="J154" s="424"/>
      <c r="Q154" s="424"/>
    </row>
    <row r="155" spans="10:17" ht="12.5">
      <c r="J155" s="424"/>
      <c r="Q155" s="424"/>
    </row>
    <row r="156" spans="10:17" ht="12.5">
      <c r="J156" s="424"/>
      <c r="Q156" s="424"/>
    </row>
    <row r="157" spans="10:17" ht="12.5">
      <c r="J157" s="424"/>
      <c r="Q157" s="424"/>
    </row>
    <row r="158" spans="10:17" ht="12.5">
      <c r="J158" s="424"/>
      <c r="Q158" s="424"/>
    </row>
    <row r="159" spans="10:17" ht="12.5">
      <c r="J159" s="424"/>
      <c r="Q159" s="424"/>
    </row>
    <row r="160" spans="10:17" ht="12.5">
      <c r="J160" s="424"/>
      <c r="Q160" s="424"/>
    </row>
    <row r="161" spans="10:17" ht="12.5">
      <c r="J161" s="424"/>
      <c r="Q161" s="424"/>
    </row>
    <row r="162" spans="10:17" ht="12.5">
      <c r="J162" s="424"/>
      <c r="Q162" s="424"/>
    </row>
    <row r="163" spans="10:17" ht="12.5">
      <c r="J163" s="424"/>
      <c r="Q163" s="424"/>
    </row>
    <row r="164" spans="10:17" ht="12.5">
      <c r="J164" s="424"/>
      <c r="Q164" s="424"/>
    </row>
    <row r="165" spans="10:17" ht="12.5">
      <c r="J165" s="424"/>
      <c r="Q165" s="424"/>
    </row>
    <row r="166" spans="10:17" ht="12.5">
      <c r="J166" s="424"/>
      <c r="Q166" s="424"/>
    </row>
    <row r="167" spans="10:17" ht="12.5">
      <c r="J167" s="424"/>
      <c r="Q167" s="424"/>
    </row>
    <row r="168" spans="10:17" ht="12.5">
      <c r="J168" s="424"/>
      <c r="Q168" s="424"/>
    </row>
    <row r="169" spans="10:17" ht="12.5">
      <c r="J169" s="424"/>
      <c r="Q169" s="424"/>
    </row>
    <row r="170" spans="10:17" ht="12.5">
      <c r="J170" s="424"/>
      <c r="Q170" s="424"/>
    </row>
    <row r="171" spans="10:17" ht="12.5">
      <c r="J171" s="424"/>
      <c r="Q171" s="424"/>
    </row>
    <row r="172" spans="10:17" ht="12.5">
      <c r="J172" s="424"/>
      <c r="Q172" s="424"/>
    </row>
    <row r="173" spans="10:17" ht="12.5">
      <c r="J173" s="424"/>
      <c r="Q173" s="424"/>
    </row>
    <row r="174" spans="10:17" ht="12.5">
      <c r="J174" s="424"/>
      <c r="Q174" s="424"/>
    </row>
    <row r="175" spans="10:17" ht="12.5">
      <c r="J175" s="424"/>
      <c r="Q175" s="424"/>
    </row>
    <row r="176" spans="10:17" ht="12.5">
      <c r="J176" s="424"/>
      <c r="Q176" s="424"/>
    </row>
    <row r="177" spans="10:17" ht="12.5">
      <c r="J177" s="424"/>
      <c r="Q177" s="424"/>
    </row>
    <row r="178" spans="10:17" ht="12.5">
      <c r="J178" s="424"/>
      <c r="Q178" s="424"/>
    </row>
    <row r="179" spans="10:17" ht="12.5">
      <c r="J179" s="424"/>
      <c r="Q179" s="424"/>
    </row>
    <row r="180" spans="10:17" ht="12.5">
      <c r="J180" s="424"/>
      <c r="Q180" s="424"/>
    </row>
    <row r="181" spans="10:17" ht="12.5">
      <c r="J181" s="424"/>
      <c r="Q181" s="424"/>
    </row>
    <row r="182" spans="10:17" ht="12.5">
      <c r="J182" s="424"/>
      <c r="Q182" s="424"/>
    </row>
    <row r="183" spans="10:17" ht="12.5">
      <c r="J183" s="424"/>
      <c r="Q183" s="424"/>
    </row>
    <row r="184" spans="10:17" ht="12.5">
      <c r="J184" s="424"/>
      <c r="Q184" s="424"/>
    </row>
    <row r="185" spans="10:17" ht="12.5">
      <c r="J185" s="424"/>
      <c r="Q185" s="424"/>
    </row>
    <row r="186" spans="10:17" ht="12.5">
      <c r="J186" s="424"/>
      <c r="Q186" s="424"/>
    </row>
    <row r="187" spans="10:17" ht="12.5">
      <c r="J187" s="424"/>
      <c r="Q187" s="424"/>
    </row>
    <row r="188" spans="10:17" ht="12.5">
      <c r="J188" s="424"/>
      <c r="Q188" s="424"/>
    </row>
    <row r="189" spans="10:17" ht="12.5">
      <c r="J189" s="424"/>
      <c r="Q189" s="424"/>
    </row>
    <row r="190" spans="10:17" ht="12.5">
      <c r="J190" s="424"/>
      <c r="Q190" s="424"/>
    </row>
    <row r="191" spans="10:17" ht="12.5">
      <c r="J191" s="424"/>
      <c r="Q191" s="424"/>
    </row>
    <row r="192" spans="10:17" ht="12.5">
      <c r="J192" s="424"/>
      <c r="Q192" s="424"/>
    </row>
    <row r="193" spans="10:17" ht="12.5">
      <c r="J193" s="424"/>
      <c r="Q193" s="424"/>
    </row>
    <row r="194" spans="10:17" ht="12.5">
      <c r="J194" s="424"/>
      <c r="Q194" s="424"/>
    </row>
    <row r="195" spans="10:17" ht="12.5">
      <c r="J195" s="424"/>
      <c r="Q195" s="424"/>
    </row>
    <row r="196" spans="10:17" ht="12.5">
      <c r="J196" s="424"/>
      <c r="Q196" s="424"/>
    </row>
    <row r="197" spans="10:17" ht="12.5">
      <c r="J197" s="424"/>
      <c r="Q197" s="424"/>
    </row>
    <row r="198" spans="10:17" ht="12.5">
      <c r="J198" s="424"/>
      <c r="Q198" s="424"/>
    </row>
    <row r="199" spans="10:17" ht="12.5">
      <c r="J199" s="424"/>
      <c r="Q199" s="424"/>
    </row>
    <row r="200" spans="10:17" ht="12.5">
      <c r="J200" s="424"/>
      <c r="Q200" s="424"/>
    </row>
    <row r="201" spans="10:17" ht="12.5">
      <c r="J201" s="424"/>
      <c r="Q201" s="424"/>
    </row>
    <row r="202" spans="10:17" ht="12.5">
      <c r="J202" s="424"/>
      <c r="Q202" s="424"/>
    </row>
    <row r="203" spans="10:17" ht="12.5">
      <c r="J203" s="424"/>
      <c r="Q203" s="424"/>
    </row>
    <row r="204" spans="10:17" ht="12.5">
      <c r="J204" s="424"/>
      <c r="Q204" s="424"/>
    </row>
    <row r="205" spans="10:17" ht="12.5">
      <c r="J205" s="424"/>
      <c r="Q205" s="424"/>
    </row>
    <row r="206" spans="10:17" ht="12.5">
      <c r="J206" s="424"/>
      <c r="Q206" s="424"/>
    </row>
    <row r="207" spans="10:17" ht="12.5">
      <c r="J207" s="424"/>
      <c r="Q207" s="424"/>
    </row>
    <row r="208" spans="10:17" ht="12.5">
      <c r="J208" s="424"/>
      <c r="Q208" s="424"/>
    </row>
    <row r="209" spans="10:17" ht="12.5">
      <c r="J209" s="424"/>
      <c r="Q209" s="424"/>
    </row>
    <row r="210" spans="10:17" ht="12.5">
      <c r="J210" s="424"/>
      <c r="Q210" s="424"/>
    </row>
    <row r="211" spans="10:17" ht="12.5">
      <c r="J211" s="424"/>
      <c r="Q211" s="424"/>
    </row>
    <row r="212" spans="10:17" ht="12.5">
      <c r="J212" s="424"/>
      <c r="Q212" s="424"/>
    </row>
    <row r="213" spans="10:17" ht="12.5">
      <c r="J213" s="424"/>
      <c r="Q213" s="424"/>
    </row>
    <row r="214" spans="10:17" ht="12.5">
      <c r="J214" s="424"/>
      <c r="Q214" s="424"/>
    </row>
    <row r="215" spans="10:17" ht="12.5">
      <c r="J215" s="424"/>
      <c r="Q215" s="424"/>
    </row>
    <row r="216" spans="10:17" ht="12.5">
      <c r="J216" s="424"/>
      <c r="Q216" s="424"/>
    </row>
    <row r="217" spans="10:17" ht="12.5">
      <c r="J217" s="424"/>
      <c r="Q217" s="424"/>
    </row>
    <row r="218" spans="10:17" ht="12.5">
      <c r="J218" s="424"/>
      <c r="Q218" s="424"/>
    </row>
    <row r="219" spans="10:17" ht="12.5">
      <c r="J219" s="424"/>
      <c r="Q219" s="424"/>
    </row>
    <row r="220" spans="10:17" ht="12.5">
      <c r="J220" s="424"/>
      <c r="Q220" s="424"/>
    </row>
    <row r="221" spans="10:17" ht="12.5">
      <c r="J221" s="424"/>
      <c r="Q221" s="424"/>
    </row>
    <row r="222" spans="10:17" ht="12.5">
      <c r="J222" s="424"/>
      <c r="Q222" s="424"/>
    </row>
    <row r="223" spans="10:17" ht="12.5">
      <c r="J223" s="424"/>
      <c r="Q223" s="424"/>
    </row>
    <row r="224" spans="10:17" ht="12.5">
      <c r="J224" s="424"/>
      <c r="Q224" s="424"/>
    </row>
    <row r="225" spans="10:17" ht="12.5">
      <c r="J225" s="424"/>
      <c r="Q225" s="424"/>
    </row>
    <row r="226" spans="10:17" ht="12.5">
      <c r="J226" s="424"/>
      <c r="Q226" s="424"/>
    </row>
    <row r="227" spans="10:17" ht="12.5">
      <c r="J227" s="424"/>
      <c r="Q227" s="424"/>
    </row>
    <row r="228" spans="10:17" ht="12.5">
      <c r="J228" s="424"/>
      <c r="Q228" s="424"/>
    </row>
    <row r="229" spans="10:17" ht="12.5">
      <c r="J229" s="424"/>
      <c r="Q229" s="424"/>
    </row>
    <row r="230" spans="10:17" ht="12.5">
      <c r="J230" s="424"/>
      <c r="Q230" s="424"/>
    </row>
    <row r="231" spans="10:17" ht="12.5">
      <c r="J231" s="424"/>
      <c r="Q231" s="424"/>
    </row>
    <row r="232" spans="10:17" ht="12.5">
      <c r="J232" s="424"/>
      <c r="Q232" s="424"/>
    </row>
    <row r="233" spans="10:17" ht="12.5">
      <c r="J233" s="424"/>
      <c r="Q233" s="424"/>
    </row>
    <row r="234" spans="10:17" ht="12.5">
      <c r="J234" s="424"/>
      <c r="Q234" s="424"/>
    </row>
    <row r="235" spans="10:17" ht="12.5">
      <c r="J235" s="424"/>
      <c r="Q235" s="424"/>
    </row>
    <row r="236" spans="10:17" ht="12.5">
      <c r="J236" s="424"/>
      <c r="Q236" s="424"/>
    </row>
    <row r="237" spans="10:17" ht="12.5">
      <c r="J237" s="424"/>
      <c r="Q237" s="424"/>
    </row>
    <row r="238" spans="10:17" ht="12.5">
      <c r="J238" s="424"/>
      <c r="Q238" s="424"/>
    </row>
    <row r="239" spans="10:17" ht="12.5">
      <c r="J239" s="424"/>
      <c r="Q239" s="424"/>
    </row>
    <row r="240" spans="10:17" ht="12.5">
      <c r="J240" s="424"/>
      <c r="Q240" s="424"/>
    </row>
    <row r="241" spans="10:17" ht="12.5">
      <c r="J241" s="424"/>
      <c r="Q241" s="424"/>
    </row>
    <row r="242" spans="10:17" ht="12.5">
      <c r="J242" s="424"/>
      <c r="Q242" s="424"/>
    </row>
    <row r="243" spans="10:17" ht="12.5">
      <c r="J243" s="424"/>
      <c r="Q243" s="424"/>
    </row>
    <row r="244" spans="10:17" ht="12.5">
      <c r="J244" s="424"/>
      <c r="Q244" s="424"/>
    </row>
    <row r="245" spans="10:17" ht="12.5">
      <c r="J245" s="424"/>
      <c r="Q245" s="424"/>
    </row>
    <row r="246" spans="10:17" ht="12.5">
      <c r="J246" s="424"/>
      <c r="Q246" s="424"/>
    </row>
    <row r="247" spans="10:17" ht="12.5">
      <c r="J247" s="424"/>
      <c r="Q247" s="424"/>
    </row>
    <row r="248" spans="10:17" ht="12.5">
      <c r="J248" s="424"/>
      <c r="Q248" s="424"/>
    </row>
    <row r="249" spans="10:17" ht="12.5">
      <c r="J249" s="424"/>
      <c r="Q249" s="424"/>
    </row>
    <row r="250" spans="10:17" ht="12.5">
      <c r="J250" s="424"/>
      <c r="Q250" s="424"/>
    </row>
    <row r="251" spans="10:17" ht="12.5">
      <c r="J251" s="424"/>
      <c r="Q251" s="424"/>
    </row>
    <row r="252" spans="10:17" ht="12.5">
      <c r="J252" s="424"/>
      <c r="Q252" s="424"/>
    </row>
    <row r="253" spans="10:17" ht="12.5">
      <c r="J253" s="424"/>
      <c r="Q253" s="424"/>
    </row>
    <row r="254" spans="10:17" ht="12.5">
      <c r="J254" s="424"/>
      <c r="Q254" s="424"/>
    </row>
    <row r="255" spans="10:17" ht="12.5">
      <c r="J255" s="424"/>
      <c r="Q255" s="424"/>
    </row>
    <row r="256" spans="10:17" ht="12.5">
      <c r="J256" s="424"/>
      <c r="Q256" s="424"/>
    </row>
    <row r="257" spans="10:17" ht="12.5">
      <c r="J257" s="424"/>
      <c r="Q257" s="424"/>
    </row>
    <row r="258" spans="10:17" ht="12.5">
      <c r="J258" s="424"/>
      <c r="Q258" s="424"/>
    </row>
    <row r="259" spans="10:17" ht="12.5">
      <c r="J259" s="424"/>
      <c r="Q259" s="424"/>
    </row>
    <row r="260" spans="10:17" ht="12.5">
      <c r="J260" s="424"/>
      <c r="Q260" s="424"/>
    </row>
    <row r="261" spans="10:17" ht="12.5">
      <c r="J261" s="424"/>
      <c r="Q261" s="424"/>
    </row>
    <row r="262" spans="10:17" ht="12.5">
      <c r="J262" s="424"/>
      <c r="Q262" s="424"/>
    </row>
    <row r="263" spans="10:17" ht="12.5">
      <c r="J263" s="424"/>
      <c r="Q263" s="424"/>
    </row>
    <row r="264" spans="10:17" ht="12.5">
      <c r="J264" s="424"/>
      <c r="Q264" s="424"/>
    </row>
    <row r="265" spans="10:17" ht="12.5">
      <c r="J265" s="424"/>
      <c r="Q265" s="424"/>
    </row>
    <row r="266" spans="10:17" ht="12.5">
      <c r="J266" s="424"/>
      <c r="Q266" s="424"/>
    </row>
    <row r="267" spans="10:17" ht="12.5">
      <c r="J267" s="424"/>
      <c r="Q267" s="424"/>
    </row>
    <row r="268" spans="10:17" ht="12.5">
      <c r="J268" s="424"/>
      <c r="Q268" s="424"/>
    </row>
    <row r="269" spans="10:17" ht="12.5">
      <c r="J269" s="424"/>
      <c r="Q269" s="424"/>
    </row>
    <row r="270" spans="10:17" ht="12.5">
      <c r="J270" s="424"/>
      <c r="Q270" s="424"/>
    </row>
    <row r="271" spans="10:17" ht="12.5">
      <c r="J271" s="424"/>
      <c r="Q271" s="424"/>
    </row>
    <row r="272" spans="10:17" ht="12.5">
      <c r="J272" s="424"/>
      <c r="Q272" s="424"/>
    </row>
    <row r="273" spans="10:17" ht="12.5">
      <c r="J273" s="424"/>
      <c r="Q273" s="424"/>
    </row>
    <row r="274" spans="10:17" ht="12.5">
      <c r="J274" s="424"/>
      <c r="Q274" s="424"/>
    </row>
    <row r="275" spans="10:17" ht="12.5">
      <c r="J275" s="424"/>
      <c r="Q275" s="424"/>
    </row>
    <row r="276" spans="10:17" ht="12.5">
      <c r="J276" s="424"/>
      <c r="Q276" s="424"/>
    </row>
    <row r="277" spans="10:17" ht="12.5">
      <c r="J277" s="424"/>
      <c r="Q277" s="424"/>
    </row>
    <row r="278" spans="10:17" ht="12.5">
      <c r="J278" s="424"/>
      <c r="Q278" s="424"/>
    </row>
    <row r="279" spans="10:17" ht="12.5">
      <c r="J279" s="424"/>
      <c r="Q279" s="424"/>
    </row>
    <row r="280" spans="10:17" ht="12.5">
      <c r="J280" s="424"/>
      <c r="Q280" s="424"/>
    </row>
    <row r="281" spans="10:17" ht="12.5">
      <c r="J281" s="424"/>
      <c r="Q281" s="424"/>
    </row>
    <row r="282" spans="10:17" ht="12.5">
      <c r="J282" s="424"/>
      <c r="Q282" s="424"/>
    </row>
    <row r="283" spans="10:17" ht="12.5">
      <c r="J283" s="424"/>
      <c r="Q283" s="424"/>
    </row>
    <row r="284" spans="10:17" ht="12.5">
      <c r="J284" s="424"/>
      <c r="Q284" s="424"/>
    </row>
    <row r="285" spans="10:17" ht="12.5">
      <c r="J285" s="424"/>
      <c r="Q285" s="424"/>
    </row>
    <row r="286" spans="10:17" ht="12.5">
      <c r="J286" s="424"/>
      <c r="Q286" s="424"/>
    </row>
    <row r="287" spans="10:17" ht="12.5">
      <c r="J287" s="424"/>
      <c r="Q287" s="424"/>
    </row>
    <row r="288" spans="10:17" ht="12.5">
      <c r="J288" s="424"/>
      <c r="Q288" s="424"/>
    </row>
    <row r="289" spans="10:17" ht="12.5">
      <c r="J289" s="424"/>
      <c r="Q289" s="424"/>
    </row>
    <row r="290" spans="10:17" ht="12.5">
      <c r="J290" s="424"/>
      <c r="Q290" s="424"/>
    </row>
    <row r="291" spans="10:17" ht="12.5">
      <c r="J291" s="424"/>
      <c r="Q291" s="424"/>
    </row>
    <row r="292" spans="10:17" ht="12.5">
      <c r="J292" s="424"/>
      <c r="Q292" s="424"/>
    </row>
    <row r="293" spans="10:17" ht="12.5">
      <c r="J293" s="424"/>
      <c r="Q293" s="424"/>
    </row>
    <row r="294" spans="10:17" ht="12.5">
      <c r="J294" s="424"/>
      <c r="Q294" s="424"/>
    </row>
    <row r="295" spans="10:17" ht="12.5">
      <c r="J295" s="424"/>
      <c r="Q295" s="424"/>
    </row>
    <row r="296" spans="10:17" ht="12.5">
      <c r="J296" s="424"/>
      <c r="Q296" s="424"/>
    </row>
    <row r="297" spans="10:17" ht="12.5">
      <c r="J297" s="424"/>
      <c r="Q297" s="424"/>
    </row>
    <row r="298" spans="10:17" ht="12.5">
      <c r="J298" s="424"/>
      <c r="Q298" s="424"/>
    </row>
    <row r="299" spans="10:17" ht="12.5">
      <c r="J299" s="424"/>
      <c r="Q299" s="424"/>
    </row>
    <row r="300" spans="10:17" ht="12.5">
      <c r="J300" s="424"/>
      <c r="Q300" s="424"/>
    </row>
    <row r="301" spans="10:17" ht="12.5">
      <c r="J301" s="424"/>
      <c r="Q301" s="424"/>
    </row>
    <row r="302" spans="10:17" ht="12.5">
      <c r="J302" s="424"/>
      <c r="Q302" s="424"/>
    </row>
    <row r="303" spans="10:17" ht="12.5">
      <c r="J303" s="424"/>
      <c r="Q303" s="424"/>
    </row>
    <row r="304" spans="10:17" ht="12.5">
      <c r="J304" s="424"/>
      <c r="Q304" s="424"/>
    </row>
    <row r="305" spans="10:17" ht="12.5">
      <c r="J305" s="424"/>
      <c r="Q305" s="424"/>
    </row>
    <row r="306" spans="10:17" ht="12.5">
      <c r="J306" s="424"/>
      <c r="Q306" s="424"/>
    </row>
    <row r="307" spans="10:17" ht="12.5">
      <c r="J307" s="424"/>
      <c r="Q307" s="424"/>
    </row>
    <row r="308" spans="10:17" ht="12.5">
      <c r="J308" s="424"/>
      <c r="Q308" s="424"/>
    </row>
    <row r="309" spans="10:17" ht="12.5">
      <c r="J309" s="424"/>
      <c r="Q309" s="424"/>
    </row>
    <row r="310" spans="10:17" ht="12.5">
      <c r="J310" s="424"/>
      <c r="Q310" s="424"/>
    </row>
    <row r="311" spans="10:17" ht="12.5">
      <c r="J311" s="424"/>
      <c r="Q311" s="424"/>
    </row>
    <row r="312" spans="10:17" ht="12.5">
      <c r="J312" s="424"/>
      <c r="Q312" s="424"/>
    </row>
    <row r="313" spans="10:17" ht="12.5">
      <c r="J313" s="424"/>
      <c r="Q313" s="424"/>
    </row>
    <row r="314" spans="10:17" ht="12.5">
      <c r="J314" s="424"/>
      <c r="Q314" s="424"/>
    </row>
    <row r="315" spans="10:17" ht="12.5">
      <c r="J315" s="424"/>
      <c r="Q315" s="424"/>
    </row>
    <row r="316" spans="10:17" ht="12.5">
      <c r="J316" s="424"/>
      <c r="Q316" s="424"/>
    </row>
    <row r="317" spans="10:17" ht="12.5">
      <c r="J317" s="424"/>
      <c r="Q317" s="424"/>
    </row>
    <row r="318" spans="10:17" ht="12.5">
      <c r="J318" s="424"/>
      <c r="Q318" s="424"/>
    </row>
    <row r="319" spans="10:17" ht="12.5">
      <c r="J319" s="424"/>
      <c r="Q319" s="424"/>
    </row>
    <row r="320" spans="10:17" ht="12.5">
      <c r="J320" s="424"/>
      <c r="Q320" s="424"/>
    </row>
    <row r="321" spans="10:17" ht="12.5">
      <c r="J321" s="424"/>
      <c r="Q321" s="424"/>
    </row>
    <row r="322" spans="10:17" ht="12.5">
      <c r="J322" s="424"/>
      <c r="Q322" s="424"/>
    </row>
    <row r="323" spans="10:17" ht="12.5">
      <c r="J323" s="424"/>
      <c r="Q323" s="424"/>
    </row>
    <row r="324" spans="10:17" ht="12.5">
      <c r="J324" s="424"/>
      <c r="Q324" s="424"/>
    </row>
    <row r="325" spans="10:17" ht="12.5">
      <c r="J325" s="424"/>
      <c r="Q325" s="424"/>
    </row>
    <row r="326" spans="10:17" ht="12.5">
      <c r="J326" s="424"/>
      <c r="Q326" s="424"/>
    </row>
    <row r="327" spans="10:17" ht="12.5">
      <c r="J327" s="424"/>
      <c r="Q327" s="424"/>
    </row>
    <row r="328" spans="10:17" ht="12.5">
      <c r="J328" s="424"/>
      <c r="Q328" s="424"/>
    </row>
    <row r="329" spans="10:17" ht="12.5">
      <c r="J329" s="424"/>
      <c r="Q329" s="424"/>
    </row>
    <row r="330" spans="10:17" ht="12.5">
      <c r="J330" s="424"/>
      <c r="Q330" s="424"/>
    </row>
    <row r="331" spans="10:17" ht="12.5">
      <c r="J331" s="424"/>
      <c r="Q331" s="424"/>
    </row>
    <row r="332" spans="10:17" ht="12.5">
      <c r="J332" s="424"/>
      <c r="Q332" s="424"/>
    </row>
    <row r="333" spans="10:17" ht="12.5">
      <c r="J333" s="424"/>
      <c r="Q333" s="424"/>
    </row>
    <row r="334" spans="10:17" ht="12.5">
      <c r="J334" s="424"/>
      <c r="Q334" s="424"/>
    </row>
    <row r="335" spans="10:17" ht="12.5">
      <c r="J335" s="424"/>
      <c r="Q335" s="424"/>
    </row>
    <row r="336" spans="10:17" ht="12.5">
      <c r="J336" s="424"/>
      <c r="Q336" s="424"/>
    </row>
    <row r="337" spans="10:17" ht="12.5">
      <c r="J337" s="424"/>
      <c r="Q337" s="424"/>
    </row>
    <row r="338" spans="10:17" ht="12.5">
      <c r="J338" s="424"/>
      <c r="Q338" s="424"/>
    </row>
    <row r="339" spans="10:17" ht="12.5">
      <c r="J339" s="424"/>
      <c r="Q339" s="424"/>
    </row>
    <row r="340" spans="10:17" ht="12.5">
      <c r="J340" s="424"/>
      <c r="Q340" s="424"/>
    </row>
    <row r="341" spans="10:17" ht="12.5">
      <c r="J341" s="424"/>
      <c r="Q341" s="424"/>
    </row>
    <row r="342" spans="10:17" ht="12.5">
      <c r="J342" s="424"/>
      <c r="Q342" s="424"/>
    </row>
    <row r="343" spans="10:17" ht="12.5">
      <c r="J343" s="424"/>
      <c r="Q343" s="424"/>
    </row>
    <row r="344" spans="10:17" ht="12.5">
      <c r="J344" s="424"/>
      <c r="Q344" s="424"/>
    </row>
    <row r="345" spans="10:17" ht="12.5">
      <c r="J345" s="424"/>
      <c r="Q345" s="424"/>
    </row>
    <row r="346" spans="10:17" ht="12.5">
      <c r="J346" s="424"/>
      <c r="Q346" s="424"/>
    </row>
    <row r="347" spans="10:17" ht="12.5">
      <c r="J347" s="424"/>
      <c r="Q347" s="424"/>
    </row>
    <row r="348" spans="10:17" ht="12.5">
      <c r="J348" s="424"/>
      <c r="Q348" s="424"/>
    </row>
    <row r="349" spans="10:17" ht="12.5">
      <c r="J349" s="424"/>
      <c r="Q349" s="424"/>
    </row>
    <row r="350" spans="10:17" ht="12.5">
      <c r="J350" s="424"/>
      <c r="Q350" s="424"/>
    </row>
    <row r="351" spans="10:17" ht="12.5">
      <c r="J351" s="424"/>
      <c r="Q351" s="424"/>
    </row>
    <row r="352" spans="10:17" ht="12.5">
      <c r="J352" s="424"/>
      <c r="Q352" s="424"/>
    </row>
    <row r="353" spans="10:17" ht="12.5">
      <c r="J353" s="424"/>
      <c r="Q353" s="424"/>
    </row>
    <row r="354" spans="10:17" ht="12.5">
      <c r="J354" s="424"/>
      <c r="Q354" s="424"/>
    </row>
    <row r="355" spans="10:17" ht="12.5">
      <c r="J355" s="424"/>
      <c r="Q355" s="424"/>
    </row>
    <row r="356" spans="10:17" ht="12.5">
      <c r="J356" s="424"/>
      <c r="Q356" s="424"/>
    </row>
    <row r="357" spans="10:17" ht="12.5">
      <c r="J357" s="424"/>
      <c r="Q357" s="424"/>
    </row>
    <row r="358" spans="10:17" ht="12.5">
      <c r="J358" s="424"/>
      <c r="Q358" s="424"/>
    </row>
    <row r="359" spans="10:17" ht="12.5">
      <c r="J359" s="424"/>
      <c r="Q359" s="424"/>
    </row>
    <row r="360" spans="10:17" ht="12.5">
      <c r="J360" s="424"/>
      <c r="Q360" s="424"/>
    </row>
    <row r="361" spans="10:17" ht="12.5">
      <c r="J361" s="424"/>
      <c r="Q361" s="424"/>
    </row>
    <row r="362" spans="10:17" ht="12.5">
      <c r="J362" s="424"/>
      <c r="Q362" s="424"/>
    </row>
    <row r="363" spans="10:17" ht="12.5">
      <c r="J363" s="424"/>
      <c r="Q363" s="424"/>
    </row>
    <row r="364" spans="10:17" ht="12.5">
      <c r="J364" s="424"/>
      <c r="Q364" s="424"/>
    </row>
    <row r="365" spans="10:17" ht="12.5">
      <c r="J365" s="424"/>
      <c r="Q365" s="424"/>
    </row>
    <row r="366" spans="10:17" ht="12.5">
      <c r="J366" s="424"/>
      <c r="Q366" s="424"/>
    </row>
    <row r="367" spans="10:17" ht="12.5">
      <c r="J367" s="424"/>
      <c r="Q367" s="424"/>
    </row>
    <row r="368" spans="10:17" ht="12.5">
      <c r="J368" s="424"/>
      <c r="Q368" s="424"/>
    </row>
    <row r="369" spans="10:17" ht="12.5">
      <c r="J369" s="424"/>
      <c r="Q369" s="424"/>
    </row>
    <row r="370" spans="10:17" ht="12.5">
      <c r="J370" s="424"/>
      <c r="Q370" s="424"/>
    </row>
    <row r="371" spans="10:17" ht="12.5">
      <c r="J371" s="424"/>
      <c r="Q371" s="424"/>
    </row>
    <row r="372" spans="10:17" ht="12.5">
      <c r="J372" s="424"/>
      <c r="Q372" s="424"/>
    </row>
    <row r="373" spans="10:17" ht="12.5">
      <c r="J373" s="424"/>
      <c r="Q373" s="424"/>
    </row>
    <row r="374" spans="10:17" ht="12.5">
      <c r="J374" s="424"/>
      <c r="Q374" s="424"/>
    </row>
    <row r="375" spans="10:17" ht="12.5">
      <c r="J375" s="424"/>
      <c r="Q375" s="424"/>
    </row>
    <row r="376" spans="10:17" ht="12.5">
      <c r="J376" s="424"/>
      <c r="Q376" s="424"/>
    </row>
    <row r="377" spans="10:17" ht="12.5">
      <c r="J377" s="424"/>
      <c r="Q377" s="424"/>
    </row>
    <row r="378" spans="10:17" ht="12.5">
      <c r="J378" s="424"/>
      <c r="Q378" s="424"/>
    </row>
    <row r="379" spans="10:17" ht="12.5">
      <c r="J379" s="424"/>
      <c r="Q379" s="424"/>
    </row>
    <row r="380" spans="10:17" ht="12.5">
      <c r="J380" s="424"/>
      <c r="Q380" s="424"/>
    </row>
    <row r="381" spans="10:17" ht="12.5">
      <c r="J381" s="424"/>
      <c r="Q381" s="424"/>
    </row>
    <row r="382" spans="10:17" ht="12.5">
      <c r="J382" s="424"/>
      <c r="Q382" s="424"/>
    </row>
    <row r="383" spans="10:17" ht="12.5">
      <c r="J383" s="424"/>
      <c r="Q383" s="424"/>
    </row>
    <row r="384" spans="10:17" ht="12.5">
      <c r="J384" s="424"/>
      <c r="Q384" s="424"/>
    </row>
    <row r="385" spans="10:17" ht="12.5">
      <c r="J385" s="424"/>
      <c r="Q385" s="424"/>
    </row>
    <row r="386" spans="10:17" ht="12.5">
      <c r="J386" s="424"/>
      <c r="Q386" s="424"/>
    </row>
    <row r="387" spans="10:17" ht="12.5">
      <c r="J387" s="424"/>
      <c r="Q387" s="424"/>
    </row>
    <row r="388" spans="10:17" ht="12.5">
      <c r="J388" s="424"/>
      <c r="Q388" s="424"/>
    </row>
    <row r="389" spans="10:17" ht="12.5">
      <c r="J389" s="424"/>
      <c r="Q389" s="424"/>
    </row>
    <row r="390" spans="10:17" ht="12.5">
      <c r="J390" s="424"/>
      <c r="Q390" s="424"/>
    </row>
    <row r="391" spans="10:17" ht="12.5">
      <c r="J391" s="424"/>
      <c r="Q391" s="424"/>
    </row>
    <row r="392" spans="10:17" ht="12.5">
      <c r="J392" s="424"/>
      <c r="Q392" s="424"/>
    </row>
    <row r="393" spans="10:17" ht="12.5">
      <c r="J393" s="424"/>
      <c r="Q393" s="424"/>
    </row>
    <row r="394" spans="10:17" ht="12.5">
      <c r="J394" s="424"/>
      <c r="Q394" s="424"/>
    </row>
    <row r="395" spans="10:17" ht="12.5">
      <c r="J395" s="424"/>
      <c r="Q395" s="424"/>
    </row>
    <row r="396" spans="10:17" ht="12.5">
      <c r="J396" s="424"/>
      <c r="Q396" s="424"/>
    </row>
    <row r="397" spans="10:17" ht="12.5">
      <c r="J397" s="424"/>
      <c r="Q397" s="424"/>
    </row>
    <row r="398" spans="10:17" ht="12.5">
      <c r="J398" s="424"/>
      <c r="Q398" s="424"/>
    </row>
    <row r="399" spans="10:17" ht="12.5">
      <c r="J399" s="424"/>
      <c r="Q399" s="424"/>
    </row>
    <row r="400" spans="10:17" ht="12.5">
      <c r="J400" s="424"/>
      <c r="Q400" s="424"/>
    </row>
    <row r="401" spans="10:17" ht="12.5">
      <c r="J401" s="424"/>
      <c r="Q401" s="424"/>
    </row>
    <row r="402" spans="10:17" ht="12.5">
      <c r="J402" s="424"/>
      <c r="Q402" s="424"/>
    </row>
    <row r="403" spans="10:17" ht="12.5">
      <c r="J403" s="424"/>
      <c r="Q403" s="424"/>
    </row>
    <row r="404" spans="10:17" ht="12.5">
      <c r="J404" s="424"/>
      <c r="Q404" s="424"/>
    </row>
    <row r="405" spans="10:17" ht="12.5">
      <c r="J405" s="424"/>
      <c r="Q405" s="424"/>
    </row>
    <row r="406" spans="10:17" ht="12.5">
      <c r="J406" s="424"/>
      <c r="Q406" s="424"/>
    </row>
    <row r="407" spans="10:17" ht="12.5">
      <c r="J407" s="424"/>
      <c r="Q407" s="424"/>
    </row>
    <row r="408" spans="10:17" ht="12.5">
      <c r="J408" s="424"/>
      <c r="Q408" s="424"/>
    </row>
    <row r="409" spans="10:17" ht="12.5">
      <c r="J409" s="424"/>
      <c r="Q409" s="424"/>
    </row>
    <row r="410" spans="10:17" ht="12.5">
      <c r="J410" s="424"/>
      <c r="Q410" s="424"/>
    </row>
    <row r="411" spans="10:17" ht="12.5">
      <c r="J411" s="424"/>
      <c r="Q411" s="424"/>
    </row>
    <row r="412" spans="10:17" ht="12.5">
      <c r="J412" s="424"/>
      <c r="Q412" s="424"/>
    </row>
    <row r="413" spans="10:17" ht="12.5">
      <c r="J413" s="424"/>
      <c r="Q413" s="424"/>
    </row>
    <row r="414" spans="10:17" ht="12.5">
      <c r="J414" s="424"/>
      <c r="Q414" s="424"/>
    </row>
    <row r="415" spans="10:17" ht="12.5">
      <c r="J415" s="424"/>
      <c r="Q415" s="424"/>
    </row>
    <row r="416" spans="10:17" ht="12.5">
      <c r="J416" s="424"/>
      <c r="Q416" s="424"/>
    </row>
    <row r="417" spans="10:17" ht="12.5">
      <c r="J417" s="424"/>
      <c r="Q417" s="424"/>
    </row>
    <row r="418" spans="10:17" ht="12.5">
      <c r="J418" s="424"/>
      <c r="Q418" s="424"/>
    </row>
    <row r="419" spans="10:17" ht="12.5">
      <c r="J419" s="424"/>
      <c r="Q419" s="424"/>
    </row>
    <row r="420" spans="10:17" ht="12.5">
      <c r="J420" s="424"/>
      <c r="Q420" s="424"/>
    </row>
    <row r="421" spans="10:17" ht="12.5">
      <c r="J421" s="424"/>
      <c r="Q421" s="424"/>
    </row>
    <row r="422" spans="10:17" ht="12.5">
      <c r="J422" s="424"/>
      <c r="Q422" s="424"/>
    </row>
    <row r="423" spans="10:17" ht="12.5">
      <c r="J423" s="424"/>
      <c r="Q423" s="424"/>
    </row>
    <row r="424" spans="10:17" ht="12.5">
      <c r="J424" s="424"/>
      <c r="Q424" s="424"/>
    </row>
    <row r="425" spans="10:17" ht="12.5">
      <c r="J425" s="424"/>
      <c r="Q425" s="424"/>
    </row>
    <row r="426" spans="10:17" ht="12.5">
      <c r="J426" s="424"/>
      <c r="Q426" s="424"/>
    </row>
    <row r="427" spans="10:17" ht="12.5">
      <c r="J427" s="424"/>
      <c r="Q427" s="424"/>
    </row>
    <row r="428" spans="10:17" ht="12.5">
      <c r="J428" s="424"/>
      <c r="Q428" s="424"/>
    </row>
    <row r="429" spans="10:17" ht="12.5">
      <c r="J429" s="424"/>
      <c r="Q429" s="424"/>
    </row>
    <row r="430" spans="10:17" ht="12.5">
      <c r="J430" s="424"/>
      <c r="Q430" s="424"/>
    </row>
    <row r="431" spans="10:17" ht="12.5">
      <c r="J431" s="424"/>
      <c r="Q431" s="424"/>
    </row>
    <row r="432" spans="10:17" ht="12.5">
      <c r="J432" s="424"/>
      <c r="Q432" s="424"/>
    </row>
    <row r="433" spans="10:17" ht="12.5">
      <c r="J433" s="424"/>
      <c r="Q433" s="424"/>
    </row>
    <row r="434" spans="10:17" ht="12.5">
      <c r="J434" s="424"/>
      <c r="Q434" s="424"/>
    </row>
    <row r="435" spans="10:17" ht="12.5">
      <c r="J435" s="424"/>
      <c r="Q435" s="424"/>
    </row>
    <row r="436" spans="10:17" ht="12.5">
      <c r="J436" s="424"/>
      <c r="Q436" s="424"/>
    </row>
    <row r="437" spans="10:17" ht="12.5">
      <c r="J437" s="424"/>
      <c r="Q437" s="424"/>
    </row>
    <row r="438" spans="10:17" ht="12.5">
      <c r="J438" s="424"/>
      <c r="Q438" s="424"/>
    </row>
    <row r="439" spans="10:17" ht="12.5">
      <c r="J439" s="424"/>
      <c r="Q439" s="424"/>
    </row>
    <row r="440" spans="10:17" ht="12.5">
      <c r="J440" s="424"/>
      <c r="Q440" s="424"/>
    </row>
    <row r="441" spans="10:17" ht="12.5">
      <c r="J441" s="424"/>
      <c r="Q441" s="424"/>
    </row>
    <row r="442" spans="10:17" ht="12.5">
      <c r="J442" s="424"/>
      <c r="Q442" s="424"/>
    </row>
    <row r="443" spans="10:17" ht="12.5">
      <c r="J443" s="424"/>
      <c r="Q443" s="424"/>
    </row>
    <row r="444" spans="10:17" ht="12.5">
      <c r="J444" s="424"/>
      <c r="Q444" s="424"/>
    </row>
    <row r="445" spans="10:17" ht="12.5">
      <c r="J445" s="424"/>
      <c r="Q445" s="424"/>
    </row>
    <row r="446" spans="10:17" ht="12.5">
      <c r="J446" s="424"/>
      <c r="Q446" s="424"/>
    </row>
    <row r="447" spans="10:17" ht="12.5">
      <c r="J447" s="424"/>
      <c r="Q447" s="424"/>
    </row>
    <row r="448" spans="10:17" ht="12.5">
      <c r="J448" s="424"/>
      <c r="Q448" s="424"/>
    </row>
    <row r="449" spans="10:17" ht="12.5">
      <c r="J449" s="424"/>
      <c r="Q449" s="424"/>
    </row>
    <row r="450" spans="10:17" ht="12.5">
      <c r="J450" s="424"/>
      <c r="Q450" s="424"/>
    </row>
    <row r="451" spans="10:17" ht="12.5">
      <c r="J451" s="424"/>
      <c r="Q451" s="424"/>
    </row>
    <row r="452" spans="10:17" ht="12.5">
      <c r="J452" s="424"/>
      <c r="Q452" s="424"/>
    </row>
    <row r="453" spans="10:17" ht="12.5">
      <c r="J453" s="424"/>
      <c r="Q453" s="424"/>
    </row>
    <row r="454" spans="10:17" ht="12.5">
      <c r="J454" s="424"/>
      <c r="Q454" s="424"/>
    </row>
    <row r="455" spans="10:17" ht="12.5">
      <c r="J455" s="424"/>
      <c r="Q455" s="424"/>
    </row>
    <row r="456" spans="10:17" ht="12.5">
      <c r="J456" s="424"/>
      <c r="Q456" s="424"/>
    </row>
    <row r="457" spans="10:17" ht="12.5">
      <c r="J457" s="424"/>
      <c r="Q457" s="424"/>
    </row>
    <row r="458" spans="10:17" ht="12.5">
      <c r="J458" s="424"/>
      <c r="Q458" s="424"/>
    </row>
    <row r="459" spans="10:17" ht="12.5">
      <c r="J459" s="424"/>
      <c r="Q459" s="424"/>
    </row>
    <row r="460" spans="10:17" ht="12.5">
      <c r="J460" s="424"/>
      <c r="Q460" s="424"/>
    </row>
    <row r="461" spans="10:17" ht="12.5">
      <c r="J461" s="424"/>
      <c r="Q461" s="424"/>
    </row>
    <row r="462" spans="10:17" ht="12.5">
      <c r="J462" s="424"/>
      <c r="Q462" s="424"/>
    </row>
    <row r="463" spans="10:17" ht="12.5">
      <c r="J463" s="424"/>
      <c r="Q463" s="424"/>
    </row>
    <row r="464" spans="10:17" ht="12.5">
      <c r="J464" s="424"/>
      <c r="Q464" s="424"/>
    </row>
    <row r="465" spans="10:17" ht="12.5">
      <c r="J465" s="424"/>
      <c r="Q465" s="424"/>
    </row>
    <row r="466" spans="10:17" ht="12.5">
      <c r="J466" s="424"/>
      <c r="Q466" s="424"/>
    </row>
    <row r="467" spans="10:17" ht="12.5">
      <c r="J467" s="424"/>
      <c r="Q467" s="424"/>
    </row>
    <row r="468" spans="10:17" ht="12.5">
      <c r="J468" s="424"/>
      <c r="Q468" s="424"/>
    </row>
    <row r="469" spans="10:17" ht="12.5">
      <c r="J469" s="424"/>
      <c r="Q469" s="424"/>
    </row>
    <row r="470" spans="10:17" ht="12.5">
      <c r="J470" s="424"/>
      <c r="Q470" s="424"/>
    </row>
    <row r="471" spans="10:17" ht="12.5">
      <c r="J471" s="424"/>
      <c r="Q471" s="424"/>
    </row>
    <row r="472" spans="10:17" ht="12.5">
      <c r="J472" s="424"/>
      <c r="Q472" s="424"/>
    </row>
    <row r="473" spans="10:17" ht="12.5">
      <c r="J473" s="424"/>
      <c r="Q473" s="424"/>
    </row>
    <row r="474" spans="10:17" ht="12.5">
      <c r="J474" s="424"/>
      <c r="Q474" s="424"/>
    </row>
    <row r="475" spans="10:17" ht="12.5">
      <c r="J475" s="424"/>
      <c r="Q475" s="424"/>
    </row>
    <row r="476" spans="10:17" ht="12.5">
      <c r="J476" s="424"/>
      <c r="Q476" s="424"/>
    </row>
    <row r="477" spans="10:17" ht="12.5">
      <c r="J477" s="424"/>
      <c r="Q477" s="424"/>
    </row>
    <row r="478" spans="10:17" ht="12.5">
      <c r="J478" s="424"/>
      <c r="Q478" s="424"/>
    </row>
    <row r="479" spans="10:17" ht="12.5">
      <c r="J479" s="424"/>
      <c r="Q479" s="424"/>
    </row>
    <row r="480" spans="10:17" ht="12.5">
      <c r="J480" s="424"/>
      <c r="Q480" s="424"/>
    </row>
    <row r="481" spans="10:17" ht="12.5">
      <c r="J481" s="424"/>
      <c r="Q481" s="424"/>
    </row>
    <row r="482" spans="10:17" ht="12.5">
      <c r="J482" s="424"/>
      <c r="Q482" s="424"/>
    </row>
    <row r="483" spans="10:17" ht="12.5">
      <c r="J483" s="424"/>
      <c r="Q483" s="424"/>
    </row>
    <row r="484" spans="10:17" ht="12.5">
      <c r="J484" s="424"/>
      <c r="Q484" s="424"/>
    </row>
    <row r="485" spans="10:17" ht="12.5">
      <c r="J485" s="424"/>
      <c r="Q485" s="424"/>
    </row>
    <row r="486" spans="10:17" ht="12.5">
      <c r="J486" s="424"/>
      <c r="Q486" s="424"/>
    </row>
    <row r="487" spans="10:17" ht="12.5">
      <c r="J487" s="424"/>
      <c r="Q487" s="424"/>
    </row>
    <row r="488" spans="10:17" ht="12.5">
      <c r="J488" s="424"/>
      <c r="Q488" s="424"/>
    </row>
    <row r="489" spans="10:17" ht="12.5">
      <c r="J489" s="424"/>
      <c r="Q489" s="424"/>
    </row>
    <row r="490" spans="10:17" ht="12.5">
      <c r="J490" s="424"/>
      <c r="Q490" s="424"/>
    </row>
    <row r="491" spans="10:17" ht="12.5">
      <c r="J491" s="424"/>
      <c r="Q491" s="424"/>
    </row>
    <row r="492" spans="10:17" ht="12.5">
      <c r="J492" s="424"/>
      <c r="Q492" s="424"/>
    </row>
    <row r="493" spans="10:17" ht="12.5">
      <c r="J493" s="424"/>
      <c r="Q493" s="424"/>
    </row>
    <row r="494" spans="10:17" ht="12.5">
      <c r="J494" s="424"/>
      <c r="Q494" s="424"/>
    </row>
    <row r="495" spans="10:17" ht="12.5">
      <c r="J495" s="424"/>
      <c r="Q495" s="424"/>
    </row>
    <row r="496" spans="10:17" ht="12.5">
      <c r="J496" s="424"/>
      <c r="Q496" s="424"/>
    </row>
    <row r="497" spans="10:17" ht="12.5">
      <c r="J497" s="424"/>
      <c r="Q497" s="424"/>
    </row>
    <row r="498" spans="10:17" ht="12.5">
      <c r="J498" s="424"/>
      <c r="Q498" s="424"/>
    </row>
    <row r="499" spans="10:17" ht="12.5">
      <c r="J499" s="424"/>
      <c r="Q499" s="424"/>
    </row>
    <row r="500" spans="10:17" ht="12.5">
      <c r="J500" s="424"/>
      <c r="Q500" s="424"/>
    </row>
    <row r="501" spans="10:17" ht="12.5">
      <c r="J501" s="424"/>
      <c r="Q501" s="424"/>
    </row>
    <row r="502" spans="10:17" ht="12.5">
      <c r="J502" s="424"/>
      <c r="Q502" s="424"/>
    </row>
    <row r="503" spans="10:17" ht="12.5">
      <c r="J503" s="424"/>
      <c r="Q503" s="424"/>
    </row>
    <row r="504" spans="10:17" ht="12.5">
      <c r="J504" s="424"/>
      <c r="Q504" s="424"/>
    </row>
    <row r="505" spans="10:17" ht="12.5">
      <c r="J505" s="424"/>
      <c r="Q505" s="424"/>
    </row>
    <row r="506" spans="10:17" ht="12.5">
      <c r="J506" s="424"/>
      <c r="Q506" s="424"/>
    </row>
    <row r="507" spans="10:17" ht="12.5">
      <c r="J507" s="424"/>
      <c r="Q507" s="424"/>
    </row>
    <row r="508" spans="10:17" ht="12.5">
      <c r="J508" s="424"/>
      <c r="Q508" s="424"/>
    </row>
    <row r="509" spans="10:17" ht="12.5">
      <c r="J509" s="424"/>
      <c r="Q509" s="424"/>
    </row>
    <row r="510" spans="10:17" ht="12.5">
      <c r="J510" s="424"/>
      <c r="Q510" s="424"/>
    </row>
    <row r="511" spans="10:17" ht="12.5">
      <c r="J511" s="424"/>
      <c r="Q511" s="424"/>
    </row>
    <row r="512" spans="10:17" ht="12.5">
      <c r="J512" s="424"/>
      <c r="Q512" s="424"/>
    </row>
    <row r="513" spans="10:17" ht="12.5">
      <c r="J513" s="424"/>
      <c r="Q513" s="424"/>
    </row>
    <row r="514" spans="10:17" ht="12.5">
      <c r="J514" s="424"/>
      <c r="Q514" s="424"/>
    </row>
    <row r="515" spans="10:17" ht="12.5">
      <c r="J515" s="424"/>
      <c r="Q515" s="424"/>
    </row>
    <row r="516" spans="10:17" ht="12.5">
      <c r="J516" s="424"/>
      <c r="Q516" s="424"/>
    </row>
    <row r="517" spans="10:17" ht="12.5">
      <c r="J517" s="424"/>
      <c r="Q517" s="424"/>
    </row>
    <row r="518" spans="10:17" ht="12.5">
      <c r="J518" s="424"/>
      <c r="Q518" s="424"/>
    </row>
    <row r="519" spans="10:17" ht="12.5">
      <c r="J519" s="424"/>
      <c r="Q519" s="424"/>
    </row>
    <row r="520" spans="10:17" ht="12.5">
      <c r="J520" s="424"/>
      <c r="Q520" s="424"/>
    </row>
    <row r="521" spans="10:17" ht="12.5">
      <c r="J521" s="424"/>
      <c r="Q521" s="424"/>
    </row>
    <row r="522" spans="10:17" ht="12.5">
      <c r="J522" s="424"/>
      <c r="Q522" s="424"/>
    </row>
    <row r="523" spans="10:17" ht="12.5">
      <c r="J523" s="424"/>
      <c r="Q523" s="424"/>
    </row>
    <row r="524" spans="10:17" ht="12.5">
      <c r="J524" s="424"/>
      <c r="Q524" s="424"/>
    </row>
    <row r="525" spans="10:17" ht="12.5">
      <c r="J525" s="424"/>
      <c r="Q525" s="424"/>
    </row>
    <row r="526" spans="10:17" ht="12.5">
      <c r="J526" s="424"/>
      <c r="Q526" s="424"/>
    </row>
    <row r="527" spans="10:17" ht="12.5">
      <c r="J527" s="424"/>
      <c r="Q527" s="424"/>
    </row>
    <row r="528" spans="10:17" ht="12.5">
      <c r="J528" s="424"/>
      <c r="Q528" s="424"/>
    </row>
    <row r="529" spans="10:17" ht="12.5">
      <c r="J529" s="424"/>
      <c r="Q529" s="424"/>
    </row>
    <row r="530" spans="10:17" ht="12.5">
      <c r="J530" s="424"/>
      <c r="Q530" s="424"/>
    </row>
    <row r="531" spans="10:17" ht="12.5">
      <c r="J531" s="424"/>
      <c r="Q531" s="424"/>
    </row>
    <row r="532" spans="10:17" ht="12.5">
      <c r="J532" s="424"/>
      <c r="Q532" s="424"/>
    </row>
    <row r="533" spans="10:17" ht="12.5">
      <c r="J533" s="424"/>
      <c r="Q533" s="424"/>
    </row>
    <row r="534" spans="10:17" ht="12.5">
      <c r="J534" s="424"/>
      <c r="Q534" s="424"/>
    </row>
    <row r="535" spans="10:17" ht="12.5">
      <c r="J535" s="424"/>
      <c r="Q535" s="424"/>
    </row>
    <row r="536" spans="10:17" ht="12.5">
      <c r="J536" s="424"/>
      <c r="Q536" s="424"/>
    </row>
    <row r="537" spans="10:17" ht="12.5">
      <c r="J537" s="424"/>
      <c r="Q537" s="424"/>
    </row>
    <row r="538" spans="10:17" ht="12.5">
      <c r="J538" s="424"/>
      <c r="Q538" s="424"/>
    </row>
    <row r="539" spans="10:17" ht="12.5">
      <c r="J539" s="424"/>
      <c r="Q539" s="424"/>
    </row>
    <row r="540" spans="10:17" ht="12.5">
      <c r="J540" s="424"/>
      <c r="Q540" s="424"/>
    </row>
    <row r="541" spans="10:17" ht="12.5">
      <c r="J541" s="424"/>
      <c r="Q541" s="424"/>
    </row>
    <row r="542" spans="10:17" ht="12.5">
      <c r="J542" s="424"/>
      <c r="Q542" s="424"/>
    </row>
    <row r="543" spans="10:17" ht="12.5">
      <c r="J543" s="424"/>
      <c r="Q543" s="424"/>
    </row>
    <row r="544" spans="10:17" ht="12.5">
      <c r="J544" s="424"/>
      <c r="Q544" s="424"/>
    </row>
    <row r="545" spans="10:17" ht="12.5">
      <c r="J545" s="424"/>
      <c r="Q545" s="424"/>
    </row>
    <row r="546" spans="10:17" ht="12.5">
      <c r="J546" s="424"/>
      <c r="Q546" s="424"/>
    </row>
    <row r="547" spans="10:17" ht="12.5">
      <c r="J547" s="424"/>
      <c r="Q547" s="424"/>
    </row>
    <row r="548" spans="10:17" ht="12.5">
      <c r="J548" s="424"/>
      <c r="Q548" s="424"/>
    </row>
    <row r="549" spans="10:17" ht="12.5">
      <c r="J549" s="424"/>
      <c r="Q549" s="424"/>
    </row>
    <row r="550" spans="10:17" ht="12.5">
      <c r="J550" s="424"/>
      <c r="Q550" s="424"/>
    </row>
    <row r="551" spans="10:17" ht="12.5">
      <c r="J551" s="424"/>
      <c r="Q551" s="424"/>
    </row>
    <row r="552" spans="10:17" ht="12.5">
      <c r="J552" s="424"/>
      <c r="Q552" s="424"/>
    </row>
    <row r="553" spans="10:17" ht="12.5">
      <c r="J553" s="424"/>
      <c r="Q553" s="424"/>
    </row>
    <row r="554" spans="10:17" ht="12.5">
      <c r="J554" s="424"/>
      <c r="Q554" s="424"/>
    </row>
    <row r="555" spans="10:17" ht="12.5">
      <c r="J555" s="424"/>
      <c r="Q555" s="424"/>
    </row>
    <row r="556" spans="10:17" ht="12.5">
      <c r="J556" s="424"/>
      <c r="Q556" s="424"/>
    </row>
    <row r="557" spans="10:17" ht="12.5">
      <c r="J557" s="424"/>
      <c r="Q557" s="424"/>
    </row>
    <row r="558" spans="10:17" ht="12.5">
      <c r="J558" s="424"/>
      <c r="Q558" s="424"/>
    </row>
    <row r="559" spans="10:17" ht="12.5">
      <c r="J559" s="424"/>
      <c r="Q559" s="424"/>
    </row>
    <row r="560" spans="10:17" ht="12.5">
      <c r="J560" s="424"/>
      <c r="Q560" s="424"/>
    </row>
    <row r="561" spans="10:17" ht="12.5">
      <c r="J561" s="424"/>
      <c r="Q561" s="424"/>
    </row>
    <row r="562" spans="10:17" ht="12.5">
      <c r="J562" s="424"/>
      <c r="Q562" s="424"/>
    </row>
    <row r="563" spans="10:17" ht="12.5">
      <c r="J563" s="424"/>
      <c r="Q563" s="424"/>
    </row>
    <row r="564" spans="10:17" ht="12.5">
      <c r="J564" s="424"/>
      <c r="Q564" s="424"/>
    </row>
    <row r="565" spans="10:17" ht="12.5">
      <c r="J565" s="424"/>
      <c r="Q565" s="424"/>
    </row>
    <row r="566" spans="10:17" ht="12.5">
      <c r="J566" s="424"/>
      <c r="Q566" s="424"/>
    </row>
    <row r="567" spans="10:17" ht="12.5">
      <c r="J567" s="424"/>
      <c r="Q567" s="424"/>
    </row>
    <row r="568" spans="10:17" ht="12.5">
      <c r="J568" s="424"/>
      <c r="Q568" s="424"/>
    </row>
    <row r="569" spans="10:17" ht="12.5">
      <c r="J569" s="424"/>
      <c r="Q569" s="424"/>
    </row>
    <row r="570" spans="10:17" ht="12.5">
      <c r="J570" s="424"/>
      <c r="Q570" s="424"/>
    </row>
    <row r="571" spans="10:17" ht="12.5">
      <c r="J571" s="424"/>
      <c r="Q571" s="424"/>
    </row>
    <row r="572" spans="10:17" ht="12.5">
      <c r="J572" s="424"/>
      <c r="Q572" s="424"/>
    </row>
    <row r="573" spans="10:17" ht="12.5">
      <c r="J573" s="424"/>
      <c r="Q573" s="424"/>
    </row>
    <row r="574" spans="10:17" ht="12.5">
      <c r="J574" s="424"/>
      <c r="Q574" s="424"/>
    </row>
    <row r="575" spans="10:17" ht="12.5">
      <c r="J575" s="424"/>
      <c r="Q575" s="424"/>
    </row>
    <row r="576" spans="10:17" ht="12.5">
      <c r="J576" s="424"/>
      <c r="Q576" s="424"/>
    </row>
    <row r="577" spans="10:17" ht="12.5">
      <c r="J577" s="424"/>
      <c r="Q577" s="424"/>
    </row>
    <row r="578" spans="10:17" ht="12.5">
      <c r="J578" s="424"/>
      <c r="Q578" s="424"/>
    </row>
    <row r="579" spans="10:17" ht="12.5">
      <c r="J579" s="424"/>
      <c r="Q579" s="424"/>
    </row>
    <row r="580" spans="10:17" ht="12.5">
      <c r="J580" s="424"/>
      <c r="Q580" s="424"/>
    </row>
    <row r="581" spans="10:17" ht="12.5">
      <c r="J581" s="424"/>
      <c r="Q581" s="424"/>
    </row>
    <row r="582" spans="10:17" ht="12.5">
      <c r="J582" s="424"/>
      <c r="Q582" s="424"/>
    </row>
    <row r="583" spans="10:17" ht="12.5">
      <c r="J583" s="424"/>
      <c r="Q583" s="424"/>
    </row>
    <row r="584" spans="10:17" ht="12.5">
      <c r="J584" s="424"/>
      <c r="Q584" s="424"/>
    </row>
    <row r="585" spans="10:17" ht="12.5">
      <c r="J585" s="424"/>
      <c r="Q585" s="424"/>
    </row>
    <row r="586" spans="10:17" ht="12.5">
      <c r="J586" s="424"/>
      <c r="Q586" s="424"/>
    </row>
    <row r="587" spans="10:17" ht="12.5">
      <c r="J587" s="424"/>
      <c r="Q587" s="424"/>
    </row>
    <row r="588" spans="10:17" ht="12.5">
      <c r="J588" s="424"/>
      <c r="Q588" s="424"/>
    </row>
    <row r="589" spans="10:17" ht="12.5">
      <c r="J589" s="424"/>
      <c r="Q589" s="424"/>
    </row>
    <row r="590" spans="10:17" ht="12.5">
      <c r="J590" s="424"/>
      <c r="Q590" s="424"/>
    </row>
    <row r="591" spans="10:17" ht="12.5">
      <c r="J591" s="424"/>
      <c r="Q591" s="424"/>
    </row>
    <row r="592" spans="10:17" ht="12.5">
      <c r="J592" s="424"/>
      <c r="Q592" s="424"/>
    </row>
    <row r="593" spans="10:17" ht="12.5">
      <c r="J593" s="424"/>
      <c r="Q593" s="424"/>
    </row>
    <row r="594" spans="10:17" ht="12.5">
      <c r="J594" s="424"/>
      <c r="Q594" s="424"/>
    </row>
    <row r="595" spans="10:17" ht="12.5">
      <c r="J595" s="424"/>
      <c r="Q595" s="424"/>
    </row>
    <row r="596" spans="10:17" ht="12.5">
      <c r="J596" s="424"/>
      <c r="Q596" s="424"/>
    </row>
    <row r="597" spans="10:17" ht="12.5">
      <c r="J597" s="424"/>
      <c r="Q597" s="424"/>
    </row>
    <row r="598" spans="10:17" ht="12.5">
      <c r="J598" s="424"/>
      <c r="Q598" s="424"/>
    </row>
    <row r="599" spans="10:17" ht="12.5">
      <c r="J599" s="424"/>
      <c r="Q599" s="424"/>
    </row>
    <row r="600" spans="10:17" ht="12.5">
      <c r="J600" s="424"/>
      <c r="Q600" s="424"/>
    </row>
    <row r="601" spans="10:17" ht="12.5">
      <c r="J601" s="424"/>
      <c r="Q601" s="424"/>
    </row>
    <row r="602" spans="10:17" ht="12.5">
      <c r="J602" s="424"/>
      <c r="Q602" s="424"/>
    </row>
    <row r="603" spans="10:17" ht="12.5">
      <c r="J603" s="424"/>
      <c r="Q603" s="424"/>
    </row>
    <row r="604" spans="10:17" ht="12.5">
      <c r="J604" s="424"/>
      <c r="Q604" s="424"/>
    </row>
    <row r="605" spans="10:17" ht="12.5">
      <c r="J605" s="424"/>
      <c r="Q605" s="424"/>
    </row>
    <row r="606" spans="10:17" ht="12.5">
      <c r="J606" s="424"/>
      <c r="Q606" s="424"/>
    </row>
    <row r="607" spans="10:17" ht="12.5">
      <c r="J607" s="424"/>
      <c r="Q607" s="424"/>
    </row>
    <row r="608" spans="10:17" ht="12.5">
      <c r="J608" s="424"/>
      <c r="Q608" s="424"/>
    </row>
    <row r="609" spans="10:17" ht="12.5">
      <c r="J609" s="424"/>
      <c r="Q609" s="424"/>
    </row>
    <row r="610" spans="10:17" ht="12.5">
      <c r="J610" s="424"/>
      <c r="Q610" s="424"/>
    </row>
    <row r="611" spans="10:17" ht="12.5">
      <c r="J611" s="424"/>
      <c r="Q611" s="424"/>
    </row>
    <row r="612" spans="10:17" ht="12.5">
      <c r="J612" s="424"/>
      <c r="Q612" s="424"/>
    </row>
    <row r="613" spans="10:17" ht="12.5">
      <c r="J613" s="424"/>
      <c r="Q613" s="424"/>
    </row>
    <row r="614" spans="10:17" ht="12.5">
      <c r="J614" s="424"/>
      <c r="Q614" s="424"/>
    </row>
    <row r="615" spans="10:17" ht="12.5">
      <c r="J615" s="424"/>
      <c r="Q615" s="424"/>
    </row>
    <row r="616" spans="10:17" ht="12.5">
      <c r="J616" s="424"/>
      <c r="Q616" s="424"/>
    </row>
    <row r="617" spans="10:17" ht="12.5">
      <c r="J617" s="424"/>
      <c r="Q617" s="424"/>
    </row>
    <row r="618" spans="10:17" ht="12.5">
      <c r="J618" s="424"/>
      <c r="Q618" s="424"/>
    </row>
    <row r="619" spans="10:17" ht="12.5">
      <c r="J619" s="424"/>
      <c r="Q619" s="424"/>
    </row>
    <row r="620" spans="10:17" ht="12.5">
      <c r="J620" s="424"/>
      <c r="Q620" s="424"/>
    </row>
    <row r="621" spans="10:17" ht="12.5">
      <c r="J621" s="424"/>
      <c r="Q621" s="424"/>
    </row>
    <row r="622" spans="10:17" ht="12.5">
      <c r="J622" s="424"/>
      <c r="Q622" s="424"/>
    </row>
    <row r="623" spans="10:17" ht="12.5">
      <c r="J623" s="424"/>
      <c r="Q623" s="424"/>
    </row>
    <row r="624" spans="10:17" ht="12.5">
      <c r="J624" s="424"/>
      <c r="Q624" s="424"/>
    </row>
    <row r="625" spans="10:17" ht="12.5">
      <c r="J625" s="424"/>
      <c r="Q625" s="424"/>
    </row>
    <row r="626" spans="10:17" ht="12.5">
      <c r="J626" s="424"/>
      <c r="Q626" s="424"/>
    </row>
    <row r="627" spans="10:17" ht="12.5">
      <c r="J627" s="424"/>
      <c r="Q627" s="424"/>
    </row>
    <row r="628" spans="10:17" ht="12.5">
      <c r="J628" s="424"/>
      <c r="Q628" s="424"/>
    </row>
    <row r="629" spans="10:17" ht="12.5">
      <c r="J629" s="424"/>
      <c r="Q629" s="424"/>
    </row>
    <row r="630" spans="10:17" ht="12.5">
      <c r="J630" s="424"/>
      <c r="Q630" s="424"/>
    </row>
    <row r="631" spans="10:17" ht="12.5">
      <c r="J631" s="424"/>
      <c r="Q631" s="424"/>
    </row>
    <row r="632" spans="10:17" ht="12.5">
      <c r="J632" s="424"/>
      <c r="Q632" s="424"/>
    </row>
    <row r="633" spans="10:17" ht="12.5">
      <c r="J633" s="424"/>
      <c r="Q633" s="424"/>
    </row>
    <row r="634" spans="10:17" ht="12.5">
      <c r="J634" s="424"/>
      <c r="Q634" s="424"/>
    </row>
    <row r="635" spans="10:17" ht="12.5">
      <c r="J635" s="424"/>
      <c r="Q635" s="424"/>
    </row>
    <row r="636" spans="10:17" ht="12.5">
      <c r="J636" s="424"/>
      <c r="Q636" s="424"/>
    </row>
    <row r="637" spans="10:17" ht="12.5">
      <c r="J637" s="424"/>
      <c r="Q637" s="424"/>
    </row>
    <row r="638" spans="10:17" ht="12.5">
      <c r="J638" s="424"/>
      <c r="Q638" s="424"/>
    </row>
    <row r="639" spans="10:17" ht="12.5">
      <c r="J639" s="424"/>
      <c r="Q639" s="424"/>
    </row>
    <row r="640" spans="10:17" ht="12.5">
      <c r="J640" s="424"/>
      <c r="Q640" s="424"/>
    </row>
    <row r="641" spans="10:17" ht="12.5">
      <c r="J641" s="424"/>
      <c r="Q641" s="424"/>
    </row>
    <row r="642" spans="10:17" ht="12.5">
      <c r="J642" s="424"/>
      <c r="Q642" s="424"/>
    </row>
    <row r="643" spans="10:17" ht="12.5">
      <c r="J643" s="424"/>
      <c r="Q643" s="424"/>
    </row>
    <row r="644" spans="10:17" ht="12.5">
      <c r="J644" s="424"/>
      <c r="Q644" s="424"/>
    </row>
    <row r="645" spans="10:17" ht="12.5">
      <c r="J645" s="424"/>
      <c r="Q645" s="424"/>
    </row>
    <row r="646" spans="10:17" ht="12.5">
      <c r="J646" s="424"/>
      <c r="Q646" s="424"/>
    </row>
    <row r="647" spans="10:17" ht="12.5">
      <c r="J647" s="424"/>
      <c r="Q647" s="424"/>
    </row>
    <row r="648" spans="10:17" ht="12.5">
      <c r="J648" s="424"/>
      <c r="Q648" s="424"/>
    </row>
    <row r="649" spans="10:17" ht="12.5">
      <c r="J649" s="424"/>
      <c r="Q649" s="424"/>
    </row>
    <row r="650" spans="10:17" ht="12.5">
      <c r="J650" s="424"/>
      <c r="Q650" s="424"/>
    </row>
    <row r="651" spans="10:17" ht="12.5">
      <c r="J651" s="424"/>
      <c r="Q651" s="424"/>
    </row>
    <row r="652" spans="10:17" ht="12.5">
      <c r="J652" s="424"/>
      <c r="Q652" s="424"/>
    </row>
    <row r="653" spans="10:17" ht="12.5">
      <c r="J653" s="424"/>
      <c r="Q653" s="424"/>
    </row>
    <row r="654" spans="10:17" ht="12.5">
      <c r="J654" s="424"/>
      <c r="Q654" s="424"/>
    </row>
    <row r="655" spans="10:17" ht="12.5">
      <c r="J655" s="424"/>
      <c r="Q655" s="424"/>
    </row>
    <row r="656" spans="10:17" ht="12.5">
      <c r="J656" s="424"/>
      <c r="Q656" s="424"/>
    </row>
    <row r="657" spans="10:17" ht="12.5">
      <c r="J657" s="424"/>
      <c r="Q657" s="424"/>
    </row>
    <row r="658" spans="10:17" ht="12.5">
      <c r="J658" s="424"/>
      <c r="Q658" s="424"/>
    </row>
    <row r="659" spans="10:17" ht="12.5">
      <c r="J659" s="424"/>
      <c r="Q659" s="424"/>
    </row>
    <row r="660" spans="10:17" ht="12.5">
      <c r="J660" s="424"/>
      <c r="Q660" s="424"/>
    </row>
    <row r="661" spans="10:17" ht="12.5">
      <c r="J661" s="424"/>
      <c r="Q661" s="424"/>
    </row>
    <row r="662" spans="10:17" ht="12.5">
      <c r="J662" s="424"/>
      <c r="Q662" s="424"/>
    </row>
    <row r="663" spans="10:17" ht="12.5">
      <c r="J663" s="424"/>
      <c r="Q663" s="424"/>
    </row>
    <row r="664" spans="10:17" ht="12.5">
      <c r="J664" s="424"/>
      <c r="Q664" s="424"/>
    </row>
    <row r="665" spans="10:17" ht="12.5">
      <c r="J665" s="424"/>
      <c r="Q665" s="424"/>
    </row>
    <row r="666" spans="10:17" ht="12.5">
      <c r="J666" s="424"/>
      <c r="Q666" s="424"/>
    </row>
    <row r="667" spans="10:17" ht="12.5">
      <c r="J667" s="424"/>
      <c r="Q667" s="424"/>
    </row>
    <row r="668" spans="10:17" ht="12.5">
      <c r="J668" s="424"/>
      <c r="Q668" s="424"/>
    </row>
    <row r="669" spans="10:17" ht="12.5">
      <c r="J669" s="424"/>
      <c r="Q669" s="424"/>
    </row>
    <row r="670" spans="10:17" ht="12.5">
      <c r="J670" s="424"/>
      <c r="Q670" s="424"/>
    </row>
    <row r="671" spans="10:17" ht="12.5">
      <c r="J671" s="424"/>
      <c r="Q671" s="424"/>
    </row>
    <row r="672" spans="10:17" ht="12.5">
      <c r="J672" s="424"/>
      <c r="Q672" s="424"/>
    </row>
    <row r="673" spans="10:17" ht="12.5">
      <c r="J673" s="424"/>
      <c r="Q673" s="424"/>
    </row>
    <row r="674" spans="10:17" ht="12.5">
      <c r="J674" s="424"/>
      <c r="Q674" s="424"/>
    </row>
    <row r="675" spans="10:17" ht="12.5">
      <c r="J675" s="424"/>
      <c r="Q675" s="424"/>
    </row>
    <row r="676" spans="10:17" ht="12.5">
      <c r="J676" s="424"/>
      <c r="Q676" s="424"/>
    </row>
    <row r="677" spans="10:17" ht="12.5">
      <c r="J677" s="424"/>
      <c r="Q677" s="424"/>
    </row>
    <row r="678" spans="10:17" ht="12.5">
      <c r="J678" s="424"/>
      <c r="Q678" s="424"/>
    </row>
    <row r="679" spans="10:17" ht="12.5">
      <c r="J679" s="424"/>
      <c r="Q679" s="424"/>
    </row>
    <row r="680" spans="10:17" ht="12.5">
      <c r="J680" s="424"/>
      <c r="Q680" s="424"/>
    </row>
    <row r="681" spans="10:17" ht="12.5">
      <c r="J681" s="424"/>
      <c r="Q681" s="424"/>
    </row>
    <row r="682" spans="10:17" ht="12.5">
      <c r="J682" s="424"/>
      <c r="Q682" s="424"/>
    </row>
    <row r="683" spans="10:17" ht="12.5">
      <c r="J683" s="424"/>
      <c r="Q683" s="424"/>
    </row>
    <row r="684" spans="10:17" ht="12.5">
      <c r="J684" s="424"/>
      <c r="Q684" s="424"/>
    </row>
    <row r="685" spans="10:17" ht="12.5">
      <c r="J685" s="424"/>
      <c r="Q685" s="424"/>
    </row>
    <row r="686" spans="10:17" ht="12.5">
      <c r="J686" s="424"/>
      <c r="Q686" s="424"/>
    </row>
    <row r="687" spans="10:17" ht="12.5">
      <c r="J687" s="424"/>
      <c r="Q687" s="424"/>
    </row>
    <row r="688" spans="10:17" ht="12.5">
      <c r="J688" s="424"/>
      <c r="Q688" s="424"/>
    </row>
    <row r="689" spans="10:17" ht="12.5">
      <c r="J689" s="424"/>
      <c r="Q689" s="424"/>
    </row>
    <row r="690" spans="10:17" ht="12.5">
      <c r="J690" s="424"/>
      <c r="Q690" s="424"/>
    </row>
    <row r="691" spans="10:17" ht="12.5">
      <c r="J691" s="424"/>
      <c r="Q691" s="424"/>
    </row>
    <row r="692" spans="10:17" ht="12.5">
      <c r="J692" s="424"/>
      <c r="Q692" s="424"/>
    </row>
    <row r="693" spans="10:17" ht="12.5">
      <c r="J693" s="424"/>
      <c r="Q693" s="424"/>
    </row>
    <row r="694" spans="10:17" ht="12.5">
      <c r="J694" s="424"/>
      <c r="Q694" s="424"/>
    </row>
    <row r="695" spans="10:17" ht="12.5">
      <c r="J695" s="424"/>
      <c r="Q695" s="424"/>
    </row>
    <row r="696" spans="10:17" ht="12.5">
      <c r="J696" s="424"/>
      <c r="Q696" s="424"/>
    </row>
    <row r="697" spans="10:17" ht="12.5">
      <c r="J697" s="424"/>
      <c r="Q697" s="424"/>
    </row>
    <row r="698" spans="10:17" ht="12.5">
      <c r="J698" s="424"/>
      <c r="Q698" s="424"/>
    </row>
    <row r="699" spans="10:17" ht="12.5">
      <c r="J699" s="424"/>
      <c r="Q699" s="424"/>
    </row>
    <row r="700" spans="10:17" ht="12.5">
      <c r="J700" s="424"/>
      <c r="Q700" s="424"/>
    </row>
    <row r="701" spans="10:17" ht="12.5">
      <c r="J701" s="424"/>
      <c r="Q701" s="424"/>
    </row>
    <row r="702" spans="10:17" ht="12.5">
      <c r="J702" s="424"/>
      <c r="Q702" s="424"/>
    </row>
    <row r="703" spans="10:17" ht="12.5">
      <c r="J703" s="424"/>
      <c r="Q703" s="424"/>
    </row>
    <row r="704" spans="10:17" ht="12.5">
      <c r="J704" s="424"/>
      <c r="Q704" s="424"/>
    </row>
    <row r="705" spans="10:17" ht="12.5">
      <c r="J705" s="424"/>
      <c r="Q705" s="424"/>
    </row>
    <row r="706" spans="10:17" ht="12.5">
      <c r="J706" s="424"/>
      <c r="Q706" s="424"/>
    </row>
    <row r="707" spans="10:17" ht="12.5">
      <c r="J707" s="424"/>
      <c r="Q707" s="424"/>
    </row>
    <row r="708" spans="10:17" ht="12.5">
      <c r="J708" s="424"/>
      <c r="Q708" s="424"/>
    </row>
    <row r="709" spans="10:17" ht="12.5">
      <c r="J709" s="424"/>
      <c r="Q709" s="424"/>
    </row>
    <row r="710" spans="10:17" ht="12.5">
      <c r="J710" s="424"/>
      <c r="Q710" s="424"/>
    </row>
    <row r="711" spans="10:17" ht="12.5">
      <c r="J711" s="424"/>
      <c r="Q711" s="424"/>
    </row>
    <row r="712" spans="10:17" ht="12.5">
      <c r="J712" s="424"/>
      <c r="Q712" s="424"/>
    </row>
    <row r="713" spans="10:17" ht="12.5">
      <c r="J713" s="424"/>
      <c r="Q713" s="424"/>
    </row>
    <row r="714" spans="10:17" ht="12.5">
      <c r="J714" s="424"/>
      <c r="Q714" s="424"/>
    </row>
    <row r="715" spans="10:17" ht="12.5">
      <c r="J715" s="424"/>
      <c r="Q715" s="424"/>
    </row>
    <row r="716" spans="10:17" ht="12.5">
      <c r="J716" s="424"/>
      <c r="Q716" s="424"/>
    </row>
    <row r="717" spans="10:17" ht="12.5">
      <c r="J717" s="424"/>
      <c r="Q717" s="424"/>
    </row>
    <row r="718" spans="10:17" ht="12.5">
      <c r="J718" s="424"/>
      <c r="Q718" s="424"/>
    </row>
    <row r="719" spans="10:17" ht="12.5">
      <c r="J719" s="424"/>
      <c r="Q719" s="424"/>
    </row>
    <row r="720" spans="10:17" ht="12.5">
      <c r="J720" s="424"/>
      <c r="Q720" s="424"/>
    </row>
    <row r="721" spans="10:17" ht="12.5">
      <c r="J721" s="424"/>
      <c r="Q721" s="424"/>
    </row>
    <row r="722" spans="10:17" ht="12.5">
      <c r="J722" s="424"/>
      <c r="Q722" s="424"/>
    </row>
    <row r="723" spans="10:17" ht="12.5">
      <c r="J723" s="424"/>
      <c r="Q723" s="424"/>
    </row>
    <row r="724" spans="10:17" ht="12.5">
      <c r="J724" s="424"/>
      <c r="Q724" s="424"/>
    </row>
    <row r="725" spans="10:17" ht="12.5">
      <c r="J725" s="424"/>
      <c r="Q725" s="424"/>
    </row>
    <row r="726" spans="10:17" ht="12.5">
      <c r="J726" s="424"/>
      <c r="Q726" s="424"/>
    </row>
    <row r="727" spans="10:17" ht="12.5">
      <c r="J727" s="424"/>
      <c r="Q727" s="424"/>
    </row>
    <row r="728" spans="10:17" ht="12.5">
      <c r="J728" s="424"/>
      <c r="Q728" s="424"/>
    </row>
    <row r="729" spans="10:17" ht="12.5">
      <c r="J729" s="424"/>
      <c r="Q729" s="424"/>
    </row>
    <row r="730" spans="10:17" ht="12.5">
      <c r="J730" s="424"/>
      <c r="Q730" s="424"/>
    </row>
    <row r="731" spans="10:17" ht="12.5">
      <c r="J731" s="424"/>
      <c r="Q731" s="424"/>
    </row>
    <row r="732" spans="10:17" ht="12.5">
      <c r="J732" s="424"/>
      <c r="Q732" s="424"/>
    </row>
    <row r="733" spans="10:17" ht="12.5">
      <c r="J733" s="424"/>
      <c r="Q733" s="424"/>
    </row>
    <row r="734" spans="10:17" ht="12.5">
      <c r="J734" s="424"/>
      <c r="Q734" s="424"/>
    </row>
    <row r="735" spans="10:17" ht="12.5">
      <c r="J735" s="424"/>
      <c r="Q735" s="424"/>
    </row>
    <row r="736" spans="10:17" ht="12.5">
      <c r="J736" s="424"/>
      <c r="Q736" s="424"/>
    </row>
    <row r="737" spans="10:17" ht="12.5">
      <c r="J737" s="424"/>
      <c r="Q737" s="424"/>
    </row>
    <row r="738" spans="10:17" ht="12.5">
      <c r="J738" s="424"/>
      <c r="Q738" s="424"/>
    </row>
    <row r="739" spans="10:17" ht="12.5">
      <c r="J739" s="424"/>
      <c r="Q739" s="424"/>
    </row>
    <row r="740" spans="10:17" ht="12.5">
      <c r="J740" s="424"/>
      <c r="Q740" s="424"/>
    </row>
    <row r="741" spans="10:17" ht="12.5">
      <c r="J741" s="424"/>
      <c r="Q741" s="424"/>
    </row>
    <row r="742" spans="10:17" ht="12.5">
      <c r="J742" s="424"/>
      <c r="Q742" s="424"/>
    </row>
    <row r="743" spans="10:17" ht="12.5">
      <c r="J743" s="424"/>
      <c r="Q743" s="424"/>
    </row>
    <row r="744" spans="10:17" ht="12.5">
      <c r="J744" s="424"/>
      <c r="Q744" s="424"/>
    </row>
    <row r="745" spans="10:17" ht="12.5">
      <c r="J745" s="424"/>
      <c r="Q745" s="424"/>
    </row>
    <row r="746" spans="10:17" ht="12.5">
      <c r="J746" s="424"/>
      <c r="Q746" s="424"/>
    </row>
    <row r="747" spans="10:17" ht="12.5">
      <c r="J747" s="424"/>
      <c r="Q747" s="424"/>
    </row>
    <row r="748" spans="10:17" ht="12.5">
      <c r="J748" s="424"/>
      <c r="Q748" s="424"/>
    </row>
    <row r="749" spans="10:17" ht="12.5">
      <c r="J749" s="424"/>
      <c r="Q749" s="424"/>
    </row>
    <row r="750" spans="10:17" ht="12.5">
      <c r="J750" s="424"/>
      <c r="Q750" s="424"/>
    </row>
    <row r="751" spans="10:17" ht="12.5">
      <c r="J751" s="424"/>
      <c r="Q751" s="424"/>
    </row>
    <row r="752" spans="10:17" ht="12.5">
      <c r="J752" s="424"/>
      <c r="Q752" s="424"/>
    </row>
    <row r="753" spans="10:17" ht="12.5">
      <c r="J753" s="424"/>
      <c r="Q753" s="424"/>
    </row>
    <row r="754" spans="10:17" ht="12.5">
      <c r="J754" s="424"/>
      <c r="Q754" s="424"/>
    </row>
    <row r="755" spans="10:17" ht="12.5">
      <c r="J755" s="424"/>
      <c r="Q755" s="424"/>
    </row>
    <row r="756" spans="10:17" ht="12.5">
      <c r="J756" s="424"/>
      <c r="Q756" s="424"/>
    </row>
    <row r="757" spans="10:17" ht="12.5">
      <c r="J757" s="424"/>
      <c r="Q757" s="424"/>
    </row>
    <row r="758" spans="10:17" ht="12.5">
      <c r="J758" s="424"/>
      <c r="Q758" s="424"/>
    </row>
    <row r="759" spans="10:17" ht="12.5">
      <c r="J759" s="424"/>
      <c r="Q759" s="424"/>
    </row>
    <row r="760" spans="10:17" ht="12.5">
      <c r="J760" s="424"/>
      <c r="Q760" s="424"/>
    </row>
    <row r="761" spans="10:17" ht="12.5">
      <c r="J761" s="424"/>
      <c r="Q761" s="424"/>
    </row>
    <row r="762" spans="10:17" ht="12.5">
      <c r="J762" s="424"/>
      <c r="Q762" s="424"/>
    </row>
    <row r="763" spans="10:17" ht="12.5">
      <c r="J763" s="424"/>
      <c r="Q763" s="424"/>
    </row>
    <row r="764" spans="10:17" ht="12.5">
      <c r="J764" s="424"/>
      <c r="Q764" s="424"/>
    </row>
    <row r="765" spans="10:17" ht="12.5">
      <c r="J765" s="424"/>
      <c r="Q765" s="424"/>
    </row>
    <row r="766" spans="10:17" ht="12.5">
      <c r="J766" s="424"/>
      <c r="Q766" s="424"/>
    </row>
    <row r="767" spans="10:17" ht="12.5">
      <c r="J767" s="424"/>
      <c r="Q767" s="424"/>
    </row>
    <row r="768" spans="10:17" ht="12.5">
      <c r="J768" s="424"/>
      <c r="Q768" s="424"/>
    </row>
    <row r="769" spans="10:17" ht="12.5">
      <c r="J769" s="424"/>
      <c r="Q769" s="424"/>
    </row>
    <row r="770" spans="10:17" ht="12.5">
      <c r="J770" s="424"/>
      <c r="Q770" s="424"/>
    </row>
    <row r="771" spans="10:17" ht="12.5">
      <c r="J771" s="424"/>
      <c r="Q771" s="424"/>
    </row>
    <row r="772" spans="10:17" ht="12.5">
      <c r="J772" s="424"/>
      <c r="Q772" s="424"/>
    </row>
    <row r="773" spans="10:17" ht="12.5">
      <c r="J773" s="424"/>
      <c r="Q773" s="424"/>
    </row>
    <row r="774" spans="10:17" ht="12.5">
      <c r="J774" s="424"/>
      <c r="Q774" s="424"/>
    </row>
    <row r="775" spans="10:17" ht="12.5">
      <c r="J775" s="424"/>
      <c r="Q775" s="424"/>
    </row>
    <row r="776" spans="10:17" ht="12.5">
      <c r="J776" s="424"/>
      <c r="Q776" s="424"/>
    </row>
    <row r="777" spans="10:17" ht="12.5">
      <c r="J777" s="424"/>
      <c r="Q777" s="424"/>
    </row>
    <row r="778" spans="10:17" ht="12.5">
      <c r="J778" s="424"/>
      <c r="Q778" s="424"/>
    </row>
    <row r="779" spans="10:17" ht="12.5">
      <c r="J779" s="424"/>
      <c r="Q779" s="424"/>
    </row>
    <row r="780" spans="10:17" ht="12.5">
      <c r="J780" s="424"/>
      <c r="Q780" s="424"/>
    </row>
    <row r="781" spans="10:17" ht="12.5">
      <c r="J781" s="424"/>
      <c r="Q781" s="424"/>
    </row>
    <row r="782" spans="10:17" ht="12.5">
      <c r="J782" s="424"/>
      <c r="Q782" s="424"/>
    </row>
    <row r="783" spans="10:17" ht="12.5">
      <c r="J783" s="424"/>
      <c r="Q783" s="424"/>
    </row>
    <row r="784" spans="10:17" ht="12.5">
      <c r="J784" s="424"/>
      <c r="Q784" s="424"/>
    </row>
    <row r="785" spans="10:17" ht="12.5">
      <c r="J785" s="424"/>
      <c r="Q785" s="424"/>
    </row>
    <row r="786" spans="10:17" ht="12.5">
      <c r="J786" s="424"/>
      <c r="Q786" s="424"/>
    </row>
    <row r="787" spans="10:17" ht="12.5">
      <c r="J787" s="424"/>
      <c r="Q787" s="424"/>
    </row>
    <row r="788" spans="10:17" ht="12.5">
      <c r="J788" s="424"/>
      <c r="Q788" s="424"/>
    </row>
    <row r="789" spans="10:17" ht="12.5">
      <c r="J789" s="424"/>
      <c r="Q789" s="424"/>
    </row>
    <row r="790" spans="10:17" ht="12.5">
      <c r="J790" s="424"/>
      <c r="Q790" s="424"/>
    </row>
    <row r="791" spans="10:17" ht="12.5">
      <c r="J791" s="424"/>
      <c r="Q791" s="424"/>
    </row>
    <row r="792" spans="10:17" ht="12.5">
      <c r="J792" s="424"/>
      <c r="Q792" s="424"/>
    </row>
    <row r="793" spans="10:17" ht="12.5">
      <c r="J793" s="424"/>
      <c r="Q793" s="424"/>
    </row>
    <row r="794" spans="10:17" ht="12.5">
      <c r="J794" s="424"/>
      <c r="Q794" s="424"/>
    </row>
    <row r="795" spans="10:17" ht="12.5">
      <c r="J795" s="424"/>
      <c r="Q795" s="424"/>
    </row>
    <row r="796" spans="10:17" ht="12.5">
      <c r="J796" s="424"/>
      <c r="Q796" s="424"/>
    </row>
    <row r="797" spans="10:17" ht="12.5">
      <c r="J797" s="424"/>
      <c r="Q797" s="424"/>
    </row>
    <row r="798" spans="10:17" ht="12.5">
      <c r="J798" s="424"/>
      <c r="Q798" s="424"/>
    </row>
    <row r="799" spans="10:17" ht="12.5">
      <c r="J799" s="424"/>
      <c r="Q799" s="424"/>
    </row>
    <row r="800" spans="10:17" ht="12.5">
      <c r="J800" s="424"/>
      <c r="Q800" s="424"/>
    </row>
    <row r="801" spans="10:17" ht="12.5">
      <c r="J801" s="424"/>
      <c r="Q801" s="424"/>
    </row>
    <row r="802" spans="10:17" ht="12.5">
      <c r="J802" s="424"/>
      <c r="Q802" s="424"/>
    </row>
    <row r="803" spans="10:17" ht="12.5">
      <c r="J803" s="424"/>
      <c r="Q803" s="424"/>
    </row>
    <row r="804" spans="10:17" ht="12.5">
      <c r="J804" s="424"/>
      <c r="Q804" s="424"/>
    </row>
    <row r="805" spans="10:17" ht="12.5">
      <c r="J805" s="424"/>
      <c r="Q805" s="424"/>
    </row>
    <row r="806" spans="10:17" ht="12.5">
      <c r="J806" s="424"/>
      <c r="Q806" s="424"/>
    </row>
    <row r="807" spans="10:17" ht="12.5">
      <c r="J807" s="424"/>
      <c r="Q807" s="424"/>
    </row>
    <row r="808" spans="10:17" ht="12.5">
      <c r="J808" s="424"/>
      <c r="Q808" s="424"/>
    </row>
    <row r="809" spans="10:17" ht="12.5">
      <c r="J809" s="424"/>
      <c r="Q809" s="424"/>
    </row>
    <row r="810" spans="10:17" ht="12.5">
      <c r="J810" s="424"/>
      <c r="Q810" s="424"/>
    </row>
    <row r="811" spans="10:17" ht="12.5">
      <c r="J811" s="424"/>
      <c r="Q811" s="424"/>
    </row>
    <row r="812" spans="10:17" ht="12.5">
      <c r="J812" s="424"/>
      <c r="Q812" s="424"/>
    </row>
    <row r="813" spans="10:17" ht="12.5">
      <c r="J813" s="424"/>
      <c r="Q813" s="424"/>
    </row>
    <row r="814" spans="10:17" ht="12.5">
      <c r="J814" s="424"/>
      <c r="Q814" s="424"/>
    </row>
    <row r="815" spans="10:17" ht="12.5">
      <c r="J815" s="424"/>
      <c r="Q815" s="424"/>
    </row>
    <row r="816" spans="10:17" ht="12.5">
      <c r="J816" s="424"/>
      <c r="Q816" s="424"/>
    </row>
    <row r="817" spans="10:17" ht="12.5">
      <c r="J817" s="424"/>
      <c r="Q817" s="424"/>
    </row>
    <row r="818" spans="10:17" ht="12.5">
      <c r="J818" s="424"/>
      <c r="Q818" s="424"/>
    </row>
    <row r="819" spans="10:17" ht="12.5">
      <c r="J819" s="424"/>
      <c r="Q819" s="424"/>
    </row>
    <row r="820" spans="10:17" ht="12.5">
      <c r="J820" s="424"/>
      <c r="Q820" s="424"/>
    </row>
    <row r="821" spans="10:17" ht="12.5">
      <c r="J821" s="424"/>
      <c r="Q821" s="424"/>
    </row>
    <row r="822" spans="10:17" ht="12.5">
      <c r="J822" s="424"/>
      <c r="Q822" s="424"/>
    </row>
    <row r="823" spans="10:17" ht="12.5">
      <c r="J823" s="424"/>
      <c r="Q823" s="424"/>
    </row>
    <row r="824" spans="10:17" ht="12.5">
      <c r="J824" s="424"/>
      <c r="Q824" s="424"/>
    </row>
    <row r="825" spans="10:17" ht="12.5">
      <c r="J825" s="424"/>
      <c r="Q825" s="424"/>
    </row>
    <row r="826" spans="10:17" ht="12.5">
      <c r="J826" s="424"/>
      <c r="Q826" s="424"/>
    </row>
    <row r="827" spans="10:17" ht="12.5">
      <c r="J827" s="424"/>
      <c r="Q827" s="424"/>
    </row>
    <row r="828" spans="10:17" ht="12.5">
      <c r="J828" s="424"/>
      <c r="Q828" s="424"/>
    </row>
    <row r="829" spans="10:17" ht="12.5">
      <c r="J829" s="424"/>
      <c r="Q829" s="424"/>
    </row>
    <row r="830" spans="10:17" ht="12.5">
      <c r="J830" s="424"/>
      <c r="Q830" s="424"/>
    </row>
    <row r="831" spans="10:17" ht="12.5">
      <c r="J831" s="424"/>
      <c r="Q831" s="424"/>
    </row>
    <row r="832" spans="10:17" ht="12.5">
      <c r="J832" s="424"/>
      <c r="Q832" s="424"/>
    </row>
    <row r="833" spans="10:17" ht="12.5">
      <c r="J833" s="424"/>
      <c r="Q833" s="424"/>
    </row>
    <row r="834" spans="10:17" ht="12.5">
      <c r="J834" s="424"/>
      <c r="Q834" s="424"/>
    </row>
    <row r="835" spans="10:17" ht="12.5">
      <c r="J835" s="424"/>
      <c r="Q835" s="424"/>
    </row>
    <row r="836" spans="10:17" ht="12.5">
      <c r="J836" s="424"/>
      <c r="Q836" s="424"/>
    </row>
    <row r="837" spans="10:17" ht="12.5">
      <c r="J837" s="424"/>
      <c r="Q837" s="424"/>
    </row>
    <row r="838" spans="10:17" ht="12.5">
      <c r="J838" s="424"/>
      <c r="Q838" s="424"/>
    </row>
    <row r="839" spans="10:17" ht="12.5">
      <c r="J839" s="424"/>
      <c r="Q839" s="424"/>
    </row>
    <row r="840" spans="10:17" ht="12.5">
      <c r="J840" s="424"/>
      <c r="Q840" s="424"/>
    </row>
    <row r="841" spans="10:17" ht="12.5">
      <c r="J841" s="424"/>
      <c r="Q841" s="424"/>
    </row>
    <row r="842" spans="10:17" ht="12.5">
      <c r="J842" s="424"/>
      <c r="Q842" s="424"/>
    </row>
    <row r="843" spans="10:17" ht="12.5">
      <c r="J843" s="424"/>
      <c r="Q843" s="424"/>
    </row>
    <row r="844" spans="10:17" ht="12.5">
      <c r="J844" s="424"/>
      <c r="Q844" s="424"/>
    </row>
    <row r="845" spans="10:17" ht="12.5">
      <c r="J845" s="424"/>
      <c r="Q845" s="424"/>
    </row>
    <row r="846" spans="10:17" ht="12.5">
      <c r="J846" s="424"/>
      <c r="Q846" s="424"/>
    </row>
    <row r="847" spans="10:17" ht="12.5">
      <c r="J847" s="424"/>
      <c r="Q847" s="424"/>
    </row>
    <row r="848" spans="10:17" ht="12.5">
      <c r="J848" s="424"/>
      <c r="Q848" s="424"/>
    </row>
    <row r="849" spans="10:17" ht="12.5">
      <c r="J849" s="424"/>
      <c r="Q849" s="424"/>
    </row>
    <row r="850" spans="10:17" ht="12.5">
      <c r="J850" s="424"/>
      <c r="Q850" s="424"/>
    </row>
    <row r="851" spans="10:17" ht="12.5">
      <c r="J851" s="424"/>
      <c r="Q851" s="424"/>
    </row>
    <row r="852" spans="10:17" ht="12.5">
      <c r="J852" s="424"/>
      <c r="Q852" s="424"/>
    </row>
    <row r="853" spans="10:17" ht="12.5">
      <c r="J853" s="424"/>
      <c r="Q853" s="424"/>
    </row>
    <row r="854" spans="10:17" ht="12.5">
      <c r="J854" s="424"/>
      <c r="Q854" s="424"/>
    </row>
    <row r="855" spans="10:17" ht="12.5">
      <c r="J855" s="424"/>
      <c r="Q855" s="424"/>
    </row>
    <row r="856" spans="10:17" ht="12.5">
      <c r="J856" s="424"/>
      <c r="Q856" s="424"/>
    </row>
    <row r="857" spans="10:17" ht="12.5">
      <c r="J857" s="424"/>
      <c r="Q857" s="424"/>
    </row>
    <row r="858" spans="10:17" ht="12.5">
      <c r="J858" s="424"/>
      <c r="Q858" s="424"/>
    </row>
    <row r="859" spans="10:17" ht="12.5">
      <c r="J859" s="424"/>
      <c r="Q859" s="424"/>
    </row>
    <row r="860" spans="10:17" ht="12.5">
      <c r="J860" s="424"/>
      <c r="Q860" s="424"/>
    </row>
    <row r="861" spans="10:17" ht="12.5">
      <c r="J861" s="424"/>
      <c r="Q861" s="424"/>
    </row>
    <row r="862" spans="10:17" ht="12.5">
      <c r="J862" s="424"/>
      <c r="Q862" s="424"/>
    </row>
    <row r="863" spans="10:17" ht="12.5">
      <c r="J863" s="424"/>
      <c r="Q863" s="424"/>
    </row>
    <row r="864" spans="10:17" ht="12.5">
      <c r="J864" s="424"/>
      <c r="Q864" s="424"/>
    </row>
    <row r="865" spans="10:17" ht="12.5">
      <c r="J865" s="424"/>
      <c r="Q865" s="424"/>
    </row>
    <row r="866" spans="10:17" ht="12.5">
      <c r="J866" s="424"/>
      <c r="Q866" s="424"/>
    </row>
    <row r="867" spans="10:17" ht="12.5">
      <c r="J867" s="424"/>
      <c r="Q867" s="424"/>
    </row>
    <row r="868" spans="10:17" ht="12.5">
      <c r="J868" s="424"/>
      <c r="Q868" s="424"/>
    </row>
    <row r="869" spans="10:17" ht="12.5">
      <c r="J869" s="424"/>
      <c r="Q869" s="424"/>
    </row>
    <row r="870" spans="10:17" ht="12.5">
      <c r="J870" s="424"/>
      <c r="Q870" s="424"/>
    </row>
    <row r="871" spans="10:17" ht="12.5">
      <c r="J871" s="424"/>
      <c r="Q871" s="424"/>
    </row>
    <row r="872" spans="10:17" ht="12.5">
      <c r="J872" s="424"/>
      <c r="Q872" s="424"/>
    </row>
    <row r="873" spans="10:17" ht="12.5">
      <c r="J873" s="424"/>
      <c r="Q873" s="424"/>
    </row>
    <row r="874" spans="10:17" ht="12.5">
      <c r="J874" s="424"/>
      <c r="Q874" s="424"/>
    </row>
    <row r="875" spans="10:17" ht="12.5">
      <c r="J875" s="424"/>
      <c r="Q875" s="424"/>
    </row>
    <row r="876" spans="10:17" ht="12.5">
      <c r="J876" s="424"/>
      <c r="Q876" s="424"/>
    </row>
    <row r="877" spans="10:17" ht="12.5">
      <c r="J877" s="424"/>
      <c r="Q877" s="424"/>
    </row>
    <row r="878" spans="10:17" ht="12.5">
      <c r="J878" s="424"/>
      <c r="Q878" s="424"/>
    </row>
    <row r="879" spans="10:17" ht="12.5">
      <c r="J879" s="424"/>
      <c r="Q879" s="424"/>
    </row>
    <row r="880" spans="10:17" ht="12.5">
      <c r="J880" s="424"/>
      <c r="Q880" s="424"/>
    </row>
    <row r="881" spans="10:17" ht="12.5">
      <c r="J881" s="424"/>
      <c r="Q881" s="424"/>
    </row>
    <row r="882" spans="10:17" ht="12.5">
      <c r="J882" s="424"/>
      <c r="Q882" s="424"/>
    </row>
    <row r="883" spans="10:17" ht="12.5">
      <c r="J883" s="424"/>
      <c r="Q883" s="424"/>
    </row>
    <row r="884" spans="10:17" ht="12.5">
      <c r="J884" s="424"/>
      <c r="Q884" s="424"/>
    </row>
    <row r="885" spans="10:17" ht="12.5">
      <c r="J885" s="424"/>
      <c r="Q885" s="424"/>
    </row>
    <row r="886" spans="10:17" ht="12.5">
      <c r="J886" s="424"/>
      <c r="Q886" s="424"/>
    </row>
    <row r="887" spans="10:17" ht="12.5">
      <c r="J887" s="424"/>
      <c r="Q887" s="424"/>
    </row>
    <row r="888" spans="10:17" ht="12.5">
      <c r="J888" s="424"/>
      <c r="Q888" s="424"/>
    </row>
    <row r="889" spans="10:17" ht="12.5">
      <c r="J889" s="424"/>
      <c r="Q889" s="424"/>
    </row>
    <row r="890" spans="10:17" ht="12.5">
      <c r="J890" s="424"/>
      <c r="Q890" s="424"/>
    </row>
    <row r="891" spans="10:17" ht="12.5">
      <c r="J891" s="424"/>
      <c r="Q891" s="424"/>
    </row>
    <row r="892" spans="10:17" ht="12.5">
      <c r="J892" s="424"/>
      <c r="Q892" s="424"/>
    </row>
    <row r="893" spans="10:17" ht="12.5">
      <c r="J893" s="424"/>
      <c r="Q893" s="424"/>
    </row>
    <row r="894" spans="10:17" ht="12.5">
      <c r="J894" s="424"/>
      <c r="Q894" s="424"/>
    </row>
    <row r="895" spans="10:17" ht="12.5">
      <c r="J895" s="424"/>
      <c r="Q895" s="424"/>
    </row>
    <row r="896" spans="10:17" ht="12.5">
      <c r="J896" s="424"/>
      <c r="Q896" s="424"/>
    </row>
    <row r="897" spans="10:17" ht="12.5">
      <c r="J897" s="424"/>
      <c r="Q897" s="424"/>
    </row>
    <row r="898" spans="10:17" ht="12.5">
      <c r="J898" s="424"/>
      <c r="Q898" s="424"/>
    </row>
    <row r="899" spans="10:17" ht="12.5">
      <c r="J899" s="424"/>
      <c r="Q899" s="424"/>
    </row>
    <row r="900" spans="10:17" ht="12.5">
      <c r="J900" s="424"/>
      <c r="Q900" s="424"/>
    </row>
    <row r="901" spans="10:17" ht="12.5">
      <c r="J901" s="424"/>
      <c r="Q901" s="424"/>
    </row>
    <row r="902" spans="10:17" ht="12.5">
      <c r="J902" s="424"/>
      <c r="Q902" s="424"/>
    </row>
    <row r="903" spans="10:17" ht="12.5">
      <c r="J903" s="424"/>
      <c r="Q903" s="424"/>
    </row>
    <row r="904" spans="10:17" ht="12.5">
      <c r="J904" s="424"/>
      <c r="Q904" s="424"/>
    </row>
    <row r="905" spans="10:17" ht="12.5">
      <c r="J905" s="424"/>
      <c r="Q905" s="424"/>
    </row>
    <row r="906" spans="10:17" ht="12.5">
      <c r="J906" s="424"/>
      <c r="Q906" s="424"/>
    </row>
    <row r="907" spans="10:17" ht="12.5">
      <c r="J907" s="424"/>
      <c r="Q907" s="424"/>
    </row>
    <row r="908" spans="10:17" ht="12.5">
      <c r="J908" s="424"/>
      <c r="Q908" s="424"/>
    </row>
    <row r="909" spans="10:17" ht="12.5">
      <c r="J909" s="424"/>
      <c r="Q909" s="424"/>
    </row>
    <row r="910" spans="10:17" ht="12.5">
      <c r="J910" s="424"/>
      <c r="Q910" s="424"/>
    </row>
    <row r="911" spans="10:17" ht="12.5">
      <c r="J911" s="424"/>
      <c r="Q911" s="424"/>
    </row>
    <row r="912" spans="10:17" ht="12.5">
      <c r="J912" s="424"/>
      <c r="Q912" s="424"/>
    </row>
    <row r="913" spans="10:17" ht="12.5">
      <c r="J913" s="424"/>
      <c r="Q913" s="424"/>
    </row>
    <row r="914" spans="10:17" ht="12.5">
      <c r="J914" s="424"/>
      <c r="Q914" s="424"/>
    </row>
    <row r="915" spans="10:17" ht="12.5">
      <c r="J915" s="424"/>
      <c r="Q915" s="424"/>
    </row>
    <row r="916" spans="10:17" ht="12.5">
      <c r="J916" s="424"/>
      <c r="Q916" s="424"/>
    </row>
    <row r="917" spans="10:17" ht="12.5">
      <c r="J917" s="424"/>
      <c r="Q917" s="424"/>
    </row>
    <row r="918" spans="10:17" ht="12.5">
      <c r="J918" s="424"/>
      <c r="Q918" s="424"/>
    </row>
    <row r="919" spans="10:17" ht="12.5">
      <c r="J919" s="424"/>
      <c r="Q919" s="424"/>
    </row>
    <row r="920" spans="10:17" ht="12.5">
      <c r="J920" s="424"/>
      <c r="Q920" s="424"/>
    </row>
    <row r="921" spans="10:17" ht="12.5">
      <c r="J921" s="424"/>
      <c r="Q921" s="424"/>
    </row>
    <row r="922" spans="10:17" ht="12.5">
      <c r="J922" s="424"/>
      <c r="Q922" s="424"/>
    </row>
    <row r="923" spans="10:17" ht="12.5">
      <c r="J923" s="424"/>
      <c r="Q923" s="424"/>
    </row>
    <row r="924" spans="10:17" ht="12.5">
      <c r="J924" s="424"/>
      <c r="Q924" s="424"/>
    </row>
    <row r="925" spans="10:17" ht="12.5">
      <c r="J925" s="424"/>
      <c r="Q925" s="424"/>
    </row>
    <row r="926" spans="10:17" ht="12.5">
      <c r="J926" s="424"/>
      <c r="Q926" s="424"/>
    </row>
    <row r="927" spans="10:17" ht="12.5">
      <c r="J927" s="424"/>
      <c r="Q927" s="424"/>
    </row>
    <row r="928" spans="10:17" ht="12.5">
      <c r="J928" s="424"/>
      <c r="Q928" s="424"/>
    </row>
    <row r="929" spans="10:17" ht="12.5">
      <c r="J929" s="424"/>
      <c r="Q929" s="424"/>
    </row>
    <row r="930" spans="10:17" ht="12.5">
      <c r="J930" s="424"/>
      <c r="Q930" s="424"/>
    </row>
    <row r="931" spans="10:17" ht="12.5">
      <c r="J931" s="424"/>
      <c r="Q931" s="424"/>
    </row>
    <row r="932" spans="10:17" ht="12.5">
      <c r="J932" s="424"/>
      <c r="Q932" s="424"/>
    </row>
    <row r="933" spans="10:17" ht="12.5">
      <c r="J933" s="424"/>
      <c r="Q933" s="424"/>
    </row>
    <row r="934" spans="10:17" ht="12.5">
      <c r="J934" s="424"/>
      <c r="Q934" s="424"/>
    </row>
    <row r="935" spans="10:17" ht="12.5">
      <c r="J935" s="424"/>
      <c r="Q935" s="424"/>
    </row>
    <row r="936" spans="10:17" ht="12.5">
      <c r="J936" s="424"/>
      <c r="Q936" s="424"/>
    </row>
    <row r="937" spans="10:17" ht="12.5">
      <c r="J937" s="424"/>
      <c r="Q937" s="424"/>
    </row>
    <row r="938" spans="10:17" ht="12.5">
      <c r="J938" s="424"/>
      <c r="Q938" s="424"/>
    </row>
    <row r="939" spans="10:17" ht="12.5">
      <c r="J939" s="424"/>
      <c r="Q939" s="424"/>
    </row>
    <row r="940" spans="10:17" ht="12.5">
      <c r="J940" s="424"/>
      <c r="Q940" s="424"/>
    </row>
    <row r="941" spans="10:17" ht="12.5">
      <c r="J941" s="424"/>
      <c r="Q941" s="424"/>
    </row>
    <row r="942" spans="10:17" ht="12.5">
      <c r="J942" s="424"/>
      <c r="Q942" s="424"/>
    </row>
    <row r="943" spans="10:17" ht="12.5">
      <c r="J943" s="424"/>
      <c r="Q943" s="424"/>
    </row>
    <row r="944" spans="10:17" ht="12.5">
      <c r="J944" s="424"/>
      <c r="Q944" s="424"/>
    </row>
    <row r="945" spans="10:17" ht="12.5">
      <c r="J945" s="424"/>
      <c r="Q945" s="424"/>
    </row>
    <row r="946" spans="10:17" ht="12.5">
      <c r="J946" s="424"/>
      <c r="Q946" s="424"/>
    </row>
    <row r="947" spans="10:17" ht="12.5">
      <c r="J947" s="424"/>
      <c r="Q947" s="424"/>
    </row>
    <row r="948" spans="10:17" ht="12.5">
      <c r="J948" s="424"/>
      <c r="Q948" s="424"/>
    </row>
    <row r="949" spans="10:17" ht="12.5">
      <c r="J949" s="424"/>
      <c r="Q949" s="424"/>
    </row>
    <row r="950" spans="10:17" ht="12.5">
      <c r="J950" s="424"/>
      <c r="Q950" s="424"/>
    </row>
    <row r="951" spans="10:17" ht="12.5">
      <c r="J951" s="424"/>
      <c r="Q951" s="424"/>
    </row>
    <row r="952" spans="10:17" ht="12.5">
      <c r="J952" s="424"/>
      <c r="Q952" s="424"/>
    </row>
    <row r="953" spans="10:17" ht="12.5">
      <c r="J953" s="424"/>
      <c r="Q953" s="424"/>
    </row>
    <row r="954" spans="10:17" ht="12.5">
      <c r="J954" s="424"/>
      <c r="Q954" s="424"/>
    </row>
    <row r="955" spans="10:17" ht="12.5">
      <c r="J955" s="424"/>
      <c r="Q955" s="424"/>
    </row>
    <row r="956" spans="10:17" ht="12.5">
      <c r="J956" s="424"/>
      <c r="Q956" s="424"/>
    </row>
    <row r="957" spans="10:17" ht="12.5">
      <c r="J957" s="424"/>
      <c r="Q957" s="424"/>
    </row>
    <row r="958" spans="10:17" ht="12.5">
      <c r="J958" s="424"/>
      <c r="Q958" s="424"/>
    </row>
    <row r="959" spans="10:17" ht="12.5">
      <c r="J959" s="424"/>
      <c r="Q959" s="424"/>
    </row>
    <row r="960" spans="10:17" ht="12.5">
      <c r="J960" s="424"/>
      <c r="Q960" s="424"/>
    </row>
    <row r="961" spans="10:17" ht="12.5">
      <c r="J961" s="424"/>
      <c r="Q961" s="424"/>
    </row>
    <row r="962" spans="10:17" ht="12.5">
      <c r="J962" s="424"/>
      <c r="Q962" s="424"/>
    </row>
    <row r="963" spans="10:17" ht="12.5">
      <c r="J963" s="424"/>
      <c r="Q963" s="424"/>
    </row>
    <row r="964" spans="10:17" ht="12.5">
      <c r="J964" s="424"/>
      <c r="Q964" s="424"/>
    </row>
    <row r="965" spans="10:17" ht="12.5">
      <c r="J965" s="424"/>
      <c r="Q965" s="424"/>
    </row>
    <row r="966" spans="10:17" ht="12.5">
      <c r="J966" s="424"/>
      <c r="Q966" s="424"/>
    </row>
    <row r="967" spans="10:17" ht="12.5">
      <c r="J967" s="424"/>
      <c r="Q967" s="424"/>
    </row>
    <row r="968" spans="10:17" ht="12.5">
      <c r="J968" s="424"/>
      <c r="Q968" s="424"/>
    </row>
    <row r="969" spans="10:17" ht="12.5">
      <c r="J969" s="424"/>
      <c r="Q969" s="424"/>
    </row>
    <row r="970" spans="10:17" ht="12.5">
      <c r="J970" s="424"/>
      <c r="Q970" s="424"/>
    </row>
    <row r="971" spans="10:17" ht="12.5">
      <c r="J971" s="424"/>
      <c r="Q971" s="424"/>
    </row>
    <row r="972" spans="10:17" ht="12.5">
      <c r="J972" s="424"/>
      <c r="Q972" s="424"/>
    </row>
    <row r="973" spans="10:17" ht="12.5">
      <c r="J973" s="424"/>
      <c r="Q973" s="424"/>
    </row>
    <row r="974" spans="10:17" ht="12.5">
      <c r="J974" s="424"/>
      <c r="Q974" s="424"/>
    </row>
    <row r="975" spans="10:17" ht="12.5">
      <c r="J975" s="424"/>
      <c r="Q975" s="424"/>
    </row>
    <row r="976" spans="10:17" ht="12.5">
      <c r="J976" s="424"/>
      <c r="Q976" s="424"/>
    </row>
    <row r="977" spans="10:17" ht="12.5">
      <c r="J977" s="424"/>
      <c r="Q977" s="424"/>
    </row>
    <row r="978" spans="10:17" ht="12.5">
      <c r="J978" s="424"/>
      <c r="Q978" s="424"/>
    </row>
    <row r="979" spans="10:17" ht="12.5">
      <c r="J979" s="424"/>
      <c r="Q979" s="424"/>
    </row>
    <row r="980" spans="10:17" ht="12.5">
      <c r="J980" s="424"/>
      <c r="Q980" s="424"/>
    </row>
    <row r="981" spans="10:17" ht="12.5">
      <c r="J981" s="424"/>
      <c r="Q981" s="424"/>
    </row>
    <row r="982" spans="10:17" ht="12.5">
      <c r="J982" s="424"/>
      <c r="Q982" s="424"/>
    </row>
    <row r="983" spans="10:17" ht="12.5">
      <c r="J983" s="424"/>
      <c r="Q983" s="424"/>
    </row>
    <row r="984" spans="10:17" ht="12.5">
      <c r="J984" s="424"/>
      <c r="Q984" s="424"/>
    </row>
    <row r="985" spans="10:17" ht="12.5">
      <c r="J985" s="424"/>
      <c r="Q985" s="424"/>
    </row>
    <row r="986" spans="10:17" ht="12.5">
      <c r="J986" s="424"/>
      <c r="Q986" s="424"/>
    </row>
    <row r="987" spans="10:17" ht="12.5">
      <c r="J987" s="424"/>
      <c r="Q987" s="424"/>
    </row>
    <row r="988" spans="10:17" ht="12.5">
      <c r="J988" s="424"/>
      <c r="Q988" s="424"/>
    </row>
    <row r="989" spans="10:17" ht="12.5">
      <c r="J989" s="424"/>
      <c r="Q989" s="424"/>
    </row>
    <row r="990" spans="10:17" ht="12.5">
      <c r="J990" s="424"/>
      <c r="Q990" s="424"/>
    </row>
    <row r="991" spans="10:17" ht="12.5">
      <c r="J991" s="424"/>
      <c r="Q991" s="424"/>
    </row>
    <row r="992" spans="10:17" ht="12.5">
      <c r="J992" s="424"/>
      <c r="Q992" s="424"/>
    </row>
    <row r="993" spans="10:17" ht="12.5">
      <c r="J993" s="424"/>
      <c r="Q993" s="424"/>
    </row>
    <row r="994" spans="10:17" ht="12.5">
      <c r="J994" s="424"/>
      <c r="Q994" s="424"/>
    </row>
    <row r="995" spans="10:17" ht="12.5">
      <c r="J995" s="424"/>
      <c r="Q995" s="424"/>
    </row>
    <row r="996" spans="10:17" ht="12.5">
      <c r="J996" s="424"/>
      <c r="Q996" s="424"/>
    </row>
    <row r="997" spans="10:17" ht="12.5">
      <c r="J997" s="424"/>
      <c r="Q997" s="424"/>
    </row>
    <row r="998" spans="10:17" ht="12.5">
      <c r="J998" s="424"/>
      <c r="Q998" s="424"/>
    </row>
    <row r="999" spans="10:17" ht="12.5">
      <c r="J999" s="424"/>
      <c r="Q999" s="424"/>
    </row>
    <row r="1000" spans="10:17" ht="12.5">
      <c r="J1000" s="424"/>
      <c r="Q1000" s="424"/>
    </row>
    <row r="1001" spans="10:17" ht="12.5">
      <c r="J1001" s="424"/>
      <c r="Q1001" s="424"/>
    </row>
    <row r="1002" spans="10:17" ht="12.5">
      <c r="J1002" s="424"/>
      <c r="Q1002" s="424"/>
    </row>
    <row r="1003" spans="10:17" ht="12.5">
      <c r="J1003" s="424"/>
      <c r="Q1003" s="424"/>
    </row>
    <row r="1004" spans="10:17" ht="12.5">
      <c r="J1004" s="424"/>
      <c r="Q1004" s="424"/>
    </row>
    <row r="1005" spans="10:17" ht="12.5">
      <c r="J1005" s="424"/>
      <c r="Q1005" s="424"/>
    </row>
    <row r="1006" spans="10:17" ht="12.5">
      <c r="J1006" s="424"/>
      <c r="Q1006" s="424"/>
    </row>
    <row r="1007" spans="10:17" ht="12.5">
      <c r="J1007" s="424"/>
      <c r="Q1007" s="424"/>
    </row>
    <row r="1008" spans="10:17" ht="12.5">
      <c r="J1008" s="424"/>
      <c r="Q1008" s="424"/>
    </row>
    <row r="1009" spans="10:17" ht="12.5">
      <c r="J1009" s="424"/>
      <c r="Q1009" s="424"/>
    </row>
  </sheetData>
  <mergeCells count="9">
    <mergeCell ref="A50:A56"/>
    <mergeCell ref="C1:I1"/>
    <mergeCell ref="J1:P1"/>
    <mergeCell ref="Q1:W1"/>
    <mergeCell ref="X1:AD1"/>
    <mergeCell ref="A6:A8"/>
    <mergeCell ref="A10:A23"/>
    <mergeCell ref="A26:A32"/>
    <mergeCell ref="A35:A48"/>
  </mergeCells>
  <hyperlinks>
    <hyperlink ref="B10" r:id="rId1" xr:uid="{00000000-0004-0000-0700-000000000000}"/>
    <hyperlink ref="B11" r:id="rId2" xr:uid="{00000000-0004-0000-0700-000001000000}"/>
    <hyperlink ref="B12" r:id="rId3" xr:uid="{00000000-0004-0000-0700-000002000000}"/>
    <hyperlink ref="B13" r:id="rId4" xr:uid="{00000000-0004-0000-0700-000003000000}"/>
    <hyperlink ref="B14" r:id="rId5" xr:uid="{00000000-0004-0000-0700-000004000000}"/>
    <hyperlink ref="B15" r:id="rId6" xr:uid="{00000000-0004-0000-0700-000005000000}"/>
    <hyperlink ref="B16" r:id="rId7" xr:uid="{00000000-0004-0000-0700-000006000000}"/>
    <hyperlink ref="B17" r:id="rId8" xr:uid="{00000000-0004-0000-0700-000007000000}"/>
    <hyperlink ref="B18" r:id="rId9" xr:uid="{00000000-0004-0000-0700-000008000000}"/>
    <hyperlink ref="B19" r:id="rId10" xr:uid="{00000000-0004-0000-0700-000009000000}"/>
    <hyperlink ref="B20" r:id="rId11" xr:uid="{00000000-0004-0000-0700-00000A000000}"/>
    <hyperlink ref="B21" r:id="rId12" xr:uid="{00000000-0004-0000-0700-00000B000000}"/>
    <hyperlink ref="B22" r:id="rId13" xr:uid="{00000000-0004-0000-0700-00000C000000}"/>
    <hyperlink ref="B23" r:id="rId14" xr:uid="{00000000-0004-0000-0700-00000D000000}"/>
    <hyperlink ref="B25" r:id="rId15" xr:uid="{00000000-0004-0000-0700-00000E000000}"/>
    <hyperlink ref="B26" r:id="rId16" xr:uid="{00000000-0004-0000-0700-00000F000000}"/>
    <hyperlink ref="B27" r:id="rId17" xr:uid="{00000000-0004-0000-0700-000010000000}"/>
    <hyperlink ref="B28" r:id="rId18" xr:uid="{00000000-0004-0000-0700-000011000000}"/>
    <hyperlink ref="B29" r:id="rId19" xr:uid="{00000000-0004-0000-0700-000012000000}"/>
    <hyperlink ref="B30" r:id="rId20" xr:uid="{00000000-0004-0000-0700-000013000000}"/>
    <hyperlink ref="B31" r:id="rId21" xr:uid="{00000000-0004-0000-0700-000014000000}"/>
    <hyperlink ref="B32" r:id="rId22" xr:uid="{00000000-0004-0000-0700-000015000000}"/>
  </hyperlinks>
  <pageMargins left="0.7" right="0.7" top="0.75" bottom="0.75" header="0.3" footer="0.3"/>
  <legacyDrawing r:id="rId23"/>
  <tableParts count="15"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R1004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ColWidth="12.6328125" defaultRowHeight="15.75" customHeight="1" outlineLevelCol="1"/>
  <cols>
    <col min="1" max="1" width="13.6328125" customWidth="1"/>
    <col min="2" max="2" width="25.08984375" customWidth="1"/>
    <col min="3" max="15" width="12.6328125" outlineLevel="1"/>
    <col min="16" max="16" width="15" customWidth="1" outlineLevel="1"/>
    <col min="17" max="23" width="12.6328125" outlineLevel="1"/>
    <col min="31" max="44" width="15.08984375" customWidth="1"/>
  </cols>
  <sheetData>
    <row r="1" spans="1:44" ht="13">
      <c r="C1" s="620" t="s">
        <v>68</v>
      </c>
      <c r="D1" s="539"/>
      <c r="E1" s="539"/>
      <c r="F1" s="539"/>
      <c r="G1" s="539"/>
      <c r="H1" s="539"/>
      <c r="I1" s="539"/>
      <c r="J1" s="621" t="s">
        <v>69</v>
      </c>
      <c r="K1" s="539"/>
      <c r="L1" s="539"/>
      <c r="M1" s="539"/>
      <c r="N1" s="539"/>
      <c r="O1" s="539"/>
      <c r="P1" s="539"/>
      <c r="Q1" s="622" t="s">
        <v>70</v>
      </c>
      <c r="R1" s="546"/>
      <c r="S1" s="546"/>
      <c r="T1" s="546"/>
      <c r="U1" s="546"/>
      <c r="V1" s="546"/>
      <c r="W1" s="547"/>
      <c r="X1" s="570" t="s">
        <v>71</v>
      </c>
      <c r="Y1" s="546"/>
      <c r="Z1" s="546"/>
      <c r="AA1" s="546"/>
      <c r="AB1" s="546"/>
      <c r="AC1" s="546"/>
      <c r="AD1" s="547"/>
      <c r="AE1" s="629" t="s">
        <v>72</v>
      </c>
      <c r="AF1" s="554"/>
      <c r="AG1" s="554"/>
      <c r="AH1" s="554"/>
      <c r="AI1" s="554"/>
      <c r="AJ1" s="554"/>
      <c r="AK1" s="555"/>
      <c r="AL1" s="627" t="s">
        <v>73</v>
      </c>
      <c r="AM1" s="554"/>
      <c r="AN1" s="554"/>
      <c r="AO1" s="554"/>
      <c r="AP1" s="554"/>
      <c r="AQ1" s="554"/>
      <c r="AR1" s="555"/>
    </row>
    <row r="2" spans="1:44" ht="12.5">
      <c r="A2" s="351" t="s">
        <v>398</v>
      </c>
      <c r="B2" s="351"/>
      <c r="C2" s="433">
        <v>45894</v>
      </c>
      <c r="D2" s="434">
        <v>45895</v>
      </c>
      <c r="E2" s="433">
        <v>45896</v>
      </c>
      <c r="F2" s="433">
        <v>45897</v>
      </c>
      <c r="G2" s="433">
        <v>45898</v>
      </c>
      <c r="H2" s="433">
        <v>45899</v>
      </c>
      <c r="I2" s="433">
        <v>45900</v>
      </c>
      <c r="J2" s="435">
        <v>45901</v>
      </c>
      <c r="K2" s="433">
        <v>45902</v>
      </c>
      <c r="L2" s="433">
        <v>45903</v>
      </c>
      <c r="M2" s="433">
        <v>45904</v>
      </c>
      <c r="N2" s="433">
        <v>45905</v>
      </c>
      <c r="O2" s="433">
        <v>45906</v>
      </c>
      <c r="P2" s="433">
        <v>45907</v>
      </c>
      <c r="Q2" s="436">
        <v>45908</v>
      </c>
      <c r="R2" s="437">
        <v>45909</v>
      </c>
      <c r="S2" s="437">
        <v>45910</v>
      </c>
      <c r="T2" s="437">
        <v>45911</v>
      </c>
      <c r="U2" s="437">
        <v>45912</v>
      </c>
      <c r="V2" s="437">
        <v>45913</v>
      </c>
      <c r="W2" s="438">
        <v>45914</v>
      </c>
      <c r="X2" s="439">
        <v>45915</v>
      </c>
      <c r="Y2" s="439">
        <v>45916</v>
      </c>
      <c r="Z2" s="439">
        <v>45917</v>
      </c>
      <c r="AA2" s="439">
        <v>45918</v>
      </c>
      <c r="AB2" s="439">
        <v>45919</v>
      </c>
      <c r="AC2" s="439">
        <v>45920</v>
      </c>
      <c r="AD2" s="439">
        <v>45921</v>
      </c>
      <c r="AE2" s="440">
        <v>45922</v>
      </c>
      <c r="AF2" s="440">
        <v>45923</v>
      </c>
      <c r="AG2" s="440">
        <v>45924</v>
      </c>
      <c r="AH2" s="440">
        <v>45925</v>
      </c>
      <c r="AI2" s="440">
        <v>45926</v>
      </c>
      <c r="AJ2" s="440">
        <v>45927</v>
      </c>
      <c r="AK2" s="440">
        <v>45928</v>
      </c>
      <c r="AL2" s="440">
        <v>45929</v>
      </c>
      <c r="AM2" s="440">
        <v>45930</v>
      </c>
      <c r="AN2" s="440">
        <v>45931</v>
      </c>
      <c r="AO2" s="440">
        <v>45932</v>
      </c>
      <c r="AP2" s="440">
        <v>45933</v>
      </c>
      <c r="AQ2" s="440">
        <v>45934</v>
      </c>
      <c r="AR2" s="440">
        <v>45935</v>
      </c>
    </row>
    <row r="3" spans="1:44" ht="12" customHeight="1">
      <c r="A3" s="195"/>
      <c r="B3" s="441" t="s">
        <v>27</v>
      </c>
      <c r="C3" s="342">
        <f>COUNTIF(C9:C22,"congé")+COUNTIF(C25:C31,"congé")</f>
        <v>0</v>
      </c>
      <c r="D3" s="442">
        <v>0</v>
      </c>
      <c r="E3" s="442">
        <v>0</v>
      </c>
      <c r="F3" s="442">
        <v>0</v>
      </c>
      <c r="G3" s="442">
        <v>0</v>
      </c>
      <c r="H3" s="442">
        <v>0</v>
      </c>
      <c r="I3" s="442">
        <v>0</v>
      </c>
      <c r="J3" s="443">
        <v>0</v>
      </c>
      <c r="K3" s="442">
        <v>0</v>
      </c>
      <c r="L3" s="442">
        <v>0</v>
      </c>
      <c r="M3" s="442">
        <v>0</v>
      </c>
      <c r="N3" s="442">
        <v>0</v>
      </c>
      <c r="O3" s="442">
        <v>0</v>
      </c>
      <c r="P3" s="442">
        <v>0</v>
      </c>
      <c r="Q3" s="442">
        <v>0</v>
      </c>
      <c r="R3" s="442">
        <v>0</v>
      </c>
      <c r="S3" s="442">
        <v>0</v>
      </c>
      <c r="T3" s="442">
        <v>0</v>
      </c>
      <c r="U3" s="442">
        <v>0</v>
      </c>
      <c r="V3" s="442">
        <v>0</v>
      </c>
      <c r="W3" s="442">
        <v>0</v>
      </c>
      <c r="X3" s="442">
        <v>0</v>
      </c>
      <c r="Y3" s="442">
        <v>0</v>
      </c>
      <c r="Z3" s="442">
        <v>0</v>
      </c>
      <c r="AA3" s="442">
        <v>0</v>
      </c>
      <c r="AB3" s="442">
        <v>0</v>
      </c>
      <c r="AC3" s="442">
        <v>0</v>
      </c>
      <c r="AD3" s="442">
        <v>0</v>
      </c>
      <c r="AE3" s="444">
        <v>0</v>
      </c>
      <c r="AF3" s="444">
        <v>0</v>
      </c>
      <c r="AG3" s="444">
        <v>0</v>
      </c>
      <c r="AH3" s="444">
        <v>0</v>
      </c>
      <c r="AI3" s="444">
        <v>0</v>
      </c>
      <c r="AJ3" s="444">
        <v>0</v>
      </c>
      <c r="AK3" s="444">
        <v>0</v>
      </c>
      <c r="AL3" s="444">
        <v>0</v>
      </c>
      <c r="AM3" s="444">
        <v>0</v>
      </c>
      <c r="AN3" s="444">
        <v>0</v>
      </c>
      <c r="AO3" s="444">
        <v>0</v>
      </c>
      <c r="AP3" s="444">
        <v>0</v>
      </c>
      <c r="AQ3" s="444">
        <v>0</v>
      </c>
      <c r="AR3" s="444">
        <v>0</v>
      </c>
    </row>
    <row r="4" spans="1:44" ht="12" customHeight="1">
      <c r="A4" s="195"/>
      <c r="B4" s="441" t="s">
        <v>2</v>
      </c>
      <c r="C4" s="442">
        <v>3</v>
      </c>
      <c r="D4" s="442">
        <v>3</v>
      </c>
      <c r="E4" s="442">
        <v>3</v>
      </c>
      <c r="F4" s="442">
        <v>3</v>
      </c>
      <c r="G4" s="442">
        <v>3</v>
      </c>
      <c r="H4" s="442">
        <v>3</v>
      </c>
      <c r="I4" s="442">
        <v>3</v>
      </c>
      <c r="J4" s="443">
        <v>3</v>
      </c>
      <c r="K4" s="442">
        <v>3</v>
      </c>
      <c r="L4" s="442">
        <v>3</v>
      </c>
      <c r="M4" s="442">
        <v>3</v>
      </c>
      <c r="N4" s="442">
        <v>3</v>
      </c>
      <c r="O4" s="442">
        <v>3</v>
      </c>
      <c r="P4" s="442">
        <v>3</v>
      </c>
      <c r="Q4" s="442">
        <v>3</v>
      </c>
      <c r="R4" s="442">
        <v>3</v>
      </c>
      <c r="S4" s="442">
        <v>3</v>
      </c>
      <c r="T4" s="442">
        <v>3</v>
      </c>
      <c r="U4" s="442">
        <v>3</v>
      </c>
      <c r="V4" s="442">
        <v>3</v>
      </c>
      <c r="W4" s="442">
        <v>3</v>
      </c>
      <c r="X4" s="442">
        <v>3</v>
      </c>
      <c r="Y4" s="442">
        <v>3</v>
      </c>
      <c r="Z4" s="442">
        <v>3</v>
      </c>
      <c r="AA4" s="442">
        <v>3</v>
      </c>
      <c r="AB4" s="442">
        <v>3</v>
      </c>
      <c r="AC4" s="442">
        <v>3</v>
      </c>
      <c r="AD4" s="442">
        <v>3</v>
      </c>
      <c r="AE4" s="444">
        <v>3</v>
      </c>
      <c r="AF4" s="444">
        <v>3</v>
      </c>
      <c r="AG4" s="444">
        <v>3</v>
      </c>
      <c r="AH4" s="444">
        <v>3</v>
      </c>
      <c r="AI4" s="444">
        <v>3</v>
      </c>
      <c r="AJ4" s="444">
        <v>3</v>
      </c>
      <c r="AK4" s="444">
        <v>3</v>
      </c>
      <c r="AL4" s="444">
        <v>3</v>
      </c>
      <c r="AM4" s="444">
        <v>3</v>
      </c>
      <c r="AN4" s="444">
        <v>3</v>
      </c>
      <c r="AO4" s="444">
        <v>3</v>
      </c>
      <c r="AP4" s="444">
        <v>3</v>
      </c>
      <c r="AQ4" s="444">
        <v>3</v>
      </c>
      <c r="AR4" s="444">
        <v>3</v>
      </c>
    </row>
    <row r="5" spans="1:44" ht="12" customHeight="1">
      <c r="A5" s="195"/>
      <c r="B5" s="441" t="s">
        <v>101</v>
      </c>
      <c r="C5" s="442">
        <f t="shared" ref="C5:P5" si="0">COUNTIFS(C8:C19,"&lt;&gt;"&amp;"OFF",C8:C19,"&lt;&gt;"&amp;"ABS",C8:C19,"&lt;&gt;"&amp;"CP",C8:C19,"&lt;&gt;"&amp;"FERIE",C8:C19,"&lt;&gt;*🎧*")</f>
        <v>7</v>
      </c>
      <c r="D5" s="442">
        <f t="shared" si="0"/>
        <v>7</v>
      </c>
      <c r="E5" s="442">
        <f t="shared" si="0"/>
        <v>7</v>
      </c>
      <c r="F5" s="442">
        <f t="shared" si="0"/>
        <v>5</v>
      </c>
      <c r="G5" s="442">
        <f t="shared" si="0"/>
        <v>7</v>
      </c>
      <c r="H5" s="442">
        <f t="shared" si="0"/>
        <v>7</v>
      </c>
      <c r="I5" s="442">
        <f t="shared" si="0"/>
        <v>2</v>
      </c>
      <c r="J5" s="443">
        <f t="shared" si="0"/>
        <v>7</v>
      </c>
      <c r="K5" s="442">
        <f t="shared" si="0"/>
        <v>6</v>
      </c>
      <c r="L5" s="442">
        <f t="shared" si="0"/>
        <v>5</v>
      </c>
      <c r="M5" s="442">
        <f t="shared" si="0"/>
        <v>6</v>
      </c>
      <c r="N5" s="442">
        <f t="shared" si="0"/>
        <v>6</v>
      </c>
      <c r="O5" s="442">
        <f t="shared" si="0"/>
        <v>4</v>
      </c>
      <c r="P5" s="442">
        <f t="shared" si="0"/>
        <v>3</v>
      </c>
      <c r="Q5" s="443">
        <f t="shared" ref="Q5:W5" si="1">COUNTIFS(Q9:Q19,"&lt;&gt;"&amp;"OFF",Q9:Q19,"&lt;&gt;"&amp;"ABS",Q9:Q19,"&lt;&gt;"&amp;"CP",Q9:Q19,"&lt;&gt;"&amp;"FERIE",Q9:Q19,"&lt;&gt;*🎧*")</f>
        <v>7</v>
      </c>
      <c r="R5" s="442">
        <f t="shared" si="1"/>
        <v>7</v>
      </c>
      <c r="S5" s="442">
        <f t="shared" si="1"/>
        <v>5</v>
      </c>
      <c r="T5" s="442">
        <f t="shared" si="1"/>
        <v>4</v>
      </c>
      <c r="U5" s="442">
        <f t="shared" si="1"/>
        <v>5</v>
      </c>
      <c r="V5" s="442">
        <f t="shared" si="1"/>
        <v>4</v>
      </c>
      <c r="W5" s="442">
        <f t="shared" si="1"/>
        <v>5</v>
      </c>
      <c r="X5" s="442">
        <f t="shared" ref="X5:AD5" si="2">COUNTIFS(X8:X19,"&lt;&gt;"&amp;"OFF",X8:X19,"&lt;&gt;"&amp;"ABS",X8:X19,"&lt;&gt;"&amp;"CP",X8:X19,"&lt;&gt;"&amp;"FERIE",X8:X19,"&lt;&gt;*🎧*")</f>
        <v>7</v>
      </c>
      <c r="Y5" s="442">
        <f t="shared" si="2"/>
        <v>7</v>
      </c>
      <c r="Z5" s="442">
        <f t="shared" si="2"/>
        <v>6</v>
      </c>
      <c r="AA5" s="442">
        <f t="shared" si="2"/>
        <v>6</v>
      </c>
      <c r="AB5" s="442">
        <f t="shared" si="2"/>
        <v>5</v>
      </c>
      <c r="AC5" s="442">
        <f t="shared" si="2"/>
        <v>4</v>
      </c>
      <c r="AD5" s="442">
        <f t="shared" si="2"/>
        <v>5</v>
      </c>
      <c r="AE5" s="444">
        <v>7</v>
      </c>
      <c r="AF5" s="444">
        <v>6</v>
      </c>
      <c r="AG5" s="444">
        <v>7</v>
      </c>
      <c r="AH5" s="444">
        <v>7</v>
      </c>
      <c r="AI5" s="444">
        <v>6</v>
      </c>
      <c r="AJ5" s="444">
        <v>5</v>
      </c>
      <c r="AK5" s="444">
        <v>5</v>
      </c>
      <c r="AL5" s="444">
        <v>7</v>
      </c>
      <c r="AM5" s="444">
        <v>6</v>
      </c>
      <c r="AN5" s="444">
        <v>6</v>
      </c>
      <c r="AO5" s="444">
        <v>7</v>
      </c>
      <c r="AP5" s="444">
        <v>6</v>
      </c>
      <c r="AQ5" s="444">
        <v>6</v>
      </c>
      <c r="AR5" s="444">
        <v>6</v>
      </c>
    </row>
    <row r="6" spans="1:44" ht="12" customHeight="1">
      <c r="A6" s="396"/>
      <c r="B6" s="445" t="s">
        <v>478</v>
      </c>
      <c r="C6" s="348">
        <f t="shared" ref="C6:Q6" si="3">COUNTIF(C8:C19,"*🎧*")</f>
        <v>2</v>
      </c>
      <c r="D6" s="348">
        <f t="shared" si="3"/>
        <v>2</v>
      </c>
      <c r="E6" s="348">
        <f t="shared" si="3"/>
        <v>2</v>
      </c>
      <c r="F6" s="348">
        <f t="shared" si="3"/>
        <v>3</v>
      </c>
      <c r="G6" s="348">
        <f t="shared" si="3"/>
        <v>2</v>
      </c>
      <c r="H6" s="348">
        <f t="shared" si="3"/>
        <v>2</v>
      </c>
      <c r="I6" s="348">
        <f t="shared" si="3"/>
        <v>5</v>
      </c>
      <c r="J6" s="349">
        <f t="shared" si="3"/>
        <v>3</v>
      </c>
      <c r="K6" s="348">
        <f t="shared" si="3"/>
        <v>3</v>
      </c>
      <c r="L6" s="348">
        <f t="shared" si="3"/>
        <v>3</v>
      </c>
      <c r="M6" s="348">
        <f t="shared" si="3"/>
        <v>3</v>
      </c>
      <c r="N6" s="348">
        <f t="shared" si="3"/>
        <v>3</v>
      </c>
      <c r="O6" s="348">
        <f t="shared" si="3"/>
        <v>2</v>
      </c>
      <c r="P6" s="348">
        <f t="shared" si="3"/>
        <v>6</v>
      </c>
      <c r="Q6" s="349">
        <f t="shared" si="3"/>
        <v>3</v>
      </c>
      <c r="R6" s="348">
        <v>3</v>
      </c>
      <c r="S6" s="348">
        <v>3</v>
      </c>
      <c r="T6" s="348">
        <v>3</v>
      </c>
      <c r="U6" s="348">
        <v>3</v>
      </c>
      <c r="V6" s="348">
        <v>3</v>
      </c>
      <c r="W6" s="348">
        <v>3</v>
      </c>
      <c r="X6" s="349">
        <f t="shared" ref="X6:Z6" si="4">COUNTIF(X9:X19,"*🎧*")</f>
        <v>3</v>
      </c>
      <c r="Y6" s="348">
        <f t="shared" si="4"/>
        <v>3</v>
      </c>
      <c r="Z6" s="348">
        <f t="shared" si="4"/>
        <v>3</v>
      </c>
      <c r="AA6" s="348">
        <f t="shared" ref="AA6:AB6" si="5">COUNTIF(AA10:AA19,"*🎧*")</f>
        <v>3</v>
      </c>
      <c r="AB6" s="348">
        <f t="shared" si="5"/>
        <v>3</v>
      </c>
      <c r="AC6" s="348">
        <f t="shared" ref="AC6:AD6" si="6">COUNTIF(AC9:AC19,"*🎧*")</f>
        <v>3</v>
      </c>
      <c r="AD6" s="348">
        <f t="shared" si="6"/>
        <v>2</v>
      </c>
      <c r="AE6" s="446">
        <v>3</v>
      </c>
      <c r="AF6" s="446">
        <v>3</v>
      </c>
      <c r="AG6" s="446">
        <v>3</v>
      </c>
      <c r="AH6" s="446">
        <v>2</v>
      </c>
      <c r="AI6" s="446">
        <v>1</v>
      </c>
      <c r="AJ6" s="446">
        <v>2</v>
      </c>
      <c r="AK6" s="446">
        <v>2</v>
      </c>
      <c r="AL6" s="446">
        <v>3</v>
      </c>
      <c r="AM6" s="446">
        <v>3</v>
      </c>
      <c r="AN6" s="446">
        <v>3</v>
      </c>
      <c r="AO6" s="446">
        <v>2</v>
      </c>
      <c r="AP6" s="446">
        <v>2</v>
      </c>
      <c r="AQ6" s="446">
        <v>2</v>
      </c>
      <c r="AR6" s="446">
        <v>1</v>
      </c>
    </row>
    <row r="7" spans="1:44" ht="13">
      <c r="A7" s="447" t="s">
        <v>479</v>
      </c>
      <c r="B7" s="405" t="s">
        <v>44</v>
      </c>
      <c r="C7" s="352" t="s">
        <v>11</v>
      </c>
      <c r="D7" s="352" t="s">
        <v>11</v>
      </c>
      <c r="E7" s="352" t="s">
        <v>11</v>
      </c>
      <c r="F7" s="353" t="s">
        <v>2</v>
      </c>
      <c r="G7" s="352" t="s">
        <v>11</v>
      </c>
      <c r="H7" s="352" t="s">
        <v>11</v>
      </c>
      <c r="I7" s="353" t="s">
        <v>2</v>
      </c>
      <c r="J7" s="354" t="s">
        <v>11</v>
      </c>
      <c r="K7" s="352" t="s">
        <v>11</v>
      </c>
      <c r="L7" s="352" t="s">
        <v>11</v>
      </c>
      <c r="M7" s="352" t="s">
        <v>11</v>
      </c>
      <c r="N7" s="352" t="s">
        <v>11</v>
      </c>
      <c r="O7" s="353" t="s">
        <v>2</v>
      </c>
      <c r="P7" s="353" t="s">
        <v>2</v>
      </c>
      <c r="AE7" s="351"/>
      <c r="AF7" s="351"/>
      <c r="AG7" s="351"/>
    </row>
    <row r="8" spans="1:44" ht="13">
      <c r="A8" s="628" t="s">
        <v>1</v>
      </c>
      <c r="B8" s="448" t="s">
        <v>487</v>
      </c>
      <c r="C8" s="385" t="s">
        <v>8</v>
      </c>
      <c r="D8" s="385" t="s">
        <v>8</v>
      </c>
      <c r="E8" s="361" t="s">
        <v>2</v>
      </c>
      <c r="F8" s="361" t="s">
        <v>2</v>
      </c>
      <c r="G8" s="360" t="s">
        <v>6</v>
      </c>
      <c r="H8" s="360" t="s">
        <v>6</v>
      </c>
      <c r="I8" s="362" t="s">
        <v>4</v>
      </c>
      <c r="J8" s="388" t="s">
        <v>2</v>
      </c>
      <c r="K8" s="361" t="s">
        <v>2</v>
      </c>
      <c r="L8" s="386" t="s">
        <v>12</v>
      </c>
      <c r="M8" s="386" t="s">
        <v>12</v>
      </c>
      <c r="N8" s="386" t="s">
        <v>12</v>
      </c>
      <c r="O8" s="386" t="s">
        <v>12</v>
      </c>
      <c r="P8" s="386" t="s">
        <v>12</v>
      </c>
      <c r="Q8" s="366" t="s">
        <v>9</v>
      </c>
      <c r="R8" s="367" t="s">
        <v>9</v>
      </c>
      <c r="S8" s="367" t="s">
        <v>8</v>
      </c>
      <c r="T8" s="368" t="s">
        <v>16</v>
      </c>
      <c r="U8" s="369" t="s">
        <v>2</v>
      </c>
      <c r="V8" s="369" t="s">
        <v>2</v>
      </c>
      <c r="W8" s="449" t="s">
        <v>3</v>
      </c>
      <c r="X8" s="366" t="s">
        <v>8</v>
      </c>
      <c r="Y8" s="367" t="s">
        <v>8</v>
      </c>
      <c r="Z8" s="369" t="s">
        <v>2</v>
      </c>
      <c r="AA8" s="369" t="s">
        <v>2</v>
      </c>
      <c r="AB8" s="387" t="s">
        <v>16</v>
      </c>
      <c r="AC8" s="387" t="s">
        <v>16</v>
      </c>
      <c r="AD8" s="449" t="s">
        <v>3</v>
      </c>
      <c r="AE8" s="387" t="s">
        <v>11</v>
      </c>
      <c r="AF8" s="387" t="s">
        <v>11</v>
      </c>
      <c r="AG8" s="387" t="s">
        <v>11</v>
      </c>
      <c r="AH8" s="387" t="s">
        <v>16</v>
      </c>
      <c r="AI8" s="387" t="s">
        <v>15</v>
      </c>
      <c r="AJ8" s="387" t="s">
        <v>2</v>
      </c>
      <c r="AK8" s="449" t="s">
        <v>2</v>
      </c>
      <c r="AL8" s="374" t="s">
        <v>2</v>
      </c>
      <c r="AM8" s="450" t="s">
        <v>5</v>
      </c>
      <c r="AN8" s="450" t="s">
        <v>5</v>
      </c>
      <c r="AO8" s="451" t="s">
        <v>11</v>
      </c>
      <c r="AP8" s="451" t="s">
        <v>11</v>
      </c>
      <c r="AQ8" s="451" t="s">
        <v>11</v>
      </c>
      <c r="AR8" s="374" t="s">
        <v>2</v>
      </c>
    </row>
    <row r="9" spans="1:44" ht="13">
      <c r="A9" s="539"/>
      <c r="B9" s="448" t="s">
        <v>131</v>
      </c>
      <c r="C9" s="364" t="s">
        <v>11</v>
      </c>
      <c r="D9" s="364" t="s">
        <v>11</v>
      </c>
      <c r="E9" s="364" t="s">
        <v>11</v>
      </c>
      <c r="F9" s="360" t="s">
        <v>5</v>
      </c>
      <c r="G9" s="361" t="s">
        <v>2</v>
      </c>
      <c r="H9" s="361" t="s">
        <v>2</v>
      </c>
      <c r="I9" s="362" t="s">
        <v>4</v>
      </c>
      <c r="J9" s="378" t="s">
        <v>5</v>
      </c>
      <c r="K9" s="360" t="s">
        <v>5</v>
      </c>
      <c r="L9" s="360" t="s">
        <v>6</v>
      </c>
      <c r="M9" s="360" t="s">
        <v>5</v>
      </c>
      <c r="N9" s="361" t="s">
        <v>2</v>
      </c>
      <c r="O9" s="361" t="s">
        <v>2</v>
      </c>
      <c r="P9" s="362" t="s">
        <v>4</v>
      </c>
      <c r="Q9" s="379" t="s">
        <v>5</v>
      </c>
      <c r="R9" s="369" t="s">
        <v>2</v>
      </c>
      <c r="S9" s="369" t="s">
        <v>2</v>
      </c>
      <c r="T9" s="380" t="s">
        <v>5</v>
      </c>
      <c r="U9" s="380" t="s">
        <v>5</v>
      </c>
      <c r="V9" s="380" t="s">
        <v>6</v>
      </c>
      <c r="W9" s="449" t="s">
        <v>3</v>
      </c>
      <c r="X9" s="381" t="s">
        <v>2</v>
      </c>
      <c r="Y9" s="387" t="s">
        <v>16</v>
      </c>
      <c r="Z9" s="387" t="s">
        <v>16</v>
      </c>
      <c r="AA9" s="387" t="s">
        <v>16</v>
      </c>
      <c r="AB9" s="367" t="s">
        <v>8</v>
      </c>
      <c r="AC9" s="369" t="s">
        <v>2</v>
      </c>
      <c r="AD9" s="449" t="s">
        <v>3</v>
      </c>
      <c r="AE9" s="369" t="s">
        <v>12</v>
      </c>
      <c r="AF9" s="369" t="s">
        <v>12</v>
      </c>
      <c r="AG9" s="369" t="s">
        <v>2</v>
      </c>
      <c r="AH9" s="369" t="s">
        <v>2</v>
      </c>
      <c r="AI9" s="369" t="s">
        <v>12</v>
      </c>
      <c r="AJ9" s="369" t="s">
        <v>12</v>
      </c>
      <c r="AK9" s="449" t="s">
        <v>3</v>
      </c>
      <c r="AL9" s="452" t="s">
        <v>12</v>
      </c>
      <c r="AM9" s="430" t="s">
        <v>2</v>
      </c>
      <c r="AN9" s="430" t="s">
        <v>2</v>
      </c>
      <c r="AO9" s="452" t="s">
        <v>12</v>
      </c>
      <c r="AP9" s="452" t="s">
        <v>12</v>
      </c>
      <c r="AQ9" s="452" t="s">
        <v>12</v>
      </c>
      <c r="AR9" s="453" t="s">
        <v>3</v>
      </c>
    </row>
    <row r="10" spans="1:44" ht="13">
      <c r="A10" s="539"/>
      <c r="B10" s="454" t="s">
        <v>154</v>
      </c>
      <c r="C10" s="455" t="s">
        <v>11</v>
      </c>
      <c r="D10" s="361" t="s">
        <v>2</v>
      </c>
      <c r="E10" s="361" t="s">
        <v>2</v>
      </c>
      <c r="F10" s="376" t="s">
        <v>19</v>
      </c>
      <c r="G10" s="385" t="s">
        <v>8</v>
      </c>
      <c r="H10" s="385" t="s">
        <v>8</v>
      </c>
      <c r="I10" s="377" t="s">
        <v>7</v>
      </c>
      <c r="J10" s="363" t="s">
        <v>11</v>
      </c>
      <c r="K10" s="361" t="s">
        <v>2</v>
      </c>
      <c r="L10" s="361" t="s">
        <v>2</v>
      </c>
      <c r="M10" s="375" t="s">
        <v>16</v>
      </c>
      <c r="N10" s="375" t="s">
        <v>16</v>
      </c>
      <c r="O10" s="375" t="s">
        <v>16</v>
      </c>
      <c r="P10" s="377" t="s">
        <v>14</v>
      </c>
      <c r="Q10" s="371" t="s">
        <v>11</v>
      </c>
      <c r="R10" s="373" t="s">
        <v>11</v>
      </c>
      <c r="S10" s="369" t="s">
        <v>2</v>
      </c>
      <c r="T10" s="387" t="s">
        <v>16</v>
      </c>
      <c r="U10" s="387" t="s">
        <v>16</v>
      </c>
      <c r="V10" s="387" t="s">
        <v>16</v>
      </c>
      <c r="W10" s="374" t="s">
        <v>2</v>
      </c>
      <c r="X10" s="379" t="s">
        <v>5</v>
      </c>
      <c r="Y10" s="369" t="s">
        <v>2</v>
      </c>
      <c r="Z10" s="369" t="s">
        <v>2</v>
      </c>
      <c r="AA10" s="380" t="s">
        <v>5</v>
      </c>
      <c r="AB10" s="380" t="s">
        <v>5</v>
      </c>
      <c r="AC10" s="380" t="s">
        <v>6</v>
      </c>
      <c r="AD10" s="449" t="s">
        <v>3</v>
      </c>
      <c r="AE10" s="380" t="s">
        <v>6</v>
      </c>
      <c r="AF10" s="380" t="s">
        <v>2</v>
      </c>
      <c r="AG10" s="380" t="s">
        <v>8</v>
      </c>
      <c r="AH10" s="380" t="s">
        <v>8</v>
      </c>
      <c r="AI10" s="380" t="s">
        <v>8</v>
      </c>
      <c r="AJ10" s="380" t="s">
        <v>2</v>
      </c>
      <c r="AK10" s="449" t="s">
        <v>18</v>
      </c>
      <c r="AL10" s="456" t="s">
        <v>16</v>
      </c>
      <c r="AM10" s="456" t="s">
        <v>16</v>
      </c>
      <c r="AN10" s="456" t="s">
        <v>16</v>
      </c>
      <c r="AO10" s="430" t="s">
        <v>2</v>
      </c>
      <c r="AP10" s="430" t="s">
        <v>2</v>
      </c>
      <c r="AQ10" s="457" t="s">
        <v>8</v>
      </c>
      <c r="AR10" s="458" t="s">
        <v>7</v>
      </c>
    </row>
    <row r="11" spans="1:44" ht="13">
      <c r="A11" s="539"/>
      <c r="B11" s="448" t="s">
        <v>252</v>
      </c>
      <c r="C11" s="375" t="s">
        <v>16</v>
      </c>
      <c r="D11" s="375" t="s">
        <v>16</v>
      </c>
      <c r="E11" s="375" t="s">
        <v>16</v>
      </c>
      <c r="F11" s="361" t="s">
        <v>2</v>
      </c>
      <c r="G11" s="361" t="s">
        <v>2</v>
      </c>
      <c r="H11" s="364" t="s">
        <v>11</v>
      </c>
      <c r="I11" s="362" t="s">
        <v>4</v>
      </c>
      <c r="J11" s="363" t="s">
        <v>11</v>
      </c>
      <c r="K11" s="360" t="s">
        <v>6</v>
      </c>
      <c r="L11" s="361" t="s">
        <v>2</v>
      </c>
      <c r="M11" s="361" t="s">
        <v>2</v>
      </c>
      <c r="N11" s="364" t="s">
        <v>11</v>
      </c>
      <c r="O11" s="364" t="s">
        <v>11</v>
      </c>
      <c r="P11" s="377" t="s">
        <v>488</v>
      </c>
      <c r="Q11" s="381" t="s">
        <v>2</v>
      </c>
      <c r="R11" s="380" t="s">
        <v>6</v>
      </c>
      <c r="S11" s="380" t="s">
        <v>6</v>
      </c>
      <c r="T11" s="380" t="s">
        <v>6</v>
      </c>
      <c r="U11" s="380" t="s">
        <v>6</v>
      </c>
      <c r="V11" s="369" t="s">
        <v>2</v>
      </c>
      <c r="W11" s="449" t="s">
        <v>3</v>
      </c>
      <c r="X11" s="371" t="s">
        <v>11</v>
      </c>
      <c r="Y11" s="373" t="s">
        <v>11</v>
      </c>
      <c r="Z11" s="369" t="s">
        <v>2</v>
      </c>
      <c r="AA11" s="387" t="s">
        <v>16</v>
      </c>
      <c r="AB11" s="387" t="s">
        <v>16</v>
      </c>
      <c r="AC11" s="387" t="s">
        <v>16</v>
      </c>
      <c r="AD11" s="374" t="s">
        <v>2</v>
      </c>
      <c r="AE11" s="387" t="s">
        <v>5</v>
      </c>
      <c r="AF11" s="387" t="s">
        <v>2</v>
      </c>
      <c r="AG11" s="387" t="s">
        <v>2</v>
      </c>
      <c r="AH11" s="387" t="s">
        <v>6</v>
      </c>
      <c r="AI11" s="387" t="s">
        <v>6</v>
      </c>
      <c r="AJ11" s="387" t="s">
        <v>6</v>
      </c>
      <c r="AK11" s="374" t="s">
        <v>3</v>
      </c>
      <c r="AL11" s="459" t="s">
        <v>10</v>
      </c>
      <c r="AM11" s="459" t="s">
        <v>10</v>
      </c>
      <c r="AN11" s="459" t="s">
        <v>10</v>
      </c>
      <c r="AO11" s="459" t="s">
        <v>11</v>
      </c>
      <c r="AP11" s="430" t="s">
        <v>2</v>
      </c>
      <c r="AQ11" s="456" t="s">
        <v>15</v>
      </c>
      <c r="AR11" s="430" t="s">
        <v>2</v>
      </c>
    </row>
    <row r="12" spans="1:44" ht="13">
      <c r="A12" s="539"/>
      <c r="B12" s="454" t="s">
        <v>166</v>
      </c>
      <c r="C12" s="360" t="s">
        <v>5</v>
      </c>
      <c r="D12" s="360" t="s">
        <v>5</v>
      </c>
      <c r="E12" s="360" t="s">
        <v>5</v>
      </c>
      <c r="F12" s="361" t="s">
        <v>2</v>
      </c>
      <c r="G12" s="360" t="s">
        <v>5</v>
      </c>
      <c r="H12" s="360" t="s">
        <v>5</v>
      </c>
      <c r="I12" s="361" t="s">
        <v>2</v>
      </c>
      <c r="J12" s="394" t="s">
        <v>16</v>
      </c>
      <c r="K12" s="375" t="s">
        <v>16</v>
      </c>
      <c r="L12" s="375" t="s">
        <v>16</v>
      </c>
      <c r="M12" s="361" t="s">
        <v>2</v>
      </c>
      <c r="N12" s="361" t="s">
        <v>2</v>
      </c>
      <c r="O12" s="375" t="s">
        <v>16</v>
      </c>
      <c r="P12" s="377" t="s">
        <v>14</v>
      </c>
      <c r="Q12" s="379" t="s">
        <v>6</v>
      </c>
      <c r="R12" s="373" t="s">
        <v>11</v>
      </c>
      <c r="S12" s="367" t="s">
        <v>9</v>
      </c>
      <c r="T12" s="367" t="s">
        <v>9</v>
      </c>
      <c r="U12" s="367" t="s">
        <v>9</v>
      </c>
      <c r="V12" s="369" t="s">
        <v>2</v>
      </c>
      <c r="W12" s="369" t="s">
        <v>2</v>
      </c>
      <c r="X12" s="371" t="s">
        <v>10</v>
      </c>
      <c r="Y12" s="369" t="s">
        <v>2</v>
      </c>
      <c r="Z12" s="371" t="s">
        <v>10</v>
      </c>
      <c r="AA12" s="367" t="s">
        <v>8</v>
      </c>
      <c r="AB12" s="380" t="s">
        <v>6</v>
      </c>
      <c r="AC12" s="369" t="s">
        <v>2</v>
      </c>
      <c r="AD12" s="389" t="s">
        <v>167</v>
      </c>
      <c r="AE12" s="369" t="s">
        <v>16</v>
      </c>
      <c r="AF12" s="369" t="s">
        <v>16</v>
      </c>
      <c r="AG12" s="369" t="s">
        <v>16</v>
      </c>
      <c r="AH12" s="369" t="s">
        <v>16</v>
      </c>
      <c r="AI12" s="369" t="s">
        <v>16</v>
      </c>
      <c r="AJ12" s="369" t="s">
        <v>2</v>
      </c>
      <c r="AK12" s="389" t="s">
        <v>2</v>
      </c>
      <c r="AL12" s="460" t="s">
        <v>5</v>
      </c>
      <c r="AM12" s="430" t="s">
        <v>2</v>
      </c>
      <c r="AN12" s="430" t="s">
        <v>2</v>
      </c>
      <c r="AO12" s="460" t="s">
        <v>6</v>
      </c>
      <c r="AP12" s="460" t="s">
        <v>6</v>
      </c>
      <c r="AQ12" s="460" t="s">
        <v>5</v>
      </c>
      <c r="AR12" s="453" t="s">
        <v>3</v>
      </c>
    </row>
    <row r="13" spans="1:44" ht="13">
      <c r="A13" s="539"/>
      <c r="B13" s="448" t="s">
        <v>170</v>
      </c>
      <c r="C13" s="375" t="s">
        <v>16</v>
      </c>
      <c r="D13" s="361" t="s">
        <v>2</v>
      </c>
      <c r="E13" s="361" t="s">
        <v>2</v>
      </c>
      <c r="F13" s="375" t="s">
        <v>16</v>
      </c>
      <c r="G13" s="375" t="s">
        <v>16</v>
      </c>
      <c r="H13" s="375" t="s">
        <v>16</v>
      </c>
      <c r="I13" s="377" t="s">
        <v>7</v>
      </c>
      <c r="J13" s="378" t="s">
        <v>6</v>
      </c>
      <c r="K13" s="361" t="s">
        <v>2</v>
      </c>
      <c r="L13" s="361" t="s">
        <v>2</v>
      </c>
      <c r="M13" s="360" t="s">
        <v>6</v>
      </c>
      <c r="N13" s="360" t="s">
        <v>6</v>
      </c>
      <c r="O13" s="360" t="s">
        <v>6</v>
      </c>
      <c r="P13" s="360" t="s">
        <v>18</v>
      </c>
      <c r="Q13" s="371" t="s">
        <v>11</v>
      </c>
      <c r="R13" s="369" t="s">
        <v>2</v>
      </c>
      <c r="S13" s="373" t="s">
        <v>11</v>
      </c>
      <c r="T13" s="367" t="s">
        <v>8</v>
      </c>
      <c r="U13" s="367" t="s">
        <v>8</v>
      </c>
      <c r="V13" s="369" t="s">
        <v>2</v>
      </c>
      <c r="W13" s="389" t="s">
        <v>171</v>
      </c>
      <c r="X13" s="379" t="s">
        <v>6</v>
      </c>
      <c r="Y13" s="371" t="s">
        <v>10</v>
      </c>
      <c r="Z13" s="367" t="s">
        <v>8</v>
      </c>
      <c r="AA13" s="367" t="s">
        <v>9</v>
      </c>
      <c r="AB13" s="367" t="s">
        <v>9</v>
      </c>
      <c r="AC13" s="369" t="s">
        <v>2</v>
      </c>
      <c r="AD13" s="369" t="s">
        <v>2</v>
      </c>
      <c r="AE13" s="369" t="s">
        <v>2</v>
      </c>
      <c r="AF13" s="369" t="s">
        <v>6</v>
      </c>
      <c r="AG13" s="369" t="s">
        <v>6</v>
      </c>
      <c r="AH13" s="369" t="s">
        <v>5</v>
      </c>
      <c r="AI13" s="369" t="s">
        <v>5</v>
      </c>
      <c r="AJ13" s="369" t="s">
        <v>2</v>
      </c>
      <c r="AK13" s="369" t="s">
        <v>12</v>
      </c>
      <c r="AL13" s="459" t="s">
        <v>11</v>
      </c>
      <c r="AM13" s="459" t="s">
        <v>11</v>
      </c>
      <c r="AN13" s="459" t="s">
        <v>11</v>
      </c>
      <c r="AO13" s="456" t="s">
        <v>15</v>
      </c>
      <c r="AP13" s="456" t="s">
        <v>15</v>
      </c>
      <c r="AQ13" s="430" t="s">
        <v>2</v>
      </c>
      <c r="AR13" s="430" t="s">
        <v>2</v>
      </c>
    </row>
    <row r="14" spans="1:44" ht="13">
      <c r="A14" s="539"/>
      <c r="B14" s="454" t="s">
        <v>173</v>
      </c>
      <c r="C14" s="361" t="s">
        <v>2</v>
      </c>
      <c r="D14" s="385" t="s">
        <v>9</v>
      </c>
      <c r="E14" s="385" t="s">
        <v>9</v>
      </c>
      <c r="F14" s="385" t="s">
        <v>9</v>
      </c>
      <c r="G14" s="385" t="s">
        <v>9</v>
      </c>
      <c r="H14" s="385" t="s">
        <v>9</v>
      </c>
      <c r="I14" s="361" t="s">
        <v>2</v>
      </c>
      <c r="J14" s="394" t="s">
        <v>16</v>
      </c>
      <c r="K14" s="375" t="s">
        <v>16</v>
      </c>
      <c r="L14" s="375" t="s">
        <v>16</v>
      </c>
      <c r="M14" s="375" t="s">
        <v>16</v>
      </c>
      <c r="N14" s="375" t="s">
        <v>16</v>
      </c>
      <c r="O14" s="361" t="s">
        <v>2</v>
      </c>
      <c r="P14" s="361" t="s">
        <v>2</v>
      </c>
      <c r="Q14" s="366" t="s">
        <v>8</v>
      </c>
      <c r="R14" s="367" t="s">
        <v>8</v>
      </c>
      <c r="S14" s="369" t="s">
        <v>2</v>
      </c>
      <c r="T14" s="369" t="s">
        <v>2</v>
      </c>
      <c r="U14" s="387" t="s">
        <v>16</v>
      </c>
      <c r="V14" s="387" t="s">
        <v>16</v>
      </c>
      <c r="W14" s="449" t="s">
        <v>3</v>
      </c>
      <c r="X14" s="381" t="s">
        <v>2</v>
      </c>
      <c r="Y14" s="380" t="s">
        <v>5</v>
      </c>
      <c r="Z14" s="380" t="s">
        <v>5</v>
      </c>
      <c r="AA14" s="373" t="s">
        <v>10</v>
      </c>
      <c r="AB14" s="373" t="s">
        <v>10</v>
      </c>
      <c r="AC14" s="373" t="s">
        <v>10</v>
      </c>
      <c r="AD14" s="374" t="s">
        <v>2</v>
      </c>
      <c r="AE14" s="373" t="s">
        <v>2</v>
      </c>
      <c r="AF14" s="373" t="s">
        <v>5</v>
      </c>
      <c r="AG14" s="373" t="s">
        <v>5</v>
      </c>
      <c r="AH14" s="373" t="s">
        <v>11</v>
      </c>
      <c r="AI14" s="373" t="s">
        <v>11</v>
      </c>
      <c r="AJ14" s="373" t="s">
        <v>11</v>
      </c>
      <c r="AK14" s="374" t="s">
        <v>2</v>
      </c>
      <c r="AL14" s="430" t="s">
        <v>2</v>
      </c>
      <c r="AM14" s="430" t="s">
        <v>2</v>
      </c>
      <c r="AN14" s="457" t="s">
        <v>8</v>
      </c>
      <c r="AO14" s="457" t="s">
        <v>8</v>
      </c>
      <c r="AP14" s="457" t="s">
        <v>8</v>
      </c>
      <c r="AQ14" s="460" t="s">
        <v>6</v>
      </c>
      <c r="AR14" s="460" t="s">
        <v>18</v>
      </c>
    </row>
    <row r="15" spans="1:44" ht="13">
      <c r="A15" s="539"/>
      <c r="B15" s="448" t="s">
        <v>176</v>
      </c>
      <c r="C15" s="385" t="s">
        <v>9</v>
      </c>
      <c r="D15" s="361" t="s">
        <v>2</v>
      </c>
      <c r="E15" s="385" t="s">
        <v>8</v>
      </c>
      <c r="F15" s="455" t="s">
        <v>10</v>
      </c>
      <c r="G15" s="455" t="s">
        <v>11</v>
      </c>
      <c r="H15" s="361" t="s">
        <v>2</v>
      </c>
      <c r="I15" s="377" t="s">
        <v>106</v>
      </c>
      <c r="J15" s="382" t="s">
        <v>105</v>
      </c>
      <c r="K15" s="365" t="s">
        <v>105</v>
      </c>
      <c r="L15" s="365" t="s">
        <v>105</v>
      </c>
      <c r="M15" s="365" t="s">
        <v>105</v>
      </c>
      <c r="N15" s="361" t="s">
        <v>2</v>
      </c>
      <c r="O15" s="361" t="s">
        <v>2</v>
      </c>
      <c r="P15" s="362" t="s">
        <v>4</v>
      </c>
      <c r="Q15" s="371" t="s">
        <v>10</v>
      </c>
      <c r="R15" s="373" t="s">
        <v>10</v>
      </c>
      <c r="S15" s="373" t="s">
        <v>10</v>
      </c>
      <c r="T15" s="373" t="s">
        <v>10</v>
      </c>
      <c r="U15" s="369" t="s">
        <v>2</v>
      </c>
      <c r="V15" s="373" t="s">
        <v>11</v>
      </c>
      <c r="W15" s="374" t="s">
        <v>2</v>
      </c>
      <c r="X15" s="461" t="s">
        <v>12</v>
      </c>
      <c r="Y15" s="462" t="s">
        <v>12</v>
      </c>
      <c r="Z15" s="462" t="s">
        <v>12</v>
      </c>
      <c r="AA15" s="462" t="s">
        <v>12</v>
      </c>
      <c r="AB15" s="462" t="s">
        <v>12</v>
      </c>
      <c r="AC15" s="369" t="s">
        <v>2</v>
      </c>
      <c r="AD15" s="374" t="s">
        <v>2</v>
      </c>
      <c r="AE15" s="369" t="s">
        <v>9</v>
      </c>
      <c r="AF15" s="369" t="s">
        <v>9</v>
      </c>
      <c r="AG15" s="369" t="s">
        <v>9</v>
      </c>
      <c r="AH15" s="369" t="s">
        <v>9</v>
      </c>
      <c r="AI15" s="369" t="s">
        <v>2</v>
      </c>
      <c r="AJ15" s="369" t="s">
        <v>2</v>
      </c>
      <c r="AK15" s="374" t="s">
        <v>3</v>
      </c>
      <c r="AL15" s="460" t="s">
        <v>6</v>
      </c>
      <c r="AM15" s="460" t="s">
        <v>6</v>
      </c>
      <c r="AN15" s="460" t="s">
        <v>6</v>
      </c>
      <c r="AO15" s="460" t="s">
        <v>5</v>
      </c>
      <c r="AP15" s="460" t="s">
        <v>5</v>
      </c>
      <c r="AQ15" s="430" t="s">
        <v>2</v>
      </c>
      <c r="AR15" s="430" t="s">
        <v>2</v>
      </c>
    </row>
    <row r="16" spans="1:44" ht="13">
      <c r="A16" s="539"/>
      <c r="B16" s="448" t="s">
        <v>489</v>
      </c>
      <c r="C16" s="361" t="s">
        <v>2</v>
      </c>
      <c r="D16" s="364" t="s">
        <v>11</v>
      </c>
      <c r="E16" s="364" t="s">
        <v>11</v>
      </c>
      <c r="F16" s="364" t="s">
        <v>11</v>
      </c>
      <c r="G16" s="364" t="s">
        <v>11</v>
      </c>
      <c r="H16" s="364" t="s">
        <v>11</v>
      </c>
      <c r="I16" s="361" t="s">
        <v>2</v>
      </c>
      <c r="J16" s="382" t="s">
        <v>8</v>
      </c>
      <c r="K16" s="365" t="s">
        <v>8</v>
      </c>
      <c r="L16" s="365" t="s">
        <v>8</v>
      </c>
      <c r="M16" s="365" t="s">
        <v>8</v>
      </c>
      <c r="N16" s="365" t="s">
        <v>8</v>
      </c>
      <c r="O16" s="361" t="s">
        <v>2</v>
      </c>
      <c r="P16" s="361" t="s">
        <v>2</v>
      </c>
      <c r="Q16" s="375" t="s">
        <v>490</v>
      </c>
      <c r="R16" s="387" t="s">
        <v>16</v>
      </c>
      <c r="S16" s="387" t="s">
        <v>16</v>
      </c>
      <c r="T16" s="369" t="s">
        <v>2</v>
      </c>
      <c r="U16" s="369" t="s">
        <v>2</v>
      </c>
      <c r="V16" s="367" t="s">
        <v>8</v>
      </c>
      <c r="W16" s="391" t="s">
        <v>7</v>
      </c>
      <c r="X16" s="373" t="s">
        <v>11</v>
      </c>
      <c r="Y16" s="373" t="s">
        <v>11</v>
      </c>
      <c r="Z16" s="373" t="s">
        <v>11</v>
      </c>
      <c r="AA16" s="373" t="s">
        <v>11</v>
      </c>
      <c r="AB16" s="369" t="s">
        <v>2</v>
      </c>
      <c r="AC16" s="380" t="s">
        <v>5</v>
      </c>
      <c r="AD16" s="374" t="s">
        <v>2</v>
      </c>
      <c r="AE16" s="380" t="s">
        <v>16</v>
      </c>
      <c r="AF16" s="380" t="s">
        <v>16</v>
      </c>
      <c r="AG16" s="380" t="s">
        <v>16</v>
      </c>
      <c r="AH16" s="380" t="s">
        <v>2</v>
      </c>
      <c r="AI16" s="380" t="s">
        <v>2</v>
      </c>
      <c r="AJ16" s="380" t="s">
        <v>16</v>
      </c>
      <c r="AK16" s="374" t="s">
        <v>7</v>
      </c>
      <c r="AL16" s="459" t="s">
        <v>11</v>
      </c>
      <c r="AM16" s="459" t="s">
        <v>11</v>
      </c>
      <c r="AN16" s="459" t="s">
        <v>11</v>
      </c>
      <c r="AO16" s="457" t="s">
        <v>8</v>
      </c>
      <c r="AP16" s="457" t="s">
        <v>8</v>
      </c>
      <c r="AQ16" s="430" t="s">
        <v>2</v>
      </c>
      <c r="AR16" s="430" t="s">
        <v>2</v>
      </c>
    </row>
    <row r="17" spans="1:44" ht="13">
      <c r="A17" s="539"/>
      <c r="B17" s="454" t="s">
        <v>178</v>
      </c>
      <c r="C17" s="361" t="s">
        <v>2</v>
      </c>
      <c r="D17" s="375" t="s">
        <v>16</v>
      </c>
      <c r="E17" s="375" t="s">
        <v>16</v>
      </c>
      <c r="F17" s="375" t="s">
        <v>16</v>
      </c>
      <c r="G17" s="375" t="s">
        <v>16</v>
      </c>
      <c r="H17" s="375" t="s">
        <v>16</v>
      </c>
      <c r="I17" s="361" t="s">
        <v>2</v>
      </c>
      <c r="J17" s="388" t="s">
        <v>2</v>
      </c>
      <c r="K17" s="364" t="s">
        <v>11</v>
      </c>
      <c r="L17" s="364" t="s">
        <v>11</v>
      </c>
      <c r="M17" s="364" t="s">
        <v>11</v>
      </c>
      <c r="N17" s="364" t="s">
        <v>11</v>
      </c>
      <c r="O17" s="361" t="s">
        <v>2</v>
      </c>
      <c r="P17" s="362" t="s">
        <v>4</v>
      </c>
      <c r="Q17" s="461" t="s">
        <v>12</v>
      </c>
      <c r="R17" s="462" t="s">
        <v>12</v>
      </c>
      <c r="S17" s="462" t="s">
        <v>12</v>
      </c>
      <c r="T17" s="462" t="s">
        <v>12</v>
      </c>
      <c r="U17" s="462" t="s">
        <v>12</v>
      </c>
      <c r="V17" s="369" t="s">
        <v>2</v>
      </c>
      <c r="W17" s="374" t="s">
        <v>2</v>
      </c>
      <c r="X17" s="387" t="s">
        <v>16</v>
      </c>
      <c r="Y17" s="387" t="s">
        <v>16</v>
      </c>
      <c r="Z17" s="387" t="s">
        <v>16</v>
      </c>
      <c r="AA17" s="369" t="s">
        <v>2</v>
      </c>
      <c r="AB17" s="369" t="s">
        <v>2</v>
      </c>
      <c r="AC17" s="367" t="s">
        <v>9</v>
      </c>
      <c r="AD17" s="391" t="s">
        <v>9</v>
      </c>
      <c r="AE17" s="367" t="s">
        <v>8</v>
      </c>
      <c r="AF17" s="367" t="s">
        <v>8</v>
      </c>
      <c r="AG17" s="367" t="s">
        <v>8</v>
      </c>
      <c r="AH17" s="367" t="s">
        <v>8</v>
      </c>
      <c r="AI17" s="367" t="s">
        <v>2</v>
      </c>
      <c r="AJ17" s="367" t="s">
        <v>16</v>
      </c>
      <c r="AK17" s="391" t="s">
        <v>2</v>
      </c>
      <c r="AL17" s="457" t="s">
        <v>8</v>
      </c>
      <c r="AM17" s="457" t="s">
        <v>8</v>
      </c>
      <c r="AN17" s="430" t="s">
        <v>2</v>
      </c>
      <c r="AO17" s="430" t="s">
        <v>2</v>
      </c>
      <c r="AP17" s="456" t="s">
        <v>16</v>
      </c>
      <c r="AQ17" s="456" t="s">
        <v>16</v>
      </c>
      <c r="AR17" s="452" t="s">
        <v>12</v>
      </c>
    </row>
    <row r="18" spans="1:44" ht="13">
      <c r="A18" s="539"/>
      <c r="B18" s="454" t="s">
        <v>255</v>
      </c>
      <c r="C18" s="360" t="s">
        <v>6</v>
      </c>
      <c r="D18" s="360" t="s">
        <v>6</v>
      </c>
      <c r="E18" s="360" t="s">
        <v>6</v>
      </c>
      <c r="F18" s="360" t="s">
        <v>6</v>
      </c>
      <c r="G18" s="361" t="s">
        <v>2</v>
      </c>
      <c r="H18" s="361" t="s">
        <v>2</v>
      </c>
      <c r="I18" s="360" t="s">
        <v>18</v>
      </c>
      <c r="J18" s="393" t="s">
        <v>12</v>
      </c>
      <c r="K18" s="386" t="s">
        <v>12</v>
      </c>
      <c r="L18" s="361" t="s">
        <v>2</v>
      </c>
      <c r="M18" s="361" t="s">
        <v>2</v>
      </c>
      <c r="N18" s="385" t="s">
        <v>9</v>
      </c>
      <c r="O18" s="385" t="s">
        <v>9</v>
      </c>
      <c r="P18" s="362" t="s">
        <v>4</v>
      </c>
      <c r="Q18" s="381" t="s">
        <v>2</v>
      </c>
      <c r="R18" s="380" t="s">
        <v>5</v>
      </c>
      <c r="S18" s="380" t="s">
        <v>5</v>
      </c>
      <c r="T18" s="369" t="s">
        <v>2</v>
      </c>
      <c r="U18" s="373" t="s">
        <v>10</v>
      </c>
      <c r="V18" s="373" t="s">
        <v>10</v>
      </c>
      <c r="W18" s="463" t="s">
        <v>11</v>
      </c>
      <c r="X18" s="387" t="s">
        <v>16</v>
      </c>
      <c r="Y18" s="380" t="s">
        <v>6</v>
      </c>
      <c r="Z18" s="380" t="s">
        <v>6</v>
      </c>
      <c r="AA18" s="369" t="s">
        <v>2</v>
      </c>
      <c r="AB18" s="369" t="s">
        <v>2</v>
      </c>
      <c r="AC18" s="367" t="s">
        <v>8</v>
      </c>
      <c r="AD18" s="391" t="s">
        <v>7</v>
      </c>
      <c r="AE18" s="367" t="s">
        <v>10</v>
      </c>
      <c r="AF18" s="367" t="s">
        <v>10</v>
      </c>
      <c r="AG18" s="367" t="s">
        <v>10</v>
      </c>
      <c r="AH18" s="367" t="s">
        <v>2</v>
      </c>
      <c r="AI18" s="367" t="s">
        <v>2</v>
      </c>
      <c r="AJ18" s="367" t="s">
        <v>9</v>
      </c>
      <c r="AK18" s="391" t="s">
        <v>9</v>
      </c>
      <c r="AL18" s="457" t="s">
        <v>8</v>
      </c>
      <c r="AM18" s="457" t="s">
        <v>8</v>
      </c>
      <c r="AN18" s="457" t="s">
        <v>8</v>
      </c>
      <c r="AO18" s="456" t="s">
        <v>16</v>
      </c>
      <c r="AP18" s="430" t="s">
        <v>2</v>
      </c>
      <c r="AQ18" s="430" t="s">
        <v>2</v>
      </c>
      <c r="AR18" s="453" t="s">
        <v>3</v>
      </c>
    </row>
    <row r="19" spans="1:44" ht="13">
      <c r="A19" s="539"/>
      <c r="B19" s="464" t="s">
        <v>182</v>
      </c>
      <c r="C19" s="465" t="s">
        <v>11</v>
      </c>
      <c r="D19" s="465" t="s">
        <v>11</v>
      </c>
      <c r="E19" s="465" t="s">
        <v>11</v>
      </c>
      <c r="F19" s="465" t="s">
        <v>11</v>
      </c>
      <c r="G19" s="465" t="s">
        <v>11</v>
      </c>
      <c r="H19" s="465" t="s">
        <v>11</v>
      </c>
      <c r="I19" s="418" t="s">
        <v>2</v>
      </c>
      <c r="J19" s="466" t="s">
        <v>104</v>
      </c>
      <c r="K19" s="465" t="s">
        <v>104</v>
      </c>
      <c r="L19" s="465" t="s">
        <v>104</v>
      </c>
      <c r="M19" s="465" t="s">
        <v>104</v>
      </c>
      <c r="N19" s="465" t="s">
        <v>104</v>
      </c>
      <c r="O19" s="418" t="s">
        <v>2</v>
      </c>
      <c r="P19" s="418" t="s">
        <v>2</v>
      </c>
      <c r="Q19" s="390" t="s">
        <v>16</v>
      </c>
      <c r="R19" s="387" t="s">
        <v>16</v>
      </c>
      <c r="S19" s="387" t="s">
        <v>16</v>
      </c>
      <c r="T19" s="369" t="s">
        <v>2</v>
      </c>
      <c r="U19" s="369" t="s">
        <v>2</v>
      </c>
      <c r="V19" s="367" t="s">
        <v>9</v>
      </c>
      <c r="W19" s="391" t="s">
        <v>9</v>
      </c>
      <c r="X19" s="366" t="s">
        <v>9</v>
      </c>
      <c r="Y19" s="367" t="s">
        <v>9</v>
      </c>
      <c r="Z19" s="367" t="s">
        <v>9</v>
      </c>
      <c r="AA19" s="380" t="s">
        <v>6</v>
      </c>
      <c r="AB19" s="369" t="s">
        <v>2</v>
      </c>
      <c r="AC19" s="369" t="s">
        <v>2</v>
      </c>
      <c r="AD19" s="449" t="s">
        <v>3</v>
      </c>
      <c r="AE19" s="369" t="s">
        <v>12</v>
      </c>
      <c r="AF19" s="369" t="s">
        <v>2</v>
      </c>
      <c r="AG19" s="369" t="s">
        <v>12</v>
      </c>
      <c r="AH19" s="369" t="s">
        <v>12</v>
      </c>
      <c r="AI19" s="369" t="s">
        <v>12</v>
      </c>
      <c r="AJ19" s="369" t="s">
        <v>5</v>
      </c>
      <c r="AK19" s="449" t="s">
        <v>2</v>
      </c>
      <c r="AL19" s="456" t="s">
        <v>15</v>
      </c>
      <c r="AM19" s="456" t="s">
        <v>15</v>
      </c>
      <c r="AN19" s="456" t="s">
        <v>15</v>
      </c>
      <c r="AO19" s="430" t="s">
        <v>2</v>
      </c>
      <c r="AP19" s="430" t="s">
        <v>2</v>
      </c>
      <c r="AQ19" s="457" t="s">
        <v>8</v>
      </c>
      <c r="AR19" s="458" t="s">
        <v>7</v>
      </c>
    </row>
    <row r="20" spans="1:44" ht="13">
      <c r="B20" s="195" t="s">
        <v>491</v>
      </c>
      <c r="C20" s="361"/>
      <c r="D20" s="364"/>
      <c r="E20" s="364"/>
      <c r="F20" s="364"/>
      <c r="G20" s="364"/>
      <c r="H20" s="364"/>
      <c r="I20" s="361"/>
      <c r="J20" s="382"/>
      <c r="K20" s="365"/>
      <c r="L20" s="365"/>
      <c r="M20" s="365"/>
      <c r="N20" s="365"/>
      <c r="O20" s="361"/>
      <c r="P20" s="361"/>
      <c r="Q20" s="375"/>
      <c r="R20" s="387"/>
      <c r="S20" s="387"/>
      <c r="T20" s="369"/>
      <c r="U20" s="369"/>
      <c r="V20" s="367"/>
      <c r="W20" s="391"/>
      <c r="X20" s="371" t="s">
        <v>492</v>
      </c>
      <c r="Y20" s="371" t="s">
        <v>492</v>
      </c>
      <c r="Z20" s="371" t="s">
        <v>492</v>
      </c>
      <c r="AA20" s="371" t="s">
        <v>492</v>
      </c>
      <c r="AB20" s="371" t="s">
        <v>492</v>
      </c>
      <c r="AC20" s="369" t="s">
        <v>2</v>
      </c>
      <c r="AD20" s="369" t="s">
        <v>2</v>
      </c>
      <c r="AE20" s="380" t="s">
        <v>10</v>
      </c>
      <c r="AF20" s="380" t="s">
        <v>10</v>
      </c>
      <c r="AG20" s="380" t="s">
        <v>10</v>
      </c>
      <c r="AH20" s="380" t="s">
        <v>10</v>
      </c>
      <c r="AI20" s="380" t="s">
        <v>10</v>
      </c>
      <c r="AJ20" s="380" t="s">
        <v>2</v>
      </c>
      <c r="AK20" s="374" t="s">
        <v>2</v>
      </c>
      <c r="AL20" s="459" t="s">
        <v>10</v>
      </c>
      <c r="AM20" s="459" t="s">
        <v>10</v>
      </c>
      <c r="AN20" s="459" t="s">
        <v>10</v>
      </c>
      <c r="AO20" s="459" t="s">
        <v>10</v>
      </c>
      <c r="AP20" s="459" t="s">
        <v>10</v>
      </c>
      <c r="AQ20" s="430" t="s">
        <v>2</v>
      </c>
      <c r="AR20" s="430" t="s">
        <v>2</v>
      </c>
    </row>
    <row r="32" spans="1:44" ht="14.5">
      <c r="J32" s="424"/>
      <c r="Q32" s="424"/>
      <c r="AA32" s="467"/>
    </row>
    <row r="33" spans="1:29" ht="13.5">
      <c r="A33" s="628" t="s">
        <v>493</v>
      </c>
      <c r="B33" s="468" t="s">
        <v>102</v>
      </c>
      <c r="J33" s="426" t="s">
        <v>127</v>
      </c>
      <c r="K33" s="426" t="s">
        <v>127</v>
      </c>
      <c r="L33" s="469" t="s">
        <v>196</v>
      </c>
      <c r="M33" s="469" t="s">
        <v>197</v>
      </c>
      <c r="N33" s="469" t="s">
        <v>196</v>
      </c>
      <c r="O33" s="469" t="s">
        <v>197</v>
      </c>
      <c r="P33" s="469" t="s">
        <v>196</v>
      </c>
      <c r="Q33" s="469" t="s">
        <v>198</v>
      </c>
      <c r="R33" s="469" t="s">
        <v>198</v>
      </c>
      <c r="S33" s="469" t="s">
        <v>199</v>
      </c>
      <c r="T33" s="469" t="s">
        <v>200</v>
      </c>
      <c r="U33" s="426" t="s">
        <v>127</v>
      </c>
      <c r="V33" s="426" t="s">
        <v>127</v>
      </c>
      <c r="X33" s="469" t="s">
        <v>199</v>
      </c>
      <c r="Y33" s="469" t="s">
        <v>198</v>
      </c>
      <c r="Z33" s="426" t="s">
        <v>127</v>
      </c>
      <c r="AA33" s="426" t="s">
        <v>127</v>
      </c>
      <c r="AB33" s="469" t="s">
        <v>200</v>
      </c>
      <c r="AC33" s="469" t="s">
        <v>201</v>
      </c>
    </row>
    <row r="34" spans="1:29" ht="13.5">
      <c r="A34" s="539"/>
      <c r="B34" s="468" t="s">
        <v>131</v>
      </c>
      <c r="J34" s="469" t="s">
        <v>205</v>
      </c>
      <c r="K34" s="469" t="s">
        <v>205</v>
      </c>
      <c r="L34" s="469" t="s">
        <v>204</v>
      </c>
      <c r="M34" s="469" t="s">
        <v>204</v>
      </c>
      <c r="N34" s="426" t="s">
        <v>127</v>
      </c>
      <c r="O34" s="426" t="s">
        <v>127</v>
      </c>
      <c r="P34" s="469" t="s">
        <v>205</v>
      </c>
      <c r="Q34" s="469" t="s">
        <v>204</v>
      </c>
      <c r="R34" s="426" t="s">
        <v>127</v>
      </c>
      <c r="S34" s="426" t="s">
        <v>127</v>
      </c>
      <c r="T34" s="469" t="s">
        <v>205</v>
      </c>
      <c r="U34" s="469" t="s">
        <v>205</v>
      </c>
      <c r="V34" s="469" t="s">
        <v>205</v>
      </c>
      <c r="X34" s="426" t="s">
        <v>127</v>
      </c>
      <c r="Y34" s="469" t="s">
        <v>200</v>
      </c>
      <c r="Z34" s="469" t="s">
        <v>200</v>
      </c>
      <c r="AA34" s="469" t="s">
        <v>200</v>
      </c>
      <c r="AB34" s="469" t="s">
        <v>198</v>
      </c>
      <c r="AC34" s="426" t="s">
        <v>127</v>
      </c>
    </row>
    <row r="35" spans="1:29" ht="13.5">
      <c r="A35" s="539"/>
      <c r="B35" s="468" t="s">
        <v>154</v>
      </c>
      <c r="J35" s="469" t="s">
        <v>196</v>
      </c>
      <c r="K35" s="426" t="s">
        <v>127</v>
      </c>
      <c r="L35" s="426" t="s">
        <v>127</v>
      </c>
      <c r="M35" s="469" t="s">
        <v>200</v>
      </c>
      <c r="N35" s="469" t="s">
        <v>200</v>
      </c>
      <c r="O35" s="469" t="s">
        <v>200</v>
      </c>
      <c r="P35" s="469" t="s">
        <v>199</v>
      </c>
      <c r="Q35" s="469" t="s">
        <v>202</v>
      </c>
      <c r="R35" s="469" t="s">
        <v>202</v>
      </c>
      <c r="S35" s="426" t="s">
        <v>127</v>
      </c>
      <c r="T35" s="469" t="s">
        <v>201</v>
      </c>
      <c r="U35" s="469" t="s">
        <v>201</v>
      </c>
      <c r="V35" s="469" t="s">
        <v>200</v>
      </c>
      <c r="X35" s="469" t="s">
        <v>205</v>
      </c>
      <c r="Y35" s="426" t="s">
        <v>127</v>
      </c>
      <c r="Z35" s="426" t="s">
        <v>127</v>
      </c>
      <c r="AA35" s="469" t="s">
        <v>205</v>
      </c>
      <c r="AB35" s="469" t="s">
        <v>205</v>
      </c>
      <c r="AC35" s="469" t="s">
        <v>205</v>
      </c>
    </row>
    <row r="36" spans="1:29" ht="13.5">
      <c r="A36" s="539"/>
      <c r="B36" s="468" t="s">
        <v>252</v>
      </c>
      <c r="J36" s="469" t="s">
        <v>202</v>
      </c>
      <c r="K36" s="469" t="s">
        <v>204</v>
      </c>
      <c r="L36" s="426" t="s">
        <v>127</v>
      </c>
      <c r="M36" s="426" t="s">
        <v>127</v>
      </c>
      <c r="N36" s="469" t="s">
        <v>196</v>
      </c>
      <c r="O36" s="469" t="s">
        <v>196</v>
      </c>
      <c r="P36" s="469" t="s">
        <v>198</v>
      </c>
      <c r="Q36" s="426" t="s">
        <v>127</v>
      </c>
      <c r="R36" s="469" t="s">
        <v>204</v>
      </c>
      <c r="S36" s="469" t="s">
        <v>205</v>
      </c>
      <c r="T36" s="469" t="s">
        <v>204</v>
      </c>
      <c r="U36" s="469" t="s">
        <v>204</v>
      </c>
      <c r="V36" s="426" t="s">
        <v>127</v>
      </c>
      <c r="X36" s="469" t="s">
        <v>196</v>
      </c>
      <c r="Y36" s="469" t="s">
        <v>202</v>
      </c>
      <c r="Z36" s="426" t="s">
        <v>127</v>
      </c>
      <c r="AA36" s="469" t="s">
        <v>200</v>
      </c>
      <c r="AB36" s="469" t="s">
        <v>200</v>
      </c>
      <c r="AC36" s="469" t="s">
        <v>200</v>
      </c>
    </row>
    <row r="37" spans="1:29" ht="13.5">
      <c r="A37" s="539"/>
      <c r="B37" s="468" t="s">
        <v>166</v>
      </c>
      <c r="J37" s="469" t="s">
        <v>200</v>
      </c>
      <c r="K37" s="469" t="s">
        <v>200</v>
      </c>
      <c r="L37" s="469" t="s">
        <v>200</v>
      </c>
      <c r="M37" s="426" t="s">
        <v>127</v>
      </c>
      <c r="N37" s="426" t="s">
        <v>127</v>
      </c>
      <c r="O37" s="469" t="s">
        <v>201</v>
      </c>
      <c r="P37" s="469" t="s">
        <v>199</v>
      </c>
      <c r="Q37" s="469" t="s">
        <v>205</v>
      </c>
      <c r="R37" s="469" t="s">
        <v>203</v>
      </c>
      <c r="S37" s="469" t="s">
        <v>199</v>
      </c>
      <c r="T37" s="469" t="s">
        <v>199</v>
      </c>
      <c r="U37" s="469" t="s">
        <v>199</v>
      </c>
      <c r="V37" s="426" t="s">
        <v>127</v>
      </c>
      <c r="X37" s="469" t="s">
        <v>203</v>
      </c>
      <c r="Y37" s="426" t="s">
        <v>127</v>
      </c>
      <c r="Z37" s="469" t="s">
        <v>196</v>
      </c>
      <c r="AA37" s="469" t="s">
        <v>198</v>
      </c>
      <c r="AB37" s="469" t="s">
        <v>204</v>
      </c>
      <c r="AC37" s="426" t="s">
        <v>127</v>
      </c>
    </row>
    <row r="38" spans="1:29" ht="13.5">
      <c r="A38" s="539"/>
      <c r="B38" s="468" t="s">
        <v>170</v>
      </c>
      <c r="J38" s="469" t="s">
        <v>205</v>
      </c>
      <c r="K38" s="426" t="s">
        <v>127</v>
      </c>
      <c r="L38" s="426" t="s">
        <v>127</v>
      </c>
      <c r="M38" s="469" t="s">
        <v>205</v>
      </c>
      <c r="N38" s="469" t="s">
        <v>205</v>
      </c>
      <c r="O38" s="469" t="s">
        <v>204</v>
      </c>
      <c r="P38" s="469" t="s">
        <v>204</v>
      </c>
      <c r="Q38" s="469" t="s">
        <v>203</v>
      </c>
      <c r="R38" s="426" t="s">
        <v>127</v>
      </c>
      <c r="S38" s="469" t="s">
        <v>203</v>
      </c>
      <c r="T38" s="469" t="s">
        <v>198</v>
      </c>
      <c r="U38" s="469" t="s">
        <v>199</v>
      </c>
      <c r="V38" s="426" t="s">
        <v>127</v>
      </c>
      <c r="X38" s="469" t="s">
        <v>204</v>
      </c>
      <c r="Y38" s="469" t="s">
        <v>196</v>
      </c>
      <c r="Z38" s="469" t="s">
        <v>198</v>
      </c>
      <c r="AA38" s="469" t="s">
        <v>198</v>
      </c>
      <c r="AB38" s="469" t="s">
        <v>198</v>
      </c>
      <c r="AC38" s="426" t="s">
        <v>127</v>
      </c>
    </row>
    <row r="39" spans="1:29" ht="13.5">
      <c r="A39" s="539"/>
      <c r="B39" s="468" t="s">
        <v>173</v>
      </c>
      <c r="J39" s="469" t="s">
        <v>200</v>
      </c>
      <c r="K39" s="469" t="s">
        <v>200</v>
      </c>
      <c r="L39" s="469" t="s">
        <v>200</v>
      </c>
      <c r="M39" s="469" t="s">
        <v>201</v>
      </c>
      <c r="N39" s="469" t="s">
        <v>200</v>
      </c>
      <c r="O39" s="426" t="s">
        <v>127</v>
      </c>
      <c r="P39" s="426" t="s">
        <v>127</v>
      </c>
      <c r="Q39" s="469" t="s">
        <v>198</v>
      </c>
      <c r="R39" s="469" t="s">
        <v>198</v>
      </c>
      <c r="S39" s="426" t="s">
        <v>127</v>
      </c>
      <c r="T39" s="426" t="s">
        <v>127</v>
      </c>
      <c r="U39" s="469" t="s">
        <v>198</v>
      </c>
      <c r="V39" s="469" t="s">
        <v>201</v>
      </c>
      <c r="X39" s="426" t="s">
        <v>127</v>
      </c>
      <c r="Y39" s="469" t="s">
        <v>204</v>
      </c>
      <c r="Z39" s="469" t="s">
        <v>205</v>
      </c>
      <c r="AA39" s="469" t="s">
        <v>202</v>
      </c>
      <c r="AB39" s="469" t="s">
        <v>202</v>
      </c>
      <c r="AC39" s="469" t="s">
        <v>202</v>
      </c>
    </row>
    <row r="40" spans="1:29" ht="13.5">
      <c r="A40" s="539"/>
      <c r="B40" s="468" t="s">
        <v>176</v>
      </c>
      <c r="J40" s="469" t="s">
        <v>198</v>
      </c>
      <c r="K40" s="469" t="s">
        <v>198</v>
      </c>
      <c r="L40" s="469" t="s">
        <v>198</v>
      </c>
      <c r="M40" s="469" t="s">
        <v>198</v>
      </c>
      <c r="N40" s="426" t="s">
        <v>127</v>
      </c>
      <c r="O40" s="426" t="s">
        <v>127</v>
      </c>
      <c r="P40" s="469" t="s">
        <v>216</v>
      </c>
      <c r="Q40" s="469" t="s">
        <v>196</v>
      </c>
      <c r="R40" s="469" t="s">
        <v>196</v>
      </c>
      <c r="S40" s="469" t="s">
        <v>196</v>
      </c>
      <c r="T40" s="469" t="s">
        <v>196</v>
      </c>
      <c r="U40" s="426" t="s">
        <v>127</v>
      </c>
      <c r="V40" s="469" t="s">
        <v>202</v>
      </c>
      <c r="X40" s="469" t="s">
        <v>196</v>
      </c>
      <c r="Y40" s="469" t="s">
        <v>196</v>
      </c>
      <c r="Z40" s="469" t="s">
        <v>197</v>
      </c>
      <c r="AA40" s="469" t="s">
        <v>196</v>
      </c>
      <c r="AB40" s="469" t="s">
        <v>202</v>
      </c>
      <c r="AC40" s="426" t="s">
        <v>127</v>
      </c>
    </row>
    <row r="41" spans="1:29" ht="13.5">
      <c r="A41" s="539"/>
      <c r="B41" s="468" t="s">
        <v>253</v>
      </c>
      <c r="J41" s="469" t="s">
        <v>199</v>
      </c>
      <c r="K41" s="469" t="s">
        <v>199</v>
      </c>
      <c r="L41" s="469" t="s">
        <v>199</v>
      </c>
      <c r="M41" s="469" t="s">
        <v>200</v>
      </c>
      <c r="N41" s="469" t="s">
        <v>199</v>
      </c>
      <c r="O41" s="426" t="s">
        <v>127</v>
      </c>
      <c r="P41" s="426" t="s">
        <v>127</v>
      </c>
      <c r="Q41" s="469" t="s">
        <v>199</v>
      </c>
      <c r="R41" s="469" t="s">
        <v>198</v>
      </c>
      <c r="S41" s="469" t="s">
        <v>200</v>
      </c>
      <c r="T41" s="426" t="s">
        <v>127</v>
      </c>
      <c r="U41" s="426" t="s">
        <v>127</v>
      </c>
      <c r="V41" s="469" t="s">
        <v>198</v>
      </c>
      <c r="X41" s="469" t="s">
        <v>196</v>
      </c>
      <c r="Y41" s="469" t="s">
        <v>203</v>
      </c>
      <c r="Z41" s="469" t="s">
        <v>196</v>
      </c>
      <c r="AA41" s="469" t="s">
        <v>202</v>
      </c>
      <c r="AB41" s="426" t="s">
        <v>127</v>
      </c>
      <c r="AC41" s="469" t="s">
        <v>204</v>
      </c>
    </row>
    <row r="42" spans="1:29" ht="13.5">
      <c r="A42" s="539"/>
      <c r="B42" s="468" t="s">
        <v>178</v>
      </c>
      <c r="J42" s="426" t="s">
        <v>127</v>
      </c>
      <c r="K42" s="469" t="s">
        <v>196</v>
      </c>
      <c r="L42" s="469" t="s">
        <v>202</v>
      </c>
      <c r="M42" s="469" t="s">
        <v>202</v>
      </c>
      <c r="N42" s="469" t="s">
        <v>203</v>
      </c>
      <c r="O42" s="426" t="s">
        <v>127</v>
      </c>
      <c r="P42" s="469" t="s">
        <v>216</v>
      </c>
      <c r="Q42" s="469" t="s">
        <v>196</v>
      </c>
      <c r="R42" s="469" t="s">
        <v>196</v>
      </c>
      <c r="S42" s="469" t="s">
        <v>196</v>
      </c>
      <c r="T42" s="469" t="s">
        <v>196</v>
      </c>
      <c r="U42" s="469" t="s">
        <v>196</v>
      </c>
      <c r="V42" s="426" t="s">
        <v>127</v>
      </c>
      <c r="X42" s="469" t="s">
        <v>201</v>
      </c>
      <c r="Y42" s="469" t="s">
        <v>200</v>
      </c>
      <c r="Z42" s="469" t="s">
        <v>200</v>
      </c>
      <c r="AA42" s="426" t="s">
        <v>127</v>
      </c>
      <c r="AB42" s="426" t="s">
        <v>127</v>
      </c>
      <c r="AC42" s="469" t="s">
        <v>198</v>
      </c>
    </row>
    <row r="43" spans="1:29" ht="27">
      <c r="A43" s="539"/>
      <c r="B43" s="468" t="s">
        <v>255</v>
      </c>
      <c r="J43" s="469" t="s">
        <v>196</v>
      </c>
      <c r="K43" s="469" t="s">
        <v>196</v>
      </c>
      <c r="L43" s="426" t="s">
        <v>127</v>
      </c>
      <c r="M43" s="426" t="s">
        <v>127</v>
      </c>
      <c r="N43" s="469" t="s">
        <v>198</v>
      </c>
      <c r="O43" s="469" t="s">
        <v>198</v>
      </c>
      <c r="P43" s="469" t="s">
        <v>205</v>
      </c>
      <c r="Q43" s="426" t="s">
        <v>127</v>
      </c>
      <c r="R43" s="469" t="s">
        <v>205</v>
      </c>
      <c r="S43" s="469" t="s">
        <v>204</v>
      </c>
      <c r="T43" s="426" t="s">
        <v>127</v>
      </c>
      <c r="U43" s="469" t="s">
        <v>196</v>
      </c>
      <c r="V43" s="469" t="s">
        <v>203</v>
      </c>
      <c r="X43" s="469" t="s">
        <v>200</v>
      </c>
      <c r="Y43" s="469" t="s">
        <v>205</v>
      </c>
      <c r="Z43" s="469" t="s">
        <v>204</v>
      </c>
      <c r="AA43" s="426" t="s">
        <v>127</v>
      </c>
      <c r="AB43" s="426" t="s">
        <v>127</v>
      </c>
      <c r="AC43" s="469" t="s">
        <v>199</v>
      </c>
    </row>
    <row r="44" spans="1:29" ht="13.5">
      <c r="A44" s="539"/>
      <c r="B44" s="468" t="s">
        <v>182</v>
      </c>
      <c r="J44" s="469" t="s">
        <v>203</v>
      </c>
      <c r="K44" s="469" t="s">
        <v>202</v>
      </c>
      <c r="L44" s="469" t="s">
        <v>196</v>
      </c>
      <c r="M44" s="469" t="s">
        <v>196</v>
      </c>
      <c r="N44" s="469" t="s">
        <v>203</v>
      </c>
      <c r="O44" s="426" t="s">
        <v>127</v>
      </c>
      <c r="P44" s="426" t="s">
        <v>127</v>
      </c>
      <c r="Q44" s="469" t="s">
        <v>198</v>
      </c>
      <c r="R44" s="469" t="s">
        <v>200</v>
      </c>
      <c r="S44" s="469" t="s">
        <v>200</v>
      </c>
      <c r="T44" s="426" t="s">
        <v>127</v>
      </c>
      <c r="U44" s="426" t="s">
        <v>127</v>
      </c>
      <c r="V44" s="469" t="s">
        <v>198</v>
      </c>
      <c r="X44" s="469" t="s">
        <v>198</v>
      </c>
      <c r="Y44" s="469" t="s">
        <v>199</v>
      </c>
      <c r="Z44" s="469" t="s">
        <v>198</v>
      </c>
      <c r="AA44" s="469" t="s">
        <v>204</v>
      </c>
      <c r="AB44" s="426" t="s">
        <v>127</v>
      </c>
      <c r="AC44" s="426" t="s">
        <v>127</v>
      </c>
    </row>
    <row r="45" spans="1:29" ht="12.5">
      <c r="J45" s="424"/>
      <c r="Q45" s="424"/>
    </row>
    <row r="46" spans="1:29" ht="12.5">
      <c r="J46" s="424"/>
      <c r="Q46" s="424"/>
    </row>
    <row r="47" spans="1:29" ht="12.5">
      <c r="J47" s="424"/>
      <c r="Q47" s="424"/>
    </row>
    <row r="48" spans="1:29" ht="12.5">
      <c r="J48" s="424"/>
      <c r="Q48" s="424"/>
    </row>
    <row r="49" spans="10:17" ht="12.5">
      <c r="J49" s="424"/>
      <c r="Q49" s="424"/>
    </row>
    <row r="50" spans="10:17" ht="12.5">
      <c r="J50" s="424"/>
      <c r="Q50" s="424"/>
    </row>
    <row r="51" spans="10:17" ht="12.5">
      <c r="J51" s="424"/>
      <c r="Q51" s="424"/>
    </row>
    <row r="52" spans="10:17" ht="12.5">
      <c r="J52" s="424"/>
      <c r="Q52" s="424"/>
    </row>
    <row r="53" spans="10:17" ht="12.5">
      <c r="J53" s="424"/>
      <c r="Q53" s="424"/>
    </row>
    <row r="54" spans="10:17" ht="12.5">
      <c r="J54" s="424"/>
      <c r="Q54" s="424"/>
    </row>
    <row r="55" spans="10:17" ht="12.5">
      <c r="J55" s="424"/>
      <c r="Q55" s="424"/>
    </row>
    <row r="56" spans="10:17" ht="12.5">
      <c r="J56" s="424"/>
      <c r="Q56" s="424"/>
    </row>
    <row r="57" spans="10:17" ht="12.5">
      <c r="J57" s="424"/>
      <c r="Q57" s="424"/>
    </row>
    <row r="58" spans="10:17" ht="12.5">
      <c r="J58" s="424"/>
      <c r="Q58" s="424"/>
    </row>
    <row r="59" spans="10:17" ht="12.5">
      <c r="J59" s="424"/>
      <c r="Q59" s="424"/>
    </row>
    <row r="60" spans="10:17" ht="12.5">
      <c r="J60" s="424"/>
      <c r="Q60" s="424"/>
    </row>
    <row r="61" spans="10:17" ht="12.5">
      <c r="J61" s="424"/>
      <c r="Q61" s="424"/>
    </row>
    <row r="62" spans="10:17" ht="12.5">
      <c r="J62" s="424"/>
      <c r="Q62" s="424"/>
    </row>
    <row r="63" spans="10:17" ht="12.5">
      <c r="J63" s="424"/>
      <c r="Q63" s="424"/>
    </row>
    <row r="64" spans="10:17" ht="12.5">
      <c r="J64" s="424"/>
      <c r="Q64" s="424"/>
    </row>
    <row r="65" spans="10:17" ht="12.5">
      <c r="J65" s="424"/>
      <c r="Q65" s="424"/>
    </row>
    <row r="66" spans="10:17" ht="12.5">
      <c r="J66" s="424"/>
      <c r="Q66" s="424"/>
    </row>
    <row r="67" spans="10:17" ht="12.5">
      <c r="J67" s="424"/>
      <c r="Q67" s="424"/>
    </row>
    <row r="68" spans="10:17" ht="12.5">
      <c r="J68" s="424"/>
      <c r="Q68" s="424"/>
    </row>
    <row r="69" spans="10:17" ht="12.5">
      <c r="J69" s="424"/>
      <c r="Q69" s="424"/>
    </row>
    <row r="70" spans="10:17" ht="12.5">
      <c r="J70" s="424"/>
      <c r="Q70" s="424"/>
    </row>
    <row r="71" spans="10:17" ht="12.5">
      <c r="J71" s="424"/>
      <c r="Q71" s="424"/>
    </row>
    <row r="72" spans="10:17" ht="12.5">
      <c r="J72" s="424"/>
      <c r="Q72" s="424"/>
    </row>
    <row r="73" spans="10:17" ht="12.5">
      <c r="J73" s="424"/>
      <c r="Q73" s="424"/>
    </row>
    <row r="74" spans="10:17" ht="12.5">
      <c r="J74" s="424"/>
      <c r="Q74" s="424"/>
    </row>
    <row r="75" spans="10:17" ht="12.5">
      <c r="J75" s="424"/>
      <c r="Q75" s="424"/>
    </row>
    <row r="76" spans="10:17" ht="12.5">
      <c r="J76" s="424"/>
      <c r="Q76" s="424"/>
    </row>
    <row r="77" spans="10:17" ht="12.5">
      <c r="J77" s="424"/>
      <c r="Q77" s="424"/>
    </row>
    <row r="78" spans="10:17" ht="12.5">
      <c r="J78" s="424"/>
      <c r="Q78" s="424"/>
    </row>
    <row r="79" spans="10:17" ht="12.5">
      <c r="J79" s="424"/>
      <c r="Q79" s="424"/>
    </row>
    <row r="80" spans="10:17" ht="12.5">
      <c r="J80" s="424"/>
      <c r="Q80" s="424"/>
    </row>
    <row r="81" spans="10:17" ht="12.5">
      <c r="J81" s="424"/>
      <c r="Q81" s="424"/>
    </row>
    <row r="82" spans="10:17" ht="12.5">
      <c r="J82" s="424"/>
      <c r="Q82" s="424"/>
    </row>
    <row r="83" spans="10:17" ht="12.5">
      <c r="J83" s="424"/>
      <c r="Q83" s="424"/>
    </row>
    <row r="84" spans="10:17" ht="12.5">
      <c r="J84" s="424"/>
      <c r="Q84" s="424"/>
    </row>
    <row r="85" spans="10:17" ht="12.5">
      <c r="J85" s="424"/>
      <c r="Q85" s="424"/>
    </row>
    <row r="86" spans="10:17" ht="12.5">
      <c r="J86" s="424"/>
      <c r="Q86" s="424"/>
    </row>
    <row r="87" spans="10:17" ht="12.5">
      <c r="J87" s="424"/>
      <c r="Q87" s="424"/>
    </row>
    <row r="88" spans="10:17" ht="12.5">
      <c r="J88" s="424"/>
      <c r="Q88" s="424"/>
    </row>
    <row r="89" spans="10:17" ht="12.5">
      <c r="J89" s="424"/>
      <c r="Q89" s="424"/>
    </row>
    <row r="90" spans="10:17" ht="12.5">
      <c r="J90" s="424"/>
      <c r="Q90" s="424"/>
    </row>
    <row r="91" spans="10:17" ht="12.5">
      <c r="J91" s="424"/>
      <c r="Q91" s="424"/>
    </row>
    <row r="92" spans="10:17" ht="12.5">
      <c r="J92" s="424"/>
      <c r="Q92" s="424"/>
    </row>
    <row r="93" spans="10:17" ht="12.5">
      <c r="J93" s="424"/>
      <c r="Q93" s="424"/>
    </row>
    <row r="94" spans="10:17" ht="12.5">
      <c r="J94" s="424"/>
      <c r="Q94" s="424"/>
    </row>
    <row r="95" spans="10:17" ht="12.5">
      <c r="J95" s="424"/>
      <c r="Q95" s="424"/>
    </row>
    <row r="96" spans="10:17" ht="12.5">
      <c r="J96" s="424"/>
      <c r="Q96" s="424"/>
    </row>
    <row r="97" spans="10:17" ht="12.5">
      <c r="J97" s="424"/>
      <c r="Q97" s="424"/>
    </row>
    <row r="98" spans="10:17" ht="12.5">
      <c r="J98" s="424"/>
      <c r="Q98" s="424"/>
    </row>
    <row r="99" spans="10:17" ht="12.5">
      <c r="J99" s="424"/>
      <c r="Q99" s="424"/>
    </row>
    <row r="100" spans="10:17" ht="12.5">
      <c r="J100" s="424"/>
      <c r="Q100" s="424"/>
    </row>
    <row r="101" spans="10:17" ht="12.5">
      <c r="J101" s="424"/>
      <c r="Q101" s="424"/>
    </row>
    <row r="102" spans="10:17" ht="12.5">
      <c r="J102" s="424"/>
      <c r="Q102" s="424"/>
    </row>
    <row r="103" spans="10:17" ht="12.5">
      <c r="J103" s="424"/>
      <c r="Q103" s="424"/>
    </row>
    <row r="104" spans="10:17" ht="12.5">
      <c r="J104" s="424"/>
      <c r="Q104" s="424"/>
    </row>
    <row r="105" spans="10:17" ht="12.5">
      <c r="J105" s="424"/>
      <c r="Q105" s="424"/>
    </row>
    <row r="106" spans="10:17" ht="12.5">
      <c r="J106" s="424"/>
      <c r="Q106" s="424"/>
    </row>
    <row r="107" spans="10:17" ht="12.5">
      <c r="J107" s="424"/>
      <c r="Q107" s="424"/>
    </row>
    <row r="108" spans="10:17" ht="12.5">
      <c r="J108" s="424"/>
      <c r="Q108" s="424"/>
    </row>
    <row r="109" spans="10:17" ht="12.5">
      <c r="J109" s="424"/>
      <c r="Q109" s="424"/>
    </row>
    <row r="110" spans="10:17" ht="12.5">
      <c r="J110" s="424"/>
      <c r="Q110" s="424"/>
    </row>
    <row r="111" spans="10:17" ht="12.5">
      <c r="J111" s="424"/>
      <c r="Q111" s="424"/>
    </row>
    <row r="112" spans="10:17" ht="12.5">
      <c r="J112" s="424"/>
      <c r="Q112" s="424"/>
    </row>
    <row r="113" spans="10:17" ht="12.5">
      <c r="J113" s="424"/>
      <c r="Q113" s="424"/>
    </row>
    <row r="114" spans="10:17" ht="12.5">
      <c r="J114" s="424"/>
      <c r="Q114" s="424"/>
    </row>
    <row r="115" spans="10:17" ht="12.5">
      <c r="J115" s="424"/>
      <c r="Q115" s="424"/>
    </row>
    <row r="116" spans="10:17" ht="12.5">
      <c r="J116" s="424"/>
      <c r="Q116" s="424"/>
    </row>
    <row r="117" spans="10:17" ht="12.5">
      <c r="J117" s="424"/>
      <c r="Q117" s="424"/>
    </row>
    <row r="118" spans="10:17" ht="12.5">
      <c r="J118" s="424"/>
      <c r="Q118" s="424"/>
    </row>
    <row r="119" spans="10:17" ht="12.5">
      <c r="J119" s="424"/>
      <c r="Q119" s="424"/>
    </row>
    <row r="120" spans="10:17" ht="12.5">
      <c r="J120" s="424"/>
      <c r="Q120" s="424"/>
    </row>
    <row r="121" spans="10:17" ht="12.5">
      <c r="J121" s="424"/>
      <c r="Q121" s="424"/>
    </row>
    <row r="122" spans="10:17" ht="12.5">
      <c r="J122" s="424"/>
      <c r="Q122" s="424"/>
    </row>
    <row r="123" spans="10:17" ht="12.5">
      <c r="J123" s="424"/>
      <c r="Q123" s="424"/>
    </row>
    <row r="124" spans="10:17" ht="12.5">
      <c r="J124" s="424"/>
      <c r="Q124" s="424"/>
    </row>
    <row r="125" spans="10:17" ht="12.5">
      <c r="J125" s="424"/>
      <c r="Q125" s="424"/>
    </row>
    <row r="126" spans="10:17" ht="12.5">
      <c r="J126" s="424"/>
      <c r="Q126" s="424"/>
    </row>
    <row r="127" spans="10:17" ht="12.5">
      <c r="J127" s="424"/>
      <c r="Q127" s="424"/>
    </row>
    <row r="128" spans="10:17" ht="12.5">
      <c r="J128" s="424"/>
      <c r="Q128" s="424"/>
    </row>
    <row r="129" spans="10:17" ht="12.5">
      <c r="J129" s="424"/>
      <c r="Q129" s="424"/>
    </row>
    <row r="130" spans="10:17" ht="12.5">
      <c r="J130" s="424"/>
      <c r="Q130" s="424"/>
    </row>
    <row r="131" spans="10:17" ht="12.5">
      <c r="J131" s="424"/>
      <c r="Q131" s="424"/>
    </row>
    <row r="132" spans="10:17" ht="12.5">
      <c r="J132" s="424"/>
      <c r="Q132" s="424"/>
    </row>
    <row r="133" spans="10:17" ht="12.5">
      <c r="J133" s="424"/>
      <c r="Q133" s="424"/>
    </row>
    <row r="134" spans="10:17" ht="12.5">
      <c r="J134" s="424"/>
      <c r="Q134" s="424"/>
    </row>
    <row r="135" spans="10:17" ht="12.5">
      <c r="J135" s="424"/>
      <c r="Q135" s="424"/>
    </row>
    <row r="136" spans="10:17" ht="12.5">
      <c r="J136" s="424"/>
      <c r="Q136" s="424"/>
    </row>
    <row r="137" spans="10:17" ht="12.5">
      <c r="J137" s="424"/>
      <c r="Q137" s="424"/>
    </row>
    <row r="138" spans="10:17" ht="12.5">
      <c r="J138" s="424"/>
      <c r="Q138" s="424"/>
    </row>
    <row r="139" spans="10:17" ht="12.5">
      <c r="J139" s="424"/>
      <c r="Q139" s="424"/>
    </row>
    <row r="140" spans="10:17" ht="12.5">
      <c r="J140" s="424"/>
      <c r="Q140" s="424"/>
    </row>
    <row r="141" spans="10:17" ht="12.5">
      <c r="J141" s="424"/>
      <c r="Q141" s="424"/>
    </row>
    <row r="142" spans="10:17" ht="12.5">
      <c r="J142" s="424"/>
      <c r="Q142" s="424"/>
    </row>
    <row r="143" spans="10:17" ht="12.5">
      <c r="J143" s="424"/>
      <c r="Q143" s="424"/>
    </row>
    <row r="144" spans="10:17" ht="12.5">
      <c r="J144" s="424"/>
      <c r="Q144" s="424"/>
    </row>
    <row r="145" spans="10:17" ht="12.5">
      <c r="J145" s="424"/>
      <c r="Q145" s="424"/>
    </row>
    <row r="146" spans="10:17" ht="12.5">
      <c r="J146" s="424"/>
      <c r="Q146" s="424"/>
    </row>
    <row r="147" spans="10:17" ht="12.5">
      <c r="J147" s="424"/>
      <c r="Q147" s="424"/>
    </row>
    <row r="148" spans="10:17" ht="12.5">
      <c r="J148" s="424"/>
      <c r="Q148" s="424"/>
    </row>
    <row r="149" spans="10:17" ht="12.5">
      <c r="J149" s="424"/>
      <c r="Q149" s="424"/>
    </row>
    <row r="150" spans="10:17" ht="12.5">
      <c r="J150" s="424"/>
      <c r="Q150" s="424"/>
    </row>
    <row r="151" spans="10:17" ht="12.5">
      <c r="J151" s="424"/>
      <c r="Q151" s="424"/>
    </row>
    <row r="152" spans="10:17" ht="12.5">
      <c r="J152" s="424"/>
      <c r="Q152" s="424"/>
    </row>
    <row r="153" spans="10:17" ht="12.5">
      <c r="J153" s="424"/>
      <c r="Q153" s="424"/>
    </row>
    <row r="154" spans="10:17" ht="12.5">
      <c r="J154" s="424"/>
      <c r="Q154" s="424"/>
    </row>
    <row r="155" spans="10:17" ht="12.5">
      <c r="J155" s="424"/>
      <c r="Q155" s="424"/>
    </row>
    <row r="156" spans="10:17" ht="12.5">
      <c r="J156" s="424"/>
      <c r="Q156" s="424"/>
    </row>
    <row r="157" spans="10:17" ht="12.5">
      <c r="J157" s="424"/>
      <c r="Q157" s="424"/>
    </row>
    <row r="158" spans="10:17" ht="12.5">
      <c r="J158" s="424"/>
      <c r="Q158" s="424"/>
    </row>
    <row r="159" spans="10:17" ht="12.5">
      <c r="J159" s="424"/>
      <c r="Q159" s="424"/>
    </row>
    <row r="160" spans="10:17" ht="12.5">
      <c r="J160" s="424"/>
      <c r="Q160" s="424"/>
    </row>
    <row r="161" spans="10:17" ht="12.5">
      <c r="J161" s="424"/>
      <c r="Q161" s="424"/>
    </row>
    <row r="162" spans="10:17" ht="12.5">
      <c r="J162" s="424"/>
      <c r="Q162" s="424"/>
    </row>
    <row r="163" spans="10:17" ht="12.5">
      <c r="J163" s="424"/>
      <c r="Q163" s="424"/>
    </row>
    <row r="164" spans="10:17" ht="12.5">
      <c r="J164" s="424"/>
      <c r="Q164" s="424"/>
    </row>
    <row r="165" spans="10:17" ht="12.5">
      <c r="J165" s="424"/>
      <c r="Q165" s="424"/>
    </row>
    <row r="166" spans="10:17" ht="12.5">
      <c r="J166" s="424"/>
      <c r="Q166" s="424"/>
    </row>
    <row r="167" spans="10:17" ht="12.5">
      <c r="J167" s="424"/>
      <c r="Q167" s="424"/>
    </row>
    <row r="168" spans="10:17" ht="12.5">
      <c r="J168" s="424"/>
      <c r="Q168" s="424"/>
    </row>
    <row r="169" spans="10:17" ht="12.5">
      <c r="J169" s="424"/>
      <c r="Q169" s="424"/>
    </row>
    <row r="170" spans="10:17" ht="12.5">
      <c r="J170" s="424"/>
      <c r="Q170" s="424"/>
    </row>
    <row r="171" spans="10:17" ht="12.5">
      <c r="J171" s="424"/>
      <c r="Q171" s="424"/>
    </row>
    <row r="172" spans="10:17" ht="12.5">
      <c r="J172" s="424"/>
      <c r="Q172" s="424"/>
    </row>
    <row r="173" spans="10:17" ht="12.5">
      <c r="J173" s="424"/>
      <c r="Q173" s="424"/>
    </row>
    <row r="174" spans="10:17" ht="12.5">
      <c r="J174" s="424"/>
      <c r="Q174" s="424"/>
    </row>
    <row r="175" spans="10:17" ht="12.5">
      <c r="J175" s="424"/>
      <c r="Q175" s="424"/>
    </row>
    <row r="176" spans="10:17" ht="12.5">
      <c r="J176" s="424"/>
      <c r="Q176" s="424"/>
    </row>
    <row r="177" spans="10:17" ht="12.5">
      <c r="J177" s="424"/>
      <c r="Q177" s="424"/>
    </row>
    <row r="178" spans="10:17" ht="12.5">
      <c r="J178" s="424"/>
      <c r="Q178" s="424"/>
    </row>
    <row r="179" spans="10:17" ht="12.5">
      <c r="J179" s="424"/>
      <c r="Q179" s="424"/>
    </row>
    <row r="180" spans="10:17" ht="12.5">
      <c r="J180" s="424"/>
      <c r="Q180" s="424"/>
    </row>
    <row r="181" spans="10:17" ht="12.5">
      <c r="J181" s="424"/>
      <c r="Q181" s="424"/>
    </row>
    <row r="182" spans="10:17" ht="12.5">
      <c r="J182" s="424"/>
      <c r="Q182" s="424"/>
    </row>
    <row r="183" spans="10:17" ht="12.5">
      <c r="J183" s="424"/>
      <c r="Q183" s="424"/>
    </row>
    <row r="184" spans="10:17" ht="12.5">
      <c r="J184" s="424"/>
      <c r="Q184" s="424"/>
    </row>
    <row r="185" spans="10:17" ht="12.5">
      <c r="J185" s="424"/>
      <c r="Q185" s="424"/>
    </row>
    <row r="186" spans="10:17" ht="12.5">
      <c r="J186" s="424"/>
      <c r="Q186" s="424"/>
    </row>
    <row r="187" spans="10:17" ht="12.5">
      <c r="J187" s="424"/>
      <c r="Q187" s="424"/>
    </row>
    <row r="188" spans="10:17" ht="12.5">
      <c r="J188" s="424"/>
      <c r="Q188" s="424"/>
    </row>
    <row r="189" spans="10:17" ht="12.5">
      <c r="J189" s="424"/>
      <c r="Q189" s="424"/>
    </row>
    <row r="190" spans="10:17" ht="12.5">
      <c r="J190" s="424"/>
      <c r="Q190" s="424"/>
    </row>
    <row r="191" spans="10:17" ht="12.5">
      <c r="J191" s="424"/>
      <c r="Q191" s="424"/>
    </row>
    <row r="192" spans="10:17" ht="12.5">
      <c r="J192" s="424"/>
      <c r="Q192" s="424"/>
    </row>
    <row r="193" spans="10:17" ht="12.5">
      <c r="J193" s="424"/>
      <c r="Q193" s="424"/>
    </row>
    <row r="194" spans="10:17" ht="12.5">
      <c r="J194" s="424"/>
      <c r="Q194" s="424"/>
    </row>
    <row r="195" spans="10:17" ht="12.5">
      <c r="J195" s="424"/>
      <c r="Q195" s="424"/>
    </row>
    <row r="196" spans="10:17" ht="12.5">
      <c r="J196" s="424"/>
      <c r="Q196" s="424"/>
    </row>
    <row r="197" spans="10:17" ht="12.5">
      <c r="J197" s="424"/>
      <c r="Q197" s="424"/>
    </row>
    <row r="198" spans="10:17" ht="12.5">
      <c r="J198" s="424"/>
      <c r="Q198" s="424"/>
    </row>
    <row r="199" spans="10:17" ht="12.5">
      <c r="J199" s="424"/>
      <c r="Q199" s="424"/>
    </row>
    <row r="200" spans="10:17" ht="12.5">
      <c r="J200" s="424"/>
      <c r="Q200" s="424"/>
    </row>
    <row r="201" spans="10:17" ht="12.5">
      <c r="J201" s="424"/>
      <c r="Q201" s="424"/>
    </row>
    <row r="202" spans="10:17" ht="12.5">
      <c r="J202" s="424"/>
      <c r="Q202" s="424"/>
    </row>
    <row r="203" spans="10:17" ht="12.5">
      <c r="J203" s="424"/>
      <c r="Q203" s="424"/>
    </row>
    <row r="204" spans="10:17" ht="12.5">
      <c r="J204" s="424"/>
      <c r="Q204" s="424"/>
    </row>
    <row r="205" spans="10:17" ht="12.5">
      <c r="J205" s="424"/>
      <c r="Q205" s="424"/>
    </row>
    <row r="206" spans="10:17" ht="12.5">
      <c r="J206" s="424"/>
      <c r="Q206" s="424"/>
    </row>
    <row r="207" spans="10:17" ht="12.5">
      <c r="J207" s="424"/>
      <c r="Q207" s="424"/>
    </row>
    <row r="208" spans="10:17" ht="12.5">
      <c r="J208" s="424"/>
      <c r="Q208" s="424"/>
    </row>
    <row r="209" spans="10:17" ht="12.5">
      <c r="J209" s="424"/>
      <c r="Q209" s="424"/>
    </row>
    <row r="210" spans="10:17" ht="12.5">
      <c r="J210" s="424"/>
      <c r="Q210" s="424"/>
    </row>
    <row r="211" spans="10:17" ht="12.5">
      <c r="J211" s="424"/>
      <c r="Q211" s="424"/>
    </row>
    <row r="212" spans="10:17" ht="12.5">
      <c r="J212" s="424"/>
      <c r="Q212" s="424"/>
    </row>
    <row r="213" spans="10:17" ht="12.5">
      <c r="J213" s="424"/>
      <c r="Q213" s="424"/>
    </row>
    <row r="214" spans="10:17" ht="12.5">
      <c r="J214" s="424"/>
      <c r="Q214" s="424"/>
    </row>
    <row r="215" spans="10:17" ht="12.5">
      <c r="J215" s="424"/>
      <c r="Q215" s="424"/>
    </row>
    <row r="216" spans="10:17" ht="12.5">
      <c r="J216" s="424"/>
      <c r="Q216" s="424"/>
    </row>
    <row r="217" spans="10:17" ht="12.5">
      <c r="J217" s="424"/>
      <c r="Q217" s="424"/>
    </row>
    <row r="218" spans="10:17" ht="12.5">
      <c r="J218" s="424"/>
      <c r="Q218" s="424"/>
    </row>
    <row r="219" spans="10:17" ht="12.5">
      <c r="J219" s="424"/>
      <c r="Q219" s="424"/>
    </row>
    <row r="220" spans="10:17" ht="12.5">
      <c r="J220" s="424"/>
      <c r="Q220" s="424"/>
    </row>
    <row r="221" spans="10:17" ht="12.5">
      <c r="J221" s="424"/>
      <c r="Q221" s="424"/>
    </row>
    <row r="222" spans="10:17" ht="12.5">
      <c r="J222" s="424"/>
      <c r="Q222" s="424"/>
    </row>
    <row r="223" spans="10:17" ht="12.5">
      <c r="J223" s="424"/>
      <c r="Q223" s="424"/>
    </row>
    <row r="224" spans="10:17" ht="12.5">
      <c r="J224" s="424"/>
      <c r="Q224" s="424"/>
    </row>
    <row r="225" spans="10:17" ht="12.5">
      <c r="J225" s="424"/>
      <c r="Q225" s="424"/>
    </row>
    <row r="226" spans="10:17" ht="12.5">
      <c r="J226" s="424"/>
      <c r="Q226" s="424"/>
    </row>
    <row r="227" spans="10:17" ht="12.5">
      <c r="J227" s="424"/>
      <c r="Q227" s="424"/>
    </row>
    <row r="228" spans="10:17" ht="12.5">
      <c r="J228" s="424"/>
      <c r="Q228" s="424"/>
    </row>
    <row r="229" spans="10:17" ht="12.5">
      <c r="J229" s="424"/>
      <c r="Q229" s="424"/>
    </row>
    <row r="230" spans="10:17" ht="12.5">
      <c r="J230" s="424"/>
      <c r="Q230" s="424"/>
    </row>
    <row r="231" spans="10:17" ht="12.5">
      <c r="J231" s="424"/>
      <c r="Q231" s="424"/>
    </row>
    <row r="232" spans="10:17" ht="12.5">
      <c r="J232" s="424"/>
      <c r="Q232" s="424"/>
    </row>
    <row r="233" spans="10:17" ht="12.5">
      <c r="J233" s="424"/>
      <c r="Q233" s="424"/>
    </row>
    <row r="234" spans="10:17" ht="12.5">
      <c r="J234" s="424"/>
      <c r="Q234" s="424"/>
    </row>
    <row r="235" spans="10:17" ht="12.5">
      <c r="J235" s="424"/>
      <c r="Q235" s="424"/>
    </row>
    <row r="236" spans="10:17" ht="12.5">
      <c r="J236" s="424"/>
      <c r="Q236" s="424"/>
    </row>
    <row r="237" spans="10:17" ht="12.5">
      <c r="J237" s="424"/>
      <c r="Q237" s="424"/>
    </row>
    <row r="238" spans="10:17" ht="12.5">
      <c r="J238" s="424"/>
      <c r="Q238" s="424"/>
    </row>
    <row r="239" spans="10:17" ht="12.5">
      <c r="J239" s="424"/>
      <c r="Q239" s="424"/>
    </row>
    <row r="240" spans="10:17" ht="12.5">
      <c r="J240" s="424"/>
      <c r="Q240" s="424"/>
    </row>
    <row r="241" spans="10:17" ht="12.5">
      <c r="J241" s="424"/>
      <c r="Q241" s="424"/>
    </row>
    <row r="242" spans="10:17" ht="12.5">
      <c r="J242" s="424"/>
      <c r="Q242" s="424"/>
    </row>
    <row r="243" spans="10:17" ht="12.5">
      <c r="J243" s="424"/>
      <c r="Q243" s="424"/>
    </row>
    <row r="244" spans="10:17" ht="12.5">
      <c r="J244" s="424"/>
      <c r="Q244" s="424"/>
    </row>
    <row r="245" spans="10:17" ht="12.5">
      <c r="J245" s="424"/>
      <c r="Q245" s="424"/>
    </row>
    <row r="246" spans="10:17" ht="12.5">
      <c r="J246" s="424"/>
      <c r="Q246" s="424"/>
    </row>
    <row r="247" spans="10:17" ht="12.5">
      <c r="J247" s="424"/>
      <c r="Q247" s="424"/>
    </row>
    <row r="248" spans="10:17" ht="12.5">
      <c r="J248" s="424"/>
      <c r="Q248" s="424"/>
    </row>
    <row r="249" spans="10:17" ht="12.5">
      <c r="J249" s="424"/>
      <c r="Q249" s="424"/>
    </row>
    <row r="250" spans="10:17" ht="12.5">
      <c r="J250" s="424"/>
      <c r="Q250" s="424"/>
    </row>
    <row r="251" spans="10:17" ht="12.5">
      <c r="J251" s="424"/>
      <c r="Q251" s="424"/>
    </row>
    <row r="252" spans="10:17" ht="12.5">
      <c r="J252" s="424"/>
      <c r="Q252" s="424"/>
    </row>
    <row r="253" spans="10:17" ht="12.5">
      <c r="J253" s="424"/>
      <c r="Q253" s="424"/>
    </row>
    <row r="254" spans="10:17" ht="12.5">
      <c r="J254" s="424"/>
      <c r="Q254" s="424"/>
    </row>
    <row r="255" spans="10:17" ht="12.5">
      <c r="J255" s="424"/>
      <c r="Q255" s="424"/>
    </row>
    <row r="256" spans="10:17" ht="12.5">
      <c r="J256" s="424"/>
      <c r="Q256" s="424"/>
    </row>
    <row r="257" spans="10:17" ht="12.5">
      <c r="J257" s="424"/>
      <c r="Q257" s="424"/>
    </row>
    <row r="258" spans="10:17" ht="12.5">
      <c r="J258" s="424"/>
      <c r="Q258" s="424"/>
    </row>
    <row r="259" spans="10:17" ht="12.5">
      <c r="J259" s="424"/>
      <c r="Q259" s="424"/>
    </row>
    <row r="260" spans="10:17" ht="12.5">
      <c r="J260" s="424"/>
      <c r="Q260" s="424"/>
    </row>
    <row r="261" spans="10:17" ht="12.5">
      <c r="J261" s="424"/>
      <c r="Q261" s="424"/>
    </row>
    <row r="262" spans="10:17" ht="12.5">
      <c r="J262" s="424"/>
      <c r="Q262" s="424"/>
    </row>
    <row r="263" spans="10:17" ht="12.5">
      <c r="J263" s="424"/>
      <c r="Q263" s="424"/>
    </row>
    <row r="264" spans="10:17" ht="12.5">
      <c r="J264" s="424"/>
      <c r="Q264" s="424"/>
    </row>
    <row r="265" spans="10:17" ht="12.5">
      <c r="J265" s="424"/>
      <c r="Q265" s="424"/>
    </row>
    <row r="266" spans="10:17" ht="12.5">
      <c r="J266" s="424"/>
      <c r="Q266" s="424"/>
    </row>
    <row r="267" spans="10:17" ht="12.5">
      <c r="J267" s="424"/>
      <c r="Q267" s="424"/>
    </row>
    <row r="268" spans="10:17" ht="12.5">
      <c r="J268" s="424"/>
      <c r="Q268" s="424"/>
    </row>
    <row r="269" spans="10:17" ht="12.5">
      <c r="J269" s="424"/>
      <c r="Q269" s="424"/>
    </row>
    <row r="270" spans="10:17" ht="12.5">
      <c r="J270" s="424"/>
      <c r="Q270" s="424"/>
    </row>
    <row r="271" spans="10:17" ht="12.5">
      <c r="J271" s="424"/>
      <c r="Q271" s="424"/>
    </row>
    <row r="272" spans="10:17" ht="12.5">
      <c r="J272" s="424"/>
      <c r="Q272" s="424"/>
    </row>
    <row r="273" spans="10:17" ht="12.5">
      <c r="J273" s="424"/>
      <c r="Q273" s="424"/>
    </row>
    <row r="274" spans="10:17" ht="12.5">
      <c r="J274" s="424"/>
      <c r="Q274" s="424"/>
    </row>
    <row r="275" spans="10:17" ht="12.5">
      <c r="J275" s="424"/>
      <c r="Q275" s="424"/>
    </row>
    <row r="276" spans="10:17" ht="12.5">
      <c r="J276" s="424"/>
      <c r="Q276" s="424"/>
    </row>
    <row r="277" spans="10:17" ht="12.5">
      <c r="J277" s="424"/>
      <c r="Q277" s="424"/>
    </row>
    <row r="278" spans="10:17" ht="12.5">
      <c r="J278" s="424"/>
      <c r="Q278" s="424"/>
    </row>
    <row r="279" spans="10:17" ht="12.5">
      <c r="J279" s="424"/>
      <c r="Q279" s="424"/>
    </row>
    <row r="280" spans="10:17" ht="12.5">
      <c r="J280" s="424"/>
      <c r="Q280" s="424"/>
    </row>
    <row r="281" spans="10:17" ht="12.5">
      <c r="J281" s="424"/>
      <c r="Q281" s="424"/>
    </row>
    <row r="282" spans="10:17" ht="12.5">
      <c r="J282" s="424"/>
      <c r="Q282" s="424"/>
    </row>
    <row r="283" spans="10:17" ht="12.5">
      <c r="J283" s="424"/>
      <c r="Q283" s="424"/>
    </row>
    <row r="284" spans="10:17" ht="12.5">
      <c r="J284" s="424"/>
      <c r="Q284" s="424"/>
    </row>
    <row r="285" spans="10:17" ht="12.5">
      <c r="J285" s="424"/>
      <c r="Q285" s="424"/>
    </row>
    <row r="286" spans="10:17" ht="12.5">
      <c r="J286" s="424"/>
      <c r="Q286" s="424"/>
    </row>
    <row r="287" spans="10:17" ht="12.5">
      <c r="J287" s="424"/>
      <c r="Q287" s="424"/>
    </row>
    <row r="288" spans="10:17" ht="12.5">
      <c r="J288" s="424"/>
      <c r="Q288" s="424"/>
    </row>
    <row r="289" spans="10:17" ht="12.5">
      <c r="J289" s="424"/>
      <c r="Q289" s="424"/>
    </row>
    <row r="290" spans="10:17" ht="12.5">
      <c r="J290" s="424"/>
      <c r="Q290" s="424"/>
    </row>
    <row r="291" spans="10:17" ht="12.5">
      <c r="J291" s="424"/>
      <c r="Q291" s="424"/>
    </row>
    <row r="292" spans="10:17" ht="12.5">
      <c r="J292" s="424"/>
      <c r="Q292" s="424"/>
    </row>
    <row r="293" spans="10:17" ht="12.5">
      <c r="J293" s="424"/>
      <c r="Q293" s="424"/>
    </row>
    <row r="294" spans="10:17" ht="12.5">
      <c r="J294" s="424"/>
      <c r="Q294" s="424"/>
    </row>
    <row r="295" spans="10:17" ht="12.5">
      <c r="J295" s="424"/>
      <c r="Q295" s="424"/>
    </row>
    <row r="296" spans="10:17" ht="12.5">
      <c r="J296" s="424"/>
      <c r="Q296" s="424"/>
    </row>
    <row r="297" spans="10:17" ht="12.5">
      <c r="J297" s="424"/>
      <c r="Q297" s="424"/>
    </row>
    <row r="298" spans="10:17" ht="12.5">
      <c r="J298" s="424"/>
      <c r="Q298" s="424"/>
    </row>
    <row r="299" spans="10:17" ht="12.5">
      <c r="J299" s="424"/>
      <c r="Q299" s="424"/>
    </row>
    <row r="300" spans="10:17" ht="12.5">
      <c r="J300" s="424"/>
      <c r="Q300" s="424"/>
    </row>
    <row r="301" spans="10:17" ht="12.5">
      <c r="J301" s="424"/>
      <c r="Q301" s="424"/>
    </row>
    <row r="302" spans="10:17" ht="12.5">
      <c r="J302" s="424"/>
      <c r="Q302" s="424"/>
    </row>
    <row r="303" spans="10:17" ht="12.5">
      <c r="J303" s="424"/>
      <c r="Q303" s="424"/>
    </row>
    <row r="304" spans="10:17" ht="12.5">
      <c r="J304" s="424"/>
      <c r="Q304" s="424"/>
    </row>
    <row r="305" spans="10:17" ht="12.5">
      <c r="J305" s="424"/>
      <c r="Q305" s="424"/>
    </row>
    <row r="306" spans="10:17" ht="12.5">
      <c r="J306" s="424"/>
      <c r="Q306" s="424"/>
    </row>
    <row r="307" spans="10:17" ht="12.5">
      <c r="J307" s="424"/>
      <c r="Q307" s="424"/>
    </row>
    <row r="308" spans="10:17" ht="12.5">
      <c r="J308" s="424"/>
      <c r="Q308" s="424"/>
    </row>
    <row r="309" spans="10:17" ht="12.5">
      <c r="J309" s="424"/>
      <c r="Q309" s="424"/>
    </row>
    <row r="310" spans="10:17" ht="12.5">
      <c r="J310" s="424"/>
      <c r="Q310" s="424"/>
    </row>
    <row r="311" spans="10:17" ht="12.5">
      <c r="J311" s="424"/>
      <c r="Q311" s="424"/>
    </row>
    <row r="312" spans="10:17" ht="12.5">
      <c r="J312" s="424"/>
      <c r="Q312" s="424"/>
    </row>
    <row r="313" spans="10:17" ht="12.5">
      <c r="J313" s="424"/>
      <c r="Q313" s="424"/>
    </row>
    <row r="314" spans="10:17" ht="12.5">
      <c r="J314" s="424"/>
      <c r="Q314" s="424"/>
    </row>
    <row r="315" spans="10:17" ht="12.5">
      <c r="J315" s="424"/>
      <c r="Q315" s="424"/>
    </row>
    <row r="316" spans="10:17" ht="12.5">
      <c r="J316" s="424"/>
      <c r="Q316" s="424"/>
    </row>
    <row r="317" spans="10:17" ht="12.5">
      <c r="J317" s="424"/>
      <c r="Q317" s="424"/>
    </row>
    <row r="318" spans="10:17" ht="12.5">
      <c r="J318" s="424"/>
      <c r="Q318" s="424"/>
    </row>
    <row r="319" spans="10:17" ht="12.5">
      <c r="J319" s="424"/>
      <c r="Q319" s="424"/>
    </row>
    <row r="320" spans="10:17" ht="12.5">
      <c r="J320" s="424"/>
      <c r="Q320" s="424"/>
    </row>
    <row r="321" spans="10:17" ht="12.5">
      <c r="J321" s="424"/>
      <c r="Q321" s="424"/>
    </row>
    <row r="322" spans="10:17" ht="12.5">
      <c r="J322" s="424"/>
      <c r="Q322" s="424"/>
    </row>
    <row r="323" spans="10:17" ht="12.5">
      <c r="J323" s="424"/>
      <c r="Q323" s="424"/>
    </row>
    <row r="324" spans="10:17" ht="12.5">
      <c r="J324" s="424"/>
      <c r="Q324" s="424"/>
    </row>
    <row r="325" spans="10:17" ht="12.5">
      <c r="J325" s="424"/>
      <c r="Q325" s="424"/>
    </row>
    <row r="326" spans="10:17" ht="12.5">
      <c r="J326" s="424"/>
      <c r="Q326" s="424"/>
    </row>
    <row r="327" spans="10:17" ht="12.5">
      <c r="J327" s="424"/>
      <c r="Q327" s="424"/>
    </row>
    <row r="328" spans="10:17" ht="12.5">
      <c r="J328" s="424"/>
      <c r="Q328" s="424"/>
    </row>
    <row r="329" spans="10:17" ht="12.5">
      <c r="J329" s="424"/>
      <c r="Q329" s="424"/>
    </row>
    <row r="330" spans="10:17" ht="12.5">
      <c r="J330" s="424"/>
      <c r="Q330" s="424"/>
    </row>
    <row r="331" spans="10:17" ht="12.5">
      <c r="J331" s="424"/>
      <c r="Q331" s="424"/>
    </row>
    <row r="332" spans="10:17" ht="12.5">
      <c r="J332" s="424"/>
      <c r="Q332" s="424"/>
    </row>
    <row r="333" spans="10:17" ht="12.5">
      <c r="J333" s="424"/>
      <c r="Q333" s="424"/>
    </row>
    <row r="334" spans="10:17" ht="12.5">
      <c r="J334" s="424"/>
      <c r="Q334" s="424"/>
    </row>
    <row r="335" spans="10:17" ht="12.5">
      <c r="J335" s="424"/>
      <c r="Q335" s="424"/>
    </row>
    <row r="336" spans="10:17" ht="12.5">
      <c r="J336" s="424"/>
      <c r="Q336" s="424"/>
    </row>
    <row r="337" spans="10:17" ht="12.5">
      <c r="J337" s="424"/>
      <c r="Q337" s="424"/>
    </row>
    <row r="338" spans="10:17" ht="12.5">
      <c r="J338" s="424"/>
      <c r="Q338" s="424"/>
    </row>
    <row r="339" spans="10:17" ht="12.5">
      <c r="J339" s="424"/>
      <c r="Q339" s="424"/>
    </row>
    <row r="340" spans="10:17" ht="12.5">
      <c r="J340" s="424"/>
      <c r="Q340" s="424"/>
    </row>
    <row r="341" spans="10:17" ht="12.5">
      <c r="J341" s="424"/>
      <c r="Q341" s="424"/>
    </row>
    <row r="342" spans="10:17" ht="12.5">
      <c r="J342" s="424"/>
      <c r="Q342" s="424"/>
    </row>
    <row r="343" spans="10:17" ht="12.5">
      <c r="J343" s="424"/>
      <c r="Q343" s="424"/>
    </row>
    <row r="344" spans="10:17" ht="12.5">
      <c r="J344" s="424"/>
      <c r="Q344" s="424"/>
    </row>
    <row r="345" spans="10:17" ht="12.5">
      <c r="J345" s="424"/>
      <c r="Q345" s="424"/>
    </row>
    <row r="346" spans="10:17" ht="12.5">
      <c r="J346" s="424"/>
      <c r="Q346" s="424"/>
    </row>
    <row r="347" spans="10:17" ht="12.5">
      <c r="J347" s="424"/>
      <c r="Q347" s="424"/>
    </row>
    <row r="348" spans="10:17" ht="12.5">
      <c r="J348" s="424"/>
      <c r="Q348" s="424"/>
    </row>
    <row r="349" spans="10:17" ht="12.5">
      <c r="J349" s="424"/>
      <c r="Q349" s="424"/>
    </row>
    <row r="350" spans="10:17" ht="12.5">
      <c r="J350" s="424"/>
      <c r="Q350" s="424"/>
    </row>
    <row r="351" spans="10:17" ht="12.5">
      <c r="J351" s="424"/>
      <c r="Q351" s="424"/>
    </row>
    <row r="352" spans="10:17" ht="12.5">
      <c r="J352" s="424"/>
      <c r="Q352" s="424"/>
    </row>
    <row r="353" spans="10:17" ht="12.5">
      <c r="J353" s="424"/>
      <c r="Q353" s="424"/>
    </row>
    <row r="354" spans="10:17" ht="12.5">
      <c r="J354" s="424"/>
      <c r="Q354" s="424"/>
    </row>
    <row r="355" spans="10:17" ht="12.5">
      <c r="J355" s="424"/>
      <c r="Q355" s="424"/>
    </row>
    <row r="356" spans="10:17" ht="12.5">
      <c r="J356" s="424"/>
      <c r="Q356" s="424"/>
    </row>
    <row r="357" spans="10:17" ht="12.5">
      <c r="J357" s="424"/>
      <c r="Q357" s="424"/>
    </row>
    <row r="358" spans="10:17" ht="12.5">
      <c r="J358" s="424"/>
      <c r="Q358" s="424"/>
    </row>
    <row r="359" spans="10:17" ht="12.5">
      <c r="J359" s="424"/>
      <c r="Q359" s="424"/>
    </row>
    <row r="360" spans="10:17" ht="12.5">
      <c r="J360" s="424"/>
      <c r="Q360" s="424"/>
    </row>
    <row r="361" spans="10:17" ht="12.5">
      <c r="J361" s="424"/>
      <c r="Q361" s="424"/>
    </row>
    <row r="362" spans="10:17" ht="12.5">
      <c r="J362" s="424"/>
      <c r="Q362" s="424"/>
    </row>
    <row r="363" spans="10:17" ht="12.5">
      <c r="J363" s="424"/>
      <c r="Q363" s="424"/>
    </row>
    <row r="364" spans="10:17" ht="12.5">
      <c r="J364" s="424"/>
      <c r="Q364" s="424"/>
    </row>
    <row r="365" spans="10:17" ht="12.5">
      <c r="J365" s="424"/>
      <c r="Q365" s="424"/>
    </row>
    <row r="366" spans="10:17" ht="12.5">
      <c r="J366" s="424"/>
      <c r="Q366" s="424"/>
    </row>
    <row r="367" spans="10:17" ht="12.5">
      <c r="J367" s="424"/>
      <c r="Q367" s="424"/>
    </row>
    <row r="368" spans="10:17" ht="12.5">
      <c r="J368" s="424"/>
      <c r="Q368" s="424"/>
    </row>
    <row r="369" spans="10:17" ht="12.5">
      <c r="J369" s="424"/>
      <c r="Q369" s="424"/>
    </row>
    <row r="370" spans="10:17" ht="12.5">
      <c r="J370" s="424"/>
      <c r="Q370" s="424"/>
    </row>
    <row r="371" spans="10:17" ht="12.5">
      <c r="J371" s="424"/>
      <c r="Q371" s="424"/>
    </row>
    <row r="372" spans="10:17" ht="12.5">
      <c r="J372" s="424"/>
      <c r="Q372" s="424"/>
    </row>
    <row r="373" spans="10:17" ht="12.5">
      <c r="J373" s="424"/>
      <c r="Q373" s="424"/>
    </row>
    <row r="374" spans="10:17" ht="12.5">
      <c r="J374" s="424"/>
      <c r="Q374" s="424"/>
    </row>
    <row r="375" spans="10:17" ht="12.5">
      <c r="J375" s="424"/>
      <c r="Q375" s="424"/>
    </row>
    <row r="376" spans="10:17" ht="12.5">
      <c r="J376" s="424"/>
      <c r="Q376" s="424"/>
    </row>
    <row r="377" spans="10:17" ht="12.5">
      <c r="J377" s="424"/>
      <c r="Q377" s="424"/>
    </row>
    <row r="378" spans="10:17" ht="12.5">
      <c r="J378" s="424"/>
      <c r="Q378" s="424"/>
    </row>
    <row r="379" spans="10:17" ht="12.5">
      <c r="J379" s="424"/>
      <c r="Q379" s="424"/>
    </row>
    <row r="380" spans="10:17" ht="12.5">
      <c r="J380" s="424"/>
      <c r="Q380" s="424"/>
    </row>
    <row r="381" spans="10:17" ht="12.5">
      <c r="J381" s="424"/>
      <c r="Q381" s="424"/>
    </row>
    <row r="382" spans="10:17" ht="12.5">
      <c r="J382" s="424"/>
      <c r="Q382" s="424"/>
    </row>
    <row r="383" spans="10:17" ht="12.5">
      <c r="J383" s="424"/>
      <c r="Q383" s="424"/>
    </row>
    <row r="384" spans="10:17" ht="12.5">
      <c r="J384" s="424"/>
      <c r="Q384" s="424"/>
    </row>
    <row r="385" spans="10:17" ht="12.5">
      <c r="J385" s="424"/>
      <c r="Q385" s="424"/>
    </row>
    <row r="386" spans="10:17" ht="12.5">
      <c r="J386" s="424"/>
      <c r="Q386" s="424"/>
    </row>
    <row r="387" spans="10:17" ht="12.5">
      <c r="J387" s="424"/>
      <c r="Q387" s="424"/>
    </row>
    <row r="388" spans="10:17" ht="12.5">
      <c r="J388" s="424"/>
      <c r="Q388" s="424"/>
    </row>
    <row r="389" spans="10:17" ht="12.5">
      <c r="J389" s="424"/>
      <c r="Q389" s="424"/>
    </row>
    <row r="390" spans="10:17" ht="12.5">
      <c r="J390" s="424"/>
      <c r="Q390" s="424"/>
    </row>
    <row r="391" spans="10:17" ht="12.5">
      <c r="J391" s="424"/>
      <c r="Q391" s="424"/>
    </row>
    <row r="392" spans="10:17" ht="12.5">
      <c r="J392" s="424"/>
      <c r="Q392" s="424"/>
    </row>
    <row r="393" spans="10:17" ht="12.5">
      <c r="J393" s="424"/>
      <c r="Q393" s="424"/>
    </row>
    <row r="394" spans="10:17" ht="12.5">
      <c r="J394" s="424"/>
      <c r="Q394" s="424"/>
    </row>
    <row r="395" spans="10:17" ht="12.5">
      <c r="J395" s="424"/>
      <c r="Q395" s="424"/>
    </row>
    <row r="396" spans="10:17" ht="12.5">
      <c r="J396" s="424"/>
      <c r="Q396" s="424"/>
    </row>
    <row r="397" spans="10:17" ht="12.5">
      <c r="J397" s="424"/>
      <c r="Q397" s="424"/>
    </row>
    <row r="398" spans="10:17" ht="12.5">
      <c r="J398" s="424"/>
      <c r="Q398" s="424"/>
    </row>
    <row r="399" spans="10:17" ht="12.5">
      <c r="J399" s="424"/>
      <c r="Q399" s="424"/>
    </row>
    <row r="400" spans="10:17" ht="12.5">
      <c r="J400" s="424"/>
      <c r="Q400" s="424"/>
    </row>
    <row r="401" spans="10:17" ht="12.5">
      <c r="J401" s="424"/>
      <c r="Q401" s="424"/>
    </row>
    <row r="402" spans="10:17" ht="12.5">
      <c r="J402" s="424"/>
      <c r="Q402" s="424"/>
    </row>
    <row r="403" spans="10:17" ht="12.5">
      <c r="J403" s="424"/>
      <c r="Q403" s="424"/>
    </row>
    <row r="404" spans="10:17" ht="12.5">
      <c r="J404" s="424"/>
      <c r="Q404" s="424"/>
    </row>
    <row r="405" spans="10:17" ht="12.5">
      <c r="J405" s="424"/>
      <c r="Q405" s="424"/>
    </row>
    <row r="406" spans="10:17" ht="12.5">
      <c r="J406" s="424"/>
      <c r="Q406" s="424"/>
    </row>
    <row r="407" spans="10:17" ht="12.5">
      <c r="J407" s="424"/>
      <c r="Q407" s="424"/>
    </row>
    <row r="408" spans="10:17" ht="12.5">
      <c r="J408" s="424"/>
      <c r="Q408" s="424"/>
    </row>
    <row r="409" spans="10:17" ht="12.5">
      <c r="J409" s="424"/>
      <c r="Q409" s="424"/>
    </row>
    <row r="410" spans="10:17" ht="12.5">
      <c r="J410" s="424"/>
      <c r="Q410" s="424"/>
    </row>
    <row r="411" spans="10:17" ht="12.5">
      <c r="J411" s="424"/>
      <c r="Q411" s="424"/>
    </row>
    <row r="412" spans="10:17" ht="12.5">
      <c r="J412" s="424"/>
      <c r="Q412" s="424"/>
    </row>
    <row r="413" spans="10:17" ht="12.5">
      <c r="J413" s="424"/>
      <c r="Q413" s="424"/>
    </row>
    <row r="414" spans="10:17" ht="12.5">
      <c r="J414" s="424"/>
      <c r="Q414" s="424"/>
    </row>
    <row r="415" spans="10:17" ht="12.5">
      <c r="J415" s="424"/>
      <c r="Q415" s="424"/>
    </row>
    <row r="416" spans="10:17" ht="12.5">
      <c r="J416" s="424"/>
      <c r="Q416" s="424"/>
    </row>
    <row r="417" spans="10:17" ht="12.5">
      <c r="J417" s="424"/>
      <c r="Q417" s="424"/>
    </row>
    <row r="418" spans="10:17" ht="12.5">
      <c r="J418" s="424"/>
      <c r="Q418" s="424"/>
    </row>
    <row r="419" spans="10:17" ht="12.5">
      <c r="J419" s="424"/>
      <c r="Q419" s="424"/>
    </row>
    <row r="420" spans="10:17" ht="12.5">
      <c r="J420" s="424"/>
      <c r="Q420" s="424"/>
    </row>
    <row r="421" spans="10:17" ht="12.5">
      <c r="J421" s="424"/>
      <c r="Q421" s="424"/>
    </row>
    <row r="422" spans="10:17" ht="12.5">
      <c r="J422" s="424"/>
      <c r="Q422" s="424"/>
    </row>
    <row r="423" spans="10:17" ht="12.5">
      <c r="J423" s="424"/>
      <c r="Q423" s="424"/>
    </row>
    <row r="424" spans="10:17" ht="12.5">
      <c r="J424" s="424"/>
      <c r="Q424" s="424"/>
    </row>
    <row r="425" spans="10:17" ht="12.5">
      <c r="J425" s="424"/>
      <c r="Q425" s="424"/>
    </row>
    <row r="426" spans="10:17" ht="12.5">
      <c r="J426" s="424"/>
      <c r="Q426" s="424"/>
    </row>
    <row r="427" spans="10:17" ht="12.5">
      <c r="J427" s="424"/>
      <c r="Q427" s="424"/>
    </row>
    <row r="428" spans="10:17" ht="12.5">
      <c r="J428" s="424"/>
      <c r="Q428" s="424"/>
    </row>
    <row r="429" spans="10:17" ht="12.5">
      <c r="J429" s="424"/>
      <c r="Q429" s="424"/>
    </row>
    <row r="430" spans="10:17" ht="12.5">
      <c r="J430" s="424"/>
      <c r="Q430" s="424"/>
    </row>
    <row r="431" spans="10:17" ht="12.5">
      <c r="J431" s="424"/>
      <c r="Q431" s="424"/>
    </row>
    <row r="432" spans="10:17" ht="12.5">
      <c r="J432" s="424"/>
      <c r="Q432" s="424"/>
    </row>
    <row r="433" spans="10:17" ht="12.5">
      <c r="J433" s="424"/>
      <c r="Q433" s="424"/>
    </row>
    <row r="434" spans="10:17" ht="12.5">
      <c r="J434" s="424"/>
      <c r="Q434" s="424"/>
    </row>
    <row r="435" spans="10:17" ht="12.5">
      <c r="J435" s="424"/>
      <c r="Q435" s="424"/>
    </row>
    <row r="436" spans="10:17" ht="12.5">
      <c r="J436" s="424"/>
      <c r="Q436" s="424"/>
    </row>
    <row r="437" spans="10:17" ht="12.5">
      <c r="J437" s="424"/>
      <c r="Q437" s="424"/>
    </row>
    <row r="438" spans="10:17" ht="12.5">
      <c r="J438" s="424"/>
      <c r="Q438" s="424"/>
    </row>
    <row r="439" spans="10:17" ht="12.5">
      <c r="J439" s="424"/>
      <c r="Q439" s="424"/>
    </row>
    <row r="440" spans="10:17" ht="12.5">
      <c r="J440" s="424"/>
      <c r="Q440" s="424"/>
    </row>
    <row r="441" spans="10:17" ht="12.5">
      <c r="J441" s="424"/>
      <c r="Q441" s="424"/>
    </row>
    <row r="442" spans="10:17" ht="12.5">
      <c r="J442" s="424"/>
      <c r="Q442" s="424"/>
    </row>
    <row r="443" spans="10:17" ht="12.5">
      <c r="J443" s="424"/>
      <c r="Q443" s="424"/>
    </row>
    <row r="444" spans="10:17" ht="12.5">
      <c r="J444" s="424"/>
      <c r="Q444" s="424"/>
    </row>
    <row r="445" spans="10:17" ht="12.5">
      <c r="J445" s="424"/>
      <c r="Q445" s="424"/>
    </row>
    <row r="446" spans="10:17" ht="12.5">
      <c r="J446" s="424"/>
      <c r="Q446" s="424"/>
    </row>
    <row r="447" spans="10:17" ht="12.5">
      <c r="J447" s="424"/>
      <c r="Q447" s="424"/>
    </row>
    <row r="448" spans="10:17" ht="12.5">
      <c r="J448" s="424"/>
      <c r="Q448" s="424"/>
    </row>
    <row r="449" spans="10:17" ht="12.5">
      <c r="J449" s="424"/>
      <c r="Q449" s="424"/>
    </row>
    <row r="450" spans="10:17" ht="12.5">
      <c r="J450" s="424"/>
      <c r="Q450" s="424"/>
    </row>
    <row r="451" spans="10:17" ht="12.5">
      <c r="J451" s="424"/>
      <c r="Q451" s="424"/>
    </row>
    <row r="452" spans="10:17" ht="12.5">
      <c r="J452" s="424"/>
      <c r="Q452" s="424"/>
    </row>
    <row r="453" spans="10:17" ht="12.5">
      <c r="J453" s="424"/>
      <c r="Q453" s="424"/>
    </row>
    <row r="454" spans="10:17" ht="12.5">
      <c r="J454" s="424"/>
      <c r="Q454" s="424"/>
    </row>
    <row r="455" spans="10:17" ht="12.5">
      <c r="J455" s="424"/>
      <c r="Q455" s="424"/>
    </row>
    <row r="456" spans="10:17" ht="12.5">
      <c r="J456" s="424"/>
      <c r="Q456" s="424"/>
    </row>
    <row r="457" spans="10:17" ht="12.5">
      <c r="J457" s="424"/>
      <c r="Q457" s="424"/>
    </row>
    <row r="458" spans="10:17" ht="12.5">
      <c r="J458" s="424"/>
      <c r="Q458" s="424"/>
    </row>
    <row r="459" spans="10:17" ht="12.5">
      <c r="J459" s="424"/>
      <c r="Q459" s="424"/>
    </row>
    <row r="460" spans="10:17" ht="12.5">
      <c r="J460" s="424"/>
      <c r="Q460" s="424"/>
    </row>
    <row r="461" spans="10:17" ht="12.5">
      <c r="J461" s="424"/>
      <c r="Q461" s="424"/>
    </row>
    <row r="462" spans="10:17" ht="12.5">
      <c r="J462" s="424"/>
      <c r="Q462" s="424"/>
    </row>
    <row r="463" spans="10:17" ht="12.5">
      <c r="J463" s="424"/>
      <c r="Q463" s="424"/>
    </row>
    <row r="464" spans="10:17" ht="12.5">
      <c r="J464" s="424"/>
      <c r="Q464" s="424"/>
    </row>
    <row r="465" spans="10:17" ht="12.5">
      <c r="J465" s="424"/>
      <c r="Q465" s="424"/>
    </row>
    <row r="466" spans="10:17" ht="12.5">
      <c r="J466" s="424"/>
      <c r="Q466" s="424"/>
    </row>
    <row r="467" spans="10:17" ht="12.5">
      <c r="J467" s="424"/>
      <c r="Q467" s="424"/>
    </row>
    <row r="468" spans="10:17" ht="12.5">
      <c r="J468" s="424"/>
      <c r="Q468" s="424"/>
    </row>
    <row r="469" spans="10:17" ht="12.5">
      <c r="J469" s="424"/>
      <c r="Q469" s="424"/>
    </row>
    <row r="470" spans="10:17" ht="12.5">
      <c r="J470" s="424"/>
      <c r="Q470" s="424"/>
    </row>
    <row r="471" spans="10:17" ht="12.5">
      <c r="J471" s="424"/>
      <c r="Q471" s="424"/>
    </row>
    <row r="472" spans="10:17" ht="12.5">
      <c r="J472" s="424"/>
      <c r="Q472" s="424"/>
    </row>
    <row r="473" spans="10:17" ht="12.5">
      <c r="J473" s="424"/>
      <c r="Q473" s="424"/>
    </row>
    <row r="474" spans="10:17" ht="12.5">
      <c r="J474" s="424"/>
      <c r="Q474" s="424"/>
    </row>
    <row r="475" spans="10:17" ht="12.5">
      <c r="J475" s="424"/>
      <c r="Q475" s="424"/>
    </row>
    <row r="476" spans="10:17" ht="12.5">
      <c r="J476" s="424"/>
      <c r="Q476" s="424"/>
    </row>
    <row r="477" spans="10:17" ht="12.5">
      <c r="J477" s="424"/>
      <c r="Q477" s="424"/>
    </row>
    <row r="478" spans="10:17" ht="12.5">
      <c r="J478" s="424"/>
      <c r="Q478" s="424"/>
    </row>
    <row r="479" spans="10:17" ht="12.5">
      <c r="J479" s="424"/>
      <c r="Q479" s="424"/>
    </row>
    <row r="480" spans="10:17" ht="12.5">
      <c r="J480" s="424"/>
      <c r="Q480" s="424"/>
    </row>
    <row r="481" spans="10:17" ht="12.5">
      <c r="J481" s="424"/>
      <c r="Q481" s="424"/>
    </row>
    <row r="482" spans="10:17" ht="12.5">
      <c r="J482" s="424"/>
      <c r="Q482" s="424"/>
    </row>
    <row r="483" spans="10:17" ht="12.5">
      <c r="J483" s="424"/>
      <c r="Q483" s="424"/>
    </row>
    <row r="484" spans="10:17" ht="12.5">
      <c r="J484" s="424"/>
      <c r="Q484" s="424"/>
    </row>
    <row r="485" spans="10:17" ht="12.5">
      <c r="J485" s="424"/>
      <c r="Q485" s="424"/>
    </row>
    <row r="486" spans="10:17" ht="12.5">
      <c r="J486" s="424"/>
      <c r="Q486" s="424"/>
    </row>
    <row r="487" spans="10:17" ht="12.5">
      <c r="J487" s="424"/>
      <c r="Q487" s="424"/>
    </row>
    <row r="488" spans="10:17" ht="12.5">
      <c r="J488" s="424"/>
      <c r="Q488" s="424"/>
    </row>
    <row r="489" spans="10:17" ht="12.5">
      <c r="J489" s="424"/>
      <c r="Q489" s="424"/>
    </row>
    <row r="490" spans="10:17" ht="12.5">
      <c r="J490" s="424"/>
      <c r="Q490" s="424"/>
    </row>
    <row r="491" spans="10:17" ht="12.5">
      <c r="J491" s="424"/>
      <c r="Q491" s="424"/>
    </row>
    <row r="492" spans="10:17" ht="12.5">
      <c r="J492" s="424"/>
      <c r="Q492" s="424"/>
    </row>
    <row r="493" spans="10:17" ht="12.5">
      <c r="J493" s="424"/>
      <c r="Q493" s="424"/>
    </row>
    <row r="494" spans="10:17" ht="12.5">
      <c r="J494" s="424"/>
      <c r="Q494" s="424"/>
    </row>
    <row r="495" spans="10:17" ht="12.5">
      <c r="J495" s="424"/>
      <c r="Q495" s="424"/>
    </row>
    <row r="496" spans="10:17" ht="12.5">
      <c r="J496" s="424"/>
      <c r="Q496" s="424"/>
    </row>
    <row r="497" spans="10:17" ht="12.5">
      <c r="J497" s="424"/>
      <c r="Q497" s="424"/>
    </row>
    <row r="498" spans="10:17" ht="12.5">
      <c r="J498" s="424"/>
      <c r="Q498" s="424"/>
    </row>
    <row r="499" spans="10:17" ht="12.5">
      <c r="J499" s="424"/>
      <c r="Q499" s="424"/>
    </row>
    <row r="500" spans="10:17" ht="12.5">
      <c r="J500" s="424"/>
      <c r="Q500" s="424"/>
    </row>
    <row r="501" spans="10:17" ht="12.5">
      <c r="J501" s="424"/>
      <c r="Q501" s="424"/>
    </row>
    <row r="502" spans="10:17" ht="12.5">
      <c r="J502" s="424"/>
      <c r="Q502" s="424"/>
    </row>
    <row r="503" spans="10:17" ht="12.5">
      <c r="J503" s="424"/>
      <c r="Q503" s="424"/>
    </row>
    <row r="504" spans="10:17" ht="12.5">
      <c r="J504" s="424"/>
      <c r="Q504" s="424"/>
    </row>
    <row r="505" spans="10:17" ht="12.5">
      <c r="J505" s="424"/>
      <c r="Q505" s="424"/>
    </row>
    <row r="506" spans="10:17" ht="12.5">
      <c r="J506" s="424"/>
      <c r="Q506" s="424"/>
    </row>
    <row r="507" spans="10:17" ht="12.5">
      <c r="J507" s="424"/>
      <c r="Q507" s="424"/>
    </row>
    <row r="508" spans="10:17" ht="12.5">
      <c r="J508" s="424"/>
      <c r="Q508" s="424"/>
    </row>
    <row r="509" spans="10:17" ht="12.5">
      <c r="J509" s="424"/>
      <c r="Q509" s="424"/>
    </row>
    <row r="510" spans="10:17" ht="12.5">
      <c r="J510" s="424"/>
      <c r="Q510" s="424"/>
    </row>
    <row r="511" spans="10:17" ht="12.5">
      <c r="J511" s="424"/>
      <c r="Q511" s="424"/>
    </row>
    <row r="512" spans="10:17" ht="12.5">
      <c r="J512" s="424"/>
      <c r="Q512" s="424"/>
    </row>
    <row r="513" spans="10:17" ht="12.5">
      <c r="J513" s="424"/>
      <c r="Q513" s="424"/>
    </row>
    <row r="514" spans="10:17" ht="12.5">
      <c r="J514" s="424"/>
      <c r="Q514" s="424"/>
    </row>
    <row r="515" spans="10:17" ht="12.5">
      <c r="J515" s="424"/>
      <c r="Q515" s="424"/>
    </row>
    <row r="516" spans="10:17" ht="12.5">
      <c r="J516" s="424"/>
      <c r="Q516" s="424"/>
    </row>
    <row r="517" spans="10:17" ht="12.5">
      <c r="J517" s="424"/>
      <c r="Q517" s="424"/>
    </row>
    <row r="518" spans="10:17" ht="12.5">
      <c r="J518" s="424"/>
      <c r="Q518" s="424"/>
    </row>
    <row r="519" spans="10:17" ht="12.5">
      <c r="J519" s="424"/>
      <c r="Q519" s="424"/>
    </row>
    <row r="520" spans="10:17" ht="12.5">
      <c r="J520" s="424"/>
      <c r="Q520" s="424"/>
    </row>
    <row r="521" spans="10:17" ht="12.5">
      <c r="J521" s="424"/>
      <c r="Q521" s="424"/>
    </row>
    <row r="522" spans="10:17" ht="12.5">
      <c r="J522" s="424"/>
      <c r="Q522" s="424"/>
    </row>
    <row r="523" spans="10:17" ht="12.5">
      <c r="J523" s="424"/>
      <c r="Q523" s="424"/>
    </row>
    <row r="524" spans="10:17" ht="12.5">
      <c r="J524" s="424"/>
      <c r="Q524" s="424"/>
    </row>
    <row r="525" spans="10:17" ht="12.5">
      <c r="J525" s="424"/>
      <c r="Q525" s="424"/>
    </row>
    <row r="526" spans="10:17" ht="12.5">
      <c r="J526" s="424"/>
      <c r="Q526" s="424"/>
    </row>
    <row r="527" spans="10:17" ht="12.5">
      <c r="J527" s="424"/>
      <c r="Q527" s="424"/>
    </row>
    <row r="528" spans="10:17" ht="12.5">
      <c r="J528" s="424"/>
      <c r="Q528" s="424"/>
    </row>
    <row r="529" spans="10:17" ht="12.5">
      <c r="J529" s="424"/>
      <c r="Q529" s="424"/>
    </row>
    <row r="530" spans="10:17" ht="12.5">
      <c r="J530" s="424"/>
      <c r="Q530" s="424"/>
    </row>
    <row r="531" spans="10:17" ht="12.5">
      <c r="J531" s="424"/>
      <c r="Q531" s="424"/>
    </row>
    <row r="532" spans="10:17" ht="12.5">
      <c r="J532" s="424"/>
      <c r="Q532" s="424"/>
    </row>
    <row r="533" spans="10:17" ht="12.5">
      <c r="J533" s="424"/>
      <c r="Q533" s="424"/>
    </row>
    <row r="534" spans="10:17" ht="12.5">
      <c r="J534" s="424"/>
      <c r="Q534" s="424"/>
    </row>
    <row r="535" spans="10:17" ht="12.5">
      <c r="J535" s="424"/>
      <c r="Q535" s="424"/>
    </row>
    <row r="536" spans="10:17" ht="12.5">
      <c r="J536" s="424"/>
      <c r="Q536" s="424"/>
    </row>
    <row r="537" spans="10:17" ht="12.5">
      <c r="J537" s="424"/>
      <c r="Q537" s="424"/>
    </row>
    <row r="538" spans="10:17" ht="12.5">
      <c r="J538" s="424"/>
      <c r="Q538" s="424"/>
    </row>
    <row r="539" spans="10:17" ht="12.5">
      <c r="J539" s="424"/>
      <c r="Q539" s="424"/>
    </row>
    <row r="540" spans="10:17" ht="12.5">
      <c r="J540" s="424"/>
      <c r="Q540" s="424"/>
    </row>
    <row r="541" spans="10:17" ht="12.5">
      <c r="J541" s="424"/>
      <c r="Q541" s="424"/>
    </row>
    <row r="542" spans="10:17" ht="12.5">
      <c r="J542" s="424"/>
      <c r="Q542" s="424"/>
    </row>
    <row r="543" spans="10:17" ht="12.5">
      <c r="J543" s="424"/>
      <c r="Q543" s="424"/>
    </row>
    <row r="544" spans="10:17" ht="12.5">
      <c r="J544" s="424"/>
      <c r="Q544" s="424"/>
    </row>
    <row r="545" spans="10:17" ht="12.5">
      <c r="J545" s="424"/>
      <c r="Q545" s="424"/>
    </row>
    <row r="546" spans="10:17" ht="12.5">
      <c r="J546" s="424"/>
      <c r="Q546" s="424"/>
    </row>
    <row r="547" spans="10:17" ht="12.5">
      <c r="J547" s="424"/>
      <c r="Q547" s="424"/>
    </row>
    <row r="548" spans="10:17" ht="12.5">
      <c r="J548" s="424"/>
      <c r="Q548" s="424"/>
    </row>
    <row r="549" spans="10:17" ht="12.5">
      <c r="J549" s="424"/>
      <c r="Q549" s="424"/>
    </row>
    <row r="550" spans="10:17" ht="12.5">
      <c r="J550" s="424"/>
      <c r="Q550" s="424"/>
    </row>
    <row r="551" spans="10:17" ht="12.5">
      <c r="J551" s="424"/>
      <c r="Q551" s="424"/>
    </row>
    <row r="552" spans="10:17" ht="12.5">
      <c r="J552" s="424"/>
      <c r="Q552" s="424"/>
    </row>
    <row r="553" spans="10:17" ht="12.5">
      <c r="J553" s="424"/>
      <c r="Q553" s="424"/>
    </row>
    <row r="554" spans="10:17" ht="12.5">
      <c r="J554" s="424"/>
      <c r="Q554" s="424"/>
    </row>
    <row r="555" spans="10:17" ht="12.5">
      <c r="J555" s="424"/>
      <c r="Q555" s="424"/>
    </row>
    <row r="556" spans="10:17" ht="12.5">
      <c r="J556" s="424"/>
      <c r="Q556" s="424"/>
    </row>
    <row r="557" spans="10:17" ht="12.5">
      <c r="J557" s="424"/>
      <c r="Q557" s="424"/>
    </row>
    <row r="558" spans="10:17" ht="12.5">
      <c r="J558" s="424"/>
      <c r="Q558" s="424"/>
    </row>
    <row r="559" spans="10:17" ht="12.5">
      <c r="J559" s="424"/>
      <c r="Q559" s="424"/>
    </row>
    <row r="560" spans="10:17" ht="12.5">
      <c r="J560" s="424"/>
      <c r="Q560" s="424"/>
    </row>
    <row r="561" spans="10:17" ht="12.5">
      <c r="J561" s="424"/>
      <c r="Q561" s="424"/>
    </row>
    <row r="562" spans="10:17" ht="12.5">
      <c r="J562" s="424"/>
      <c r="Q562" s="424"/>
    </row>
    <row r="563" spans="10:17" ht="12.5">
      <c r="J563" s="424"/>
      <c r="Q563" s="424"/>
    </row>
    <row r="564" spans="10:17" ht="12.5">
      <c r="J564" s="424"/>
      <c r="Q564" s="424"/>
    </row>
    <row r="565" spans="10:17" ht="12.5">
      <c r="J565" s="424"/>
      <c r="Q565" s="424"/>
    </row>
    <row r="566" spans="10:17" ht="12.5">
      <c r="J566" s="424"/>
      <c r="Q566" s="424"/>
    </row>
    <row r="567" spans="10:17" ht="12.5">
      <c r="J567" s="424"/>
      <c r="Q567" s="424"/>
    </row>
    <row r="568" spans="10:17" ht="12.5">
      <c r="J568" s="424"/>
      <c r="Q568" s="424"/>
    </row>
    <row r="569" spans="10:17" ht="12.5">
      <c r="J569" s="424"/>
      <c r="Q569" s="424"/>
    </row>
    <row r="570" spans="10:17" ht="12.5">
      <c r="J570" s="424"/>
      <c r="Q570" s="424"/>
    </row>
    <row r="571" spans="10:17" ht="12.5">
      <c r="J571" s="424"/>
      <c r="Q571" s="424"/>
    </row>
    <row r="572" spans="10:17" ht="12.5">
      <c r="J572" s="424"/>
      <c r="Q572" s="424"/>
    </row>
    <row r="573" spans="10:17" ht="12.5">
      <c r="J573" s="424"/>
      <c r="Q573" s="424"/>
    </row>
    <row r="574" spans="10:17" ht="12.5">
      <c r="J574" s="424"/>
      <c r="Q574" s="424"/>
    </row>
    <row r="575" spans="10:17" ht="12.5">
      <c r="J575" s="424"/>
      <c r="Q575" s="424"/>
    </row>
    <row r="576" spans="10:17" ht="12.5">
      <c r="J576" s="424"/>
      <c r="Q576" s="424"/>
    </row>
    <row r="577" spans="10:17" ht="12.5">
      <c r="J577" s="424"/>
      <c r="Q577" s="424"/>
    </row>
    <row r="578" spans="10:17" ht="12.5">
      <c r="J578" s="424"/>
      <c r="Q578" s="424"/>
    </row>
    <row r="579" spans="10:17" ht="12.5">
      <c r="J579" s="424"/>
      <c r="Q579" s="424"/>
    </row>
    <row r="580" spans="10:17" ht="12.5">
      <c r="J580" s="424"/>
      <c r="Q580" s="424"/>
    </row>
    <row r="581" spans="10:17" ht="12.5">
      <c r="J581" s="424"/>
      <c r="Q581" s="424"/>
    </row>
    <row r="582" spans="10:17" ht="12.5">
      <c r="J582" s="424"/>
      <c r="Q582" s="424"/>
    </row>
    <row r="583" spans="10:17" ht="12.5">
      <c r="J583" s="424"/>
      <c r="Q583" s="424"/>
    </row>
    <row r="584" spans="10:17" ht="12.5">
      <c r="J584" s="424"/>
      <c r="Q584" s="424"/>
    </row>
    <row r="585" spans="10:17" ht="12.5">
      <c r="J585" s="424"/>
      <c r="Q585" s="424"/>
    </row>
    <row r="586" spans="10:17" ht="12.5">
      <c r="J586" s="424"/>
      <c r="Q586" s="424"/>
    </row>
    <row r="587" spans="10:17" ht="12.5">
      <c r="J587" s="424"/>
      <c r="Q587" s="424"/>
    </row>
    <row r="588" spans="10:17" ht="12.5">
      <c r="J588" s="424"/>
      <c r="Q588" s="424"/>
    </row>
    <row r="589" spans="10:17" ht="12.5">
      <c r="J589" s="424"/>
      <c r="Q589" s="424"/>
    </row>
    <row r="590" spans="10:17" ht="12.5">
      <c r="J590" s="424"/>
      <c r="Q590" s="424"/>
    </row>
    <row r="591" spans="10:17" ht="12.5">
      <c r="J591" s="424"/>
      <c r="Q591" s="424"/>
    </row>
    <row r="592" spans="10:17" ht="12.5">
      <c r="J592" s="424"/>
      <c r="Q592" s="424"/>
    </row>
    <row r="593" spans="10:17" ht="12.5">
      <c r="J593" s="424"/>
      <c r="Q593" s="424"/>
    </row>
    <row r="594" spans="10:17" ht="12.5">
      <c r="J594" s="424"/>
      <c r="Q594" s="424"/>
    </row>
    <row r="595" spans="10:17" ht="12.5">
      <c r="J595" s="424"/>
      <c r="Q595" s="424"/>
    </row>
    <row r="596" spans="10:17" ht="12.5">
      <c r="J596" s="424"/>
      <c r="Q596" s="424"/>
    </row>
    <row r="597" spans="10:17" ht="12.5">
      <c r="J597" s="424"/>
      <c r="Q597" s="424"/>
    </row>
    <row r="598" spans="10:17" ht="12.5">
      <c r="J598" s="424"/>
      <c r="Q598" s="424"/>
    </row>
    <row r="599" spans="10:17" ht="12.5">
      <c r="J599" s="424"/>
      <c r="Q599" s="424"/>
    </row>
    <row r="600" spans="10:17" ht="12.5">
      <c r="J600" s="424"/>
      <c r="Q600" s="424"/>
    </row>
    <row r="601" spans="10:17" ht="12.5">
      <c r="J601" s="424"/>
      <c r="Q601" s="424"/>
    </row>
    <row r="602" spans="10:17" ht="12.5">
      <c r="J602" s="424"/>
      <c r="Q602" s="424"/>
    </row>
    <row r="603" spans="10:17" ht="12.5">
      <c r="J603" s="424"/>
      <c r="Q603" s="424"/>
    </row>
    <row r="604" spans="10:17" ht="12.5">
      <c r="J604" s="424"/>
      <c r="Q604" s="424"/>
    </row>
    <row r="605" spans="10:17" ht="12.5">
      <c r="J605" s="424"/>
      <c r="Q605" s="424"/>
    </row>
    <row r="606" spans="10:17" ht="12.5">
      <c r="J606" s="424"/>
      <c r="Q606" s="424"/>
    </row>
    <row r="607" spans="10:17" ht="12.5">
      <c r="J607" s="424"/>
      <c r="Q607" s="424"/>
    </row>
    <row r="608" spans="10:17" ht="12.5">
      <c r="J608" s="424"/>
      <c r="Q608" s="424"/>
    </row>
    <row r="609" spans="10:17" ht="12.5">
      <c r="J609" s="424"/>
      <c r="Q609" s="424"/>
    </row>
    <row r="610" spans="10:17" ht="12.5">
      <c r="J610" s="424"/>
      <c r="Q610" s="424"/>
    </row>
    <row r="611" spans="10:17" ht="12.5">
      <c r="J611" s="424"/>
      <c r="Q611" s="424"/>
    </row>
    <row r="612" spans="10:17" ht="12.5">
      <c r="J612" s="424"/>
      <c r="Q612" s="424"/>
    </row>
    <row r="613" spans="10:17" ht="12.5">
      <c r="J613" s="424"/>
      <c r="Q613" s="424"/>
    </row>
    <row r="614" spans="10:17" ht="12.5">
      <c r="J614" s="424"/>
      <c r="Q614" s="424"/>
    </row>
    <row r="615" spans="10:17" ht="12.5">
      <c r="J615" s="424"/>
      <c r="Q615" s="424"/>
    </row>
    <row r="616" spans="10:17" ht="12.5">
      <c r="J616" s="424"/>
      <c r="Q616" s="424"/>
    </row>
    <row r="617" spans="10:17" ht="12.5">
      <c r="J617" s="424"/>
      <c r="Q617" s="424"/>
    </row>
    <row r="618" spans="10:17" ht="12.5">
      <c r="J618" s="424"/>
      <c r="Q618" s="424"/>
    </row>
    <row r="619" spans="10:17" ht="12.5">
      <c r="J619" s="424"/>
      <c r="Q619" s="424"/>
    </row>
    <row r="620" spans="10:17" ht="12.5">
      <c r="J620" s="424"/>
      <c r="Q620" s="424"/>
    </row>
    <row r="621" spans="10:17" ht="12.5">
      <c r="J621" s="424"/>
      <c r="Q621" s="424"/>
    </row>
    <row r="622" spans="10:17" ht="12.5">
      <c r="J622" s="424"/>
      <c r="Q622" s="424"/>
    </row>
    <row r="623" spans="10:17" ht="12.5">
      <c r="J623" s="424"/>
      <c r="Q623" s="424"/>
    </row>
    <row r="624" spans="10:17" ht="12.5">
      <c r="J624" s="424"/>
      <c r="Q624" s="424"/>
    </row>
    <row r="625" spans="10:17" ht="12.5">
      <c r="J625" s="424"/>
      <c r="Q625" s="424"/>
    </row>
    <row r="626" spans="10:17" ht="12.5">
      <c r="J626" s="424"/>
      <c r="Q626" s="424"/>
    </row>
    <row r="627" spans="10:17" ht="12.5">
      <c r="J627" s="424"/>
      <c r="Q627" s="424"/>
    </row>
    <row r="628" spans="10:17" ht="12.5">
      <c r="J628" s="424"/>
      <c r="Q628" s="424"/>
    </row>
    <row r="629" spans="10:17" ht="12.5">
      <c r="J629" s="424"/>
      <c r="Q629" s="424"/>
    </row>
    <row r="630" spans="10:17" ht="12.5">
      <c r="J630" s="424"/>
      <c r="Q630" s="424"/>
    </row>
    <row r="631" spans="10:17" ht="12.5">
      <c r="J631" s="424"/>
      <c r="Q631" s="424"/>
    </row>
    <row r="632" spans="10:17" ht="12.5">
      <c r="J632" s="424"/>
      <c r="Q632" s="424"/>
    </row>
    <row r="633" spans="10:17" ht="12.5">
      <c r="J633" s="424"/>
      <c r="Q633" s="424"/>
    </row>
    <row r="634" spans="10:17" ht="12.5">
      <c r="J634" s="424"/>
      <c r="Q634" s="424"/>
    </row>
    <row r="635" spans="10:17" ht="12.5">
      <c r="J635" s="424"/>
      <c r="Q635" s="424"/>
    </row>
    <row r="636" spans="10:17" ht="12.5">
      <c r="J636" s="424"/>
      <c r="Q636" s="424"/>
    </row>
    <row r="637" spans="10:17" ht="12.5">
      <c r="J637" s="424"/>
      <c r="Q637" s="424"/>
    </row>
    <row r="638" spans="10:17" ht="12.5">
      <c r="J638" s="424"/>
      <c r="Q638" s="424"/>
    </row>
    <row r="639" spans="10:17" ht="12.5">
      <c r="J639" s="424"/>
      <c r="Q639" s="424"/>
    </row>
    <row r="640" spans="10:17" ht="12.5">
      <c r="J640" s="424"/>
      <c r="Q640" s="424"/>
    </row>
    <row r="641" spans="10:17" ht="12.5">
      <c r="J641" s="424"/>
      <c r="Q641" s="424"/>
    </row>
    <row r="642" spans="10:17" ht="12.5">
      <c r="J642" s="424"/>
      <c r="Q642" s="424"/>
    </row>
    <row r="643" spans="10:17" ht="12.5">
      <c r="J643" s="424"/>
      <c r="Q643" s="424"/>
    </row>
    <row r="644" spans="10:17" ht="12.5">
      <c r="J644" s="424"/>
      <c r="Q644" s="424"/>
    </row>
    <row r="645" spans="10:17" ht="12.5">
      <c r="J645" s="424"/>
      <c r="Q645" s="424"/>
    </row>
    <row r="646" spans="10:17" ht="12.5">
      <c r="J646" s="424"/>
      <c r="Q646" s="424"/>
    </row>
    <row r="647" spans="10:17" ht="12.5">
      <c r="J647" s="424"/>
      <c r="Q647" s="424"/>
    </row>
    <row r="648" spans="10:17" ht="12.5">
      <c r="J648" s="424"/>
      <c r="Q648" s="424"/>
    </row>
    <row r="649" spans="10:17" ht="12.5">
      <c r="J649" s="424"/>
      <c r="Q649" s="424"/>
    </row>
    <row r="650" spans="10:17" ht="12.5">
      <c r="J650" s="424"/>
      <c r="Q650" s="424"/>
    </row>
    <row r="651" spans="10:17" ht="12.5">
      <c r="J651" s="424"/>
      <c r="Q651" s="424"/>
    </row>
    <row r="652" spans="10:17" ht="12.5">
      <c r="J652" s="424"/>
      <c r="Q652" s="424"/>
    </row>
    <row r="653" spans="10:17" ht="12.5">
      <c r="J653" s="424"/>
      <c r="Q653" s="424"/>
    </row>
    <row r="654" spans="10:17" ht="12.5">
      <c r="J654" s="424"/>
      <c r="Q654" s="424"/>
    </row>
    <row r="655" spans="10:17" ht="12.5">
      <c r="J655" s="424"/>
      <c r="Q655" s="424"/>
    </row>
    <row r="656" spans="10:17" ht="12.5">
      <c r="J656" s="424"/>
      <c r="Q656" s="424"/>
    </row>
    <row r="657" spans="10:17" ht="12.5">
      <c r="J657" s="424"/>
      <c r="Q657" s="424"/>
    </row>
    <row r="658" spans="10:17" ht="12.5">
      <c r="J658" s="424"/>
      <c r="Q658" s="424"/>
    </row>
    <row r="659" spans="10:17" ht="12.5">
      <c r="J659" s="424"/>
      <c r="Q659" s="424"/>
    </row>
    <row r="660" spans="10:17" ht="12.5">
      <c r="J660" s="424"/>
      <c r="Q660" s="424"/>
    </row>
    <row r="661" spans="10:17" ht="12.5">
      <c r="J661" s="424"/>
      <c r="Q661" s="424"/>
    </row>
    <row r="662" spans="10:17" ht="12.5">
      <c r="J662" s="424"/>
      <c r="Q662" s="424"/>
    </row>
    <row r="663" spans="10:17" ht="12.5">
      <c r="J663" s="424"/>
      <c r="Q663" s="424"/>
    </row>
    <row r="664" spans="10:17" ht="12.5">
      <c r="J664" s="424"/>
      <c r="Q664" s="424"/>
    </row>
    <row r="665" spans="10:17" ht="12.5">
      <c r="J665" s="424"/>
      <c r="Q665" s="424"/>
    </row>
    <row r="666" spans="10:17" ht="12.5">
      <c r="J666" s="424"/>
      <c r="Q666" s="424"/>
    </row>
    <row r="667" spans="10:17" ht="12.5">
      <c r="J667" s="424"/>
      <c r="Q667" s="424"/>
    </row>
    <row r="668" spans="10:17" ht="12.5">
      <c r="J668" s="424"/>
      <c r="Q668" s="424"/>
    </row>
    <row r="669" spans="10:17" ht="12.5">
      <c r="J669" s="424"/>
      <c r="Q669" s="424"/>
    </row>
    <row r="670" spans="10:17" ht="12.5">
      <c r="J670" s="424"/>
      <c r="Q670" s="424"/>
    </row>
    <row r="671" spans="10:17" ht="12.5">
      <c r="J671" s="424"/>
      <c r="Q671" s="424"/>
    </row>
    <row r="672" spans="10:17" ht="12.5">
      <c r="J672" s="424"/>
      <c r="Q672" s="424"/>
    </row>
    <row r="673" spans="10:17" ht="12.5">
      <c r="J673" s="424"/>
      <c r="Q673" s="424"/>
    </row>
    <row r="674" spans="10:17" ht="12.5">
      <c r="J674" s="424"/>
      <c r="Q674" s="424"/>
    </row>
    <row r="675" spans="10:17" ht="12.5">
      <c r="J675" s="424"/>
      <c r="Q675" s="424"/>
    </row>
    <row r="676" spans="10:17" ht="12.5">
      <c r="J676" s="424"/>
      <c r="Q676" s="424"/>
    </row>
    <row r="677" spans="10:17" ht="12.5">
      <c r="J677" s="424"/>
      <c r="Q677" s="424"/>
    </row>
    <row r="678" spans="10:17" ht="12.5">
      <c r="J678" s="424"/>
      <c r="Q678" s="424"/>
    </row>
    <row r="679" spans="10:17" ht="12.5">
      <c r="J679" s="424"/>
      <c r="Q679" s="424"/>
    </row>
    <row r="680" spans="10:17" ht="12.5">
      <c r="J680" s="424"/>
      <c r="Q680" s="424"/>
    </row>
    <row r="681" spans="10:17" ht="12.5">
      <c r="J681" s="424"/>
      <c r="Q681" s="424"/>
    </row>
    <row r="682" spans="10:17" ht="12.5">
      <c r="J682" s="424"/>
      <c r="Q682" s="424"/>
    </row>
    <row r="683" spans="10:17" ht="12.5">
      <c r="J683" s="424"/>
      <c r="Q683" s="424"/>
    </row>
    <row r="684" spans="10:17" ht="12.5">
      <c r="J684" s="424"/>
      <c r="Q684" s="424"/>
    </row>
    <row r="685" spans="10:17" ht="12.5">
      <c r="J685" s="424"/>
      <c r="Q685" s="424"/>
    </row>
    <row r="686" spans="10:17" ht="12.5">
      <c r="J686" s="424"/>
      <c r="Q686" s="424"/>
    </row>
    <row r="687" spans="10:17" ht="12.5">
      <c r="J687" s="424"/>
      <c r="Q687" s="424"/>
    </row>
    <row r="688" spans="10:17" ht="12.5">
      <c r="J688" s="424"/>
      <c r="Q688" s="424"/>
    </row>
    <row r="689" spans="10:17" ht="12.5">
      <c r="J689" s="424"/>
      <c r="Q689" s="424"/>
    </row>
    <row r="690" spans="10:17" ht="12.5">
      <c r="J690" s="424"/>
      <c r="Q690" s="424"/>
    </row>
    <row r="691" spans="10:17" ht="12.5">
      <c r="J691" s="424"/>
      <c r="Q691" s="424"/>
    </row>
    <row r="692" spans="10:17" ht="12.5">
      <c r="J692" s="424"/>
      <c r="Q692" s="424"/>
    </row>
    <row r="693" spans="10:17" ht="12.5">
      <c r="J693" s="424"/>
      <c r="Q693" s="424"/>
    </row>
    <row r="694" spans="10:17" ht="12.5">
      <c r="J694" s="424"/>
      <c r="Q694" s="424"/>
    </row>
    <row r="695" spans="10:17" ht="12.5">
      <c r="J695" s="424"/>
      <c r="Q695" s="424"/>
    </row>
    <row r="696" spans="10:17" ht="12.5">
      <c r="J696" s="424"/>
      <c r="Q696" s="424"/>
    </row>
    <row r="697" spans="10:17" ht="12.5">
      <c r="J697" s="424"/>
      <c r="Q697" s="424"/>
    </row>
    <row r="698" spans="10:17" ht="12.5">
      <c r="J698" s="424"/>
      <c r="Q698" s="424"/>
    </row>
    <row r="699" spans="10:17" ht="12.5">
      <c r="J699" s="424"/>
      <c r="Q699" s="424"/>
    </row>
    <row r="700" spans="10:17" ht="12.5">
      <c r="J700" s="424"/>
      <c r="Q700" s="424"/>
    </row>
    <row r="701" spans="10:17" ht="12.5">
      <c r="J701" s="424"/>
      <c r="Q701" s="424"/>
    </row>
    <row r="702" spans="10:17" ht="12.5">
      <c r="J702" s="424"/>
      <c r="Q702" s="424"/>
    </row>
    <row r="703" spans="10:17" ht="12.5">
      <c r="J703" s="424"/>
      <c r="Q703" s="424"/>
    </row>
    <row r="704" spans="10:17" ht="12.5">
      <c r="J704" s="424"/>
      <c r="Q704" s="424"/>
    </row>
    <row r="705" spans="10:17" ht="12.5">
      <c r="J705" s="424"/>
      <c r="Q705" s="424"/>
    </row>
    <row r="706" spans="10:17" ht="12.5">
      <c r="J706" s="424"/>
      <c r="Q706" s="424"/>
    </row>
    <row r="707" spans="10:17" ht="12.5">
      <c r="J707" s="424"/>
      <c r="Q707" s="424"/>
    </row>
    <row r="708" spans="10:17" ht="12.5">
      <c r="J708" s="424"/>
      <c r="Q708" s="424"/>
    </row>
    <row r="709" spans="10:17" ht="12.5">
      <c r="J709" s="424"/>
      <c r="Q709" s="424"/>
    </row>
    <row r="710" spans="10:17" ht="12.5">
      <c r="J710" s="424"/>
      <c r="Q710" s="424"/>
    </row>
    <row r="711" spans="10:17" ht="12.5">
      <c r="J711" s="424"/>
      <c r="Q711" s="424"/>
    </row>
    <row r="712" spans="10:17" ht="12.5">
      <c r="J712" s="424"/>
      <c r="Q712" s="424"/>
    </row>
    <row r="713" spans="10:17" ht="12.5">
      <c r="J713" s="424"/>
      <c r="Q713" s="424"/>
    </row>
    <row r="714" spans="10:17" ht="12.5">
      <c r="J714" s="424"/>
      <c r="Q714" s="424"/>
    </row>
    <row r="715" spans="10:17" ht="12.5">
      <c r="J715" s="424"/>
      <c r="Q715" s="424"/>
    </row>
    <row r="716" spans="10:17" ht="12.5">
      <c r="J716" s="424"/>
      <c r="Q716" s="424"/>
    </row>
    <row r="717" spans="10:17" ht="12.5">
      <c r="J717" s="424"/>
      <c r="Q717" s="424"/>
    </row>
    <row r="718" spans="10:17" ht="12.5">
      <c r="J718" s="424"/>
      <c r="Q718" s="424"/>
    </row>
    <row r="719" spans="10:17" ht="12.5">
      <c r="J719" s="424"/>
      <c r="Q719" s="424"/>
    </row>
    <row r="720" spans="10:17" ht="12.5">
      <c r="J720" s="424"/>
      <c r="Q720" s="424"/>
    </row>
    <row r="721" spans="10:17" ht="12.5">
      <c r="J721" s="424"/>
      <c r="Q721" s="424"/>
    </row>
    <row r="722" spans="10:17" ht="12.5">
      <c r="J722" s="424"/>
      <c r="Q722" s="424"/>
    </row>
    <row r="723" spans="10:17" ht="12.5">
      <c r="J723" s="424"/>
      <c r="Q723" s="424"/>
    </row>
    <row r="724" spans="10:17" ht="12.5">
      <c r="J724" s="424"/>
      <c r="Q724" s="424"/>
    </row>
    <row r="725" spans="10:17" ht="12.5">
      <c r="J725" s="424"/>
      <c r="Q725" s="424"/>
    </row>
    <row r="726" spans="10:17" ht="12.5">
      <c r="J726" s="424"/>
      <c r="Q726" s="424"/>
    </row>
    <row r="727" spans="10:17" ht="12.5">
      <c r="J727" s="424"/>
      <c r="Q727" s="424"/>
    </row>
    <row r="728" spans="10:17" ht="12.5">
      <c r="J728" s="424"/>
      <c r="Q728" s="424"/>
    </row>
    <row r="729" spans="10:17" ht="12.5">
      <c r="J729" s="424"/>
      <c r="Q729" s="424"/>
    </row>
    <row r="730" spans="10:17" ht="12.5">
      <c r="J730" s="424"/>
      <c r="Q730" s="424"/>
    </row>
    <row r="731" spans="10:17" ht="12.5">
      <c r="J731" s="424"/>
      <c r="Q731" s="424"/>
    </row>
    <row r="732" spans="10:17" ht="12.5">
      <c r="J732" s="424"/>
      <c r="Q732" s="424"/>
    </row>
    <row r="733" spans="10:17" ht="12.5">
      <c r="J733" s="424"/>
      <c r="Q733" s="424"/>
    </row>
    <row r="734" spans="10:17" ht="12.5">
      <c r="J734" s="424"/>
      <c r="Q734" s="424"/>
    </row>
    <row r="735" spans="10:17" ht="12.5">
      <c r="J735" s="424"/>
      <c r="Q735" s="424"/>
    </row>
    <row r="736" spans="10:17" ht="12.5">
      <c r="J736" s="424"/>
      <c r="Q736" s="424"/>
    </row>
    <row r="737" spans="10:17" ht="12.5">
      <c r="J737" s="424"/>
      <c r="Q737" s="424"/>
    </row>
    <row r="738" spans="10:17" ht="12.5">
      <c r="J738" s="424"/>
      <c r="Q738" s="424"/>
    </row>
    <row r="739" spans="10:17" ht="12.5">
      <c r="J739" s="424"/>
      <c r="Q739" s="424"/>
    </row>
    <row r="740" spans="10:17" ht="12.5">
      <c r="J740" s="424"/>
      <c r="Q740" s="424"/>
    </row>
    <row r="741" spans="10:17" ht="12.5">
      <c r="J741" s="424"/>
      <c r="Q741" s="424"/>
    </row>
    <row r="742" spans="10:17" ht="12.5">
      <c r="J742" s="424"/>
      <c r="Q742" s="424"/>
    </row>
    <row r="743" spans="10:17" ht="12.5">
      <c r="J743" s="424"/>
      <c r="Q743" s="424"/>
    </row>
    <row r="744" spans="10:17" ht="12.5">
      <c r="J744" s="424"/>
      <c r="Q744" s="424"/>
    </row>
    <row r="745" spans="10:17" ht="12.5">
      <c r="J745" s="424"/>
      <c r="Q745" s="424"/>
    </row>
    <row r="746" spans="10:17" ht="12.5">
      <c r="J746" s="424"/>
      <c r="Q746" s="424"/>
    </row>
    <row r="747" spans="10:17" ht="12.5">
      <c r="J747" s="424"/>
      <c r="Q747" s="424"/>
    </row>
    <row r="748" spans="10:17" ht="12.5">
      <c r="J748" s="424"/>
      <c r="Q748" s="424"/>
    </row>
    <row r="749" spans="10:17" ht="12.5">
      <c r="J749" s="424"/>
      <c r="Q749" s="424"/>
    </row>
    <row r="750" spans="10:17" ht="12.5">
      <c r="J750" s="424"/>
      <c r="Q750" s="424"/>
    </row>
    <row r="751" spans="10:17" ht="12.5">
      <c r="J751" s="424"/>
      <c r="Q751" s="424"/>
    </row>
    <row r="752" spans="10:17" ht="12.5">
      <c r="J752" s="424"/>
      <c r="Q752" s="424"/>
    </row>
    <row r="753" spans="10:17" ht="12.5">
      <c r="J753" s="424"/>
      <c r="Q753" s="424"/>
    </row>
    <row r="754" spans="10:17" ht="12.5">
      <c r="J754" s="424"/>
      <c r="Q754" s="424"/>
    </row>
    <row r="755" spans="10:17" ht="12.5">
      <c r="J755" s="424"/>
      <c r="Q755" s="424"/>
    </row>
    <row r="756" spans="10:17" ht="12.5">
      <c r="J756" s="424"/>
      <c r="Q756" s="424"/>
    </row>
    <row r="757" spans="10:17" ht="12.5">
      <c r="J757" s="424"/>
      <c r="Q757" s="424"/>
    </row>
    <row r="758" spans="10:17" ht="12.5">
      <c r="J758" s="424"/>
      <c r="Q758" s="424"/>
    </row>
    <row r="759" spans="10:17" ht="12.5">
      <c r="J759" s="424"/>
      <c r="Q759" s="424"/>
    </row>
    <row r="760" spans="10:17" ht="12.5">
      <c r="J760" s="424"/>
      <c r="Q760" s="424"/>
    </row>
    <row r="761" spans="10:17" ht="12.5">
      <c r="J761" s="424"/>
      <c r="Q761" s="424"/>
    </row>
    <row r="762" spans="10:17" ht="12.5">
      <c r="J762" s="424"/>
      <c r="Q762" s="424"/>
    </row>
    <row r="763" spans="10:17" ht="12.5">
      <c r="J763" s="424"/>
      <c r="Q763" s="424"/>
    </row>
    <row r="764" spans="10:17" ht="12.5">
      <c r="J764" s="424"/>
      <c r="Q764" s="424"/>
    </row>
    <row r="765" spans="10:17" ht="12.5">
      <c r="J765" s="424"/>
      <c r="Q765" s="424"/>
    </row>
    <row r="766" spans="10:17" ht="12.5">
      <c r="J766" s="424"/>
      <c r="Q766" s="424"/>
    </row>
    <row r="767" spans="10:17" ht="12.5">
      <c r="J767" s="424"/>
      <c r="Q767" s="424"/>
    </row>
    <row r="768" spans="10:17" ht="12.5">
      <c r="J768" s="424"/>
      <c r="Q768" s="424"/>
    </row>
    <row r="769" spans="10:17" ht="12.5">
      <c r="J769" s="424"/>
      <c r="Q769" s="424"/>
    </row>
    <row r="770" spans="10:17" ht="12.5">
      <c r="J770" s="424"/>
      <c r="Q770" s="424"/>
    </row>
    <row r="771" spans="10:17" ht="12.5">
      <c r="J771" s="424"/>
      <c r="Q771" s="424"/>
    </row>
    <row r="772" spans="10:17" ht="12.5">
      <c r="J772" s="424"/>
      <c r="Q772" s="424"/>
    </row>
    <row r="773" spans="10:17" ht="12.5">
      <c r="J773" s="424"/>
      <c r="Q773" s="424"/>
    </row>
    <row r="774" spans="10:17" ht="12.5">
      <c r="J774" s="424"/>
      <c r="Q774" s="424"/>
    </row>
    <row r="775" spans="10:17" ht="12.5">
      <c r="J775" s="424"/>
      <c r="Q775" s="424"/>
    </row>
    <row r="776" spans="10:17" ht="12.5">
      <c r="J776" s="424"/>
      <c r="Q776" s="424"/>
    </row>
    <row r="777" spans="10:17" ht="12.5">
      <c r="J777" s="424"/>
      <c r="Q777" s="424"/>
    </row>
    <row r="778" spans="10:17" ht="12.5">
      <c r="J778" s="424"/>
      <c r="Q778" s="424"/>
    </row>
    <row r="779" spans="10:17" ht="12.5">
      <c r="J779" s="424"/>
      <c r="Q779" s="424"/>
    </row>
    <row r="780" spans="10:17" ht="12.5">
      <c r="J780" s="424"/>
      <c r="Q780" s="424"/>
    </row>
    <row r="781" spans="10:17" ht="12.5">
      <c r="J781" s="424"/>
      <c r="Q781" s="424"/>
    </row>
    <row r="782" spans="10:17" ht="12.5">
      <c r="J782" s="424"/>
      <c r="Q782" s="424"/>
    </row>
    <row r="783" spans="10:17" ht="12.5">
      <c r="J783" s="424"/>
      <c r="Q783" s="424"/>
    </row>
    <row r="784" spans="10:17" ht="12.5">
      <c r="J784" s="424"/>
      <c r="Q784" s="424"/>
    </row>
    <row r="785" spans="10:17" ht="12.5">
      <c r="J785" s="424"/>
      <c r="Q785" s="424"/>
    </row>
    <row r="786" spans="10:17" ht="12.5">
      <c r="J786" s="424"/>
      <c r="Q786" s="424"/>
    </row>
    <row r="787" spans="10:17" ht="12.5">
      <c r="J787" s="424"/>
      <c r="Q787" s="424"/>
    </row>
    <row r="788" spans="10:17" ht="12.5">
      <c r="J788" s="424"/>
      <c r="Q788" s="424"/>
    </row>
    <row r="789" spans="10:17" ht="12.5">
      <c r="J789" s="424"/>
      <c r="Q789" s="424"/>
    </row>
    <row r="790" spans="10:17" ht="12.5">
      <c r="J790" s="424"/>
      <c r="Q790" s="424"/>
    </row>
    <row r="791" spans="10:17" ht="12.5">
      <c r="J791" s="424"/>
      <c r="Q791" s="424"/>
    </row>
    <row r="792" spans="10:17" ht="12.5">
      <c r="J792" s="424"/>
      <c r="Q792" s="424"/>
    </row>
    <row r="793" spans="10:17" ht="12.5">
      <c r="J793" s="424"/>
      <c r="Q793" s="424"/>
    </row>
    <row r="794" spans="10:17" ht="12.5">
      <c r="J794" s="424"/>
      <c r="Q794" s="424"/>
    </row>
    <row r="795" spans="10:17" ht="12.5">
      <c r="J795" s="424"/>
      <c r="Q795" s="424"/>
    </row>
    <row r="796" spans="10:17" ht="12.5">
      <c r="J796" s="424"/>
      <c r="Q796" s="424"/>
    </row>
    <row r="797" spans="10:17" ht="12.5">
      <c r="J797" s="424"/>
      <c r="Q797" s="424"/>
    </row>
    <row r="798" spans="10:17" ht="12.5">
      <c r="J798" s="424"/>
      <c r="Q798" s="424"/>
    </row>
    <row r="799" spans="10:17" ht="12.5">
      <c r="J799" s="424"/>
      <c r="Q799" s="424"/>
    </row>
    <row r="800" spans="10:17" ht="12.5">
      <c r="J800" s="424"/>
      <c r="Q800" s="424"/>
    </row>
    <row r="801" spans="10:17" ht="12.5">
      <c r="J801" s="424"/>
      <c r="Q801" s="424"/>
    </row>
    <row r="802" spans="10:17" ht="12.5">
      <c r="J802" s="424"/>
      <c r="Q802" s="424"/>
    </row>
    <row r="803" spans="10:17" ht="12.5">
      <c r="J803" s="424"/>
      <c r="Q803" s="424"/>
    </row>
    <row r="804" spans="10:17" ht="12.5">
      <c r="J804" s="424"/>
      <c r="Q804" s="424"/>
    </row>
    <row r="805" spans="10:17" ht="12.5">
      <c r="J805" s="424"/>
      <c r="Q805" s="424"/>
    </row>
    <row r="806" spans="10:17" ht="12.5">
      <c r="J806" s="424"/>
      <c r="Q806" s="424"/>
    </row>
    <row r="807" spans="10:17" ht="12.5">
      <c r="J807" s="424"/>
      <c r="Q807" s="424"/>
    </row>
    <row r="808" spans="10:17" ht="12.5">
      <c r="J808" s="424"/>
      <c r="Q808" s="424"/>
    </row>
    <row r="809" spans="10:17" ht="12.5">
      <c r="J809" s="424"/>
      <c r="Q809" s="424"/>
    </row>
    <row r="810" spans="10:17" ht="12.5">
      <c r="J810" s="424"/>
      <c r="Q810" s="424"/>
    </row>
    <row r="811" spans="10:17" ht="12.5">
      <c r="J811" s="424"/>
      <c r="Q811" s="424"/>
    </row>
    <row r="812" spans="10:17" ht="12.5">
      <c r="J812" s="424"/>
      <c r="Q812" s="424"/>
    </row>
    <row r="813" spans="10:17" ht="12.5">
      <c r="J813" s="424"/>
      <c r="Q813" s="424"/>
    </row>
    <row r="814" spans="10:17" ht="12.5">
      <c r="J814" s="424"/>
      <c r="Q814" s="424"/>
    </row>
    <row r="815" spans="10:17" ht="12.5">
      <c r="J815" s="424"/>
      <c r="Q815" s="424"/>
    </row>
    <row r="816" spans="10:17" ht="12.5">
      <c r="J816" s="424"/>
      <c r="Q816" s="424"/>
    </row>
    <row r="817" spans="10:17" ht="12.5">
      <c r="J817" s="424"/>
      <c r="Q817" s="424"/>
    </row>
    <row r="818" spans="10:17" ht="12.5">
      <c r="J818" s="424"/>
      <c r="Q818" s="424"/>
    </row>
    <row r="819" spans="10:17" ht="12.5">
      <c r="J819" s="424"/>
      <c r="Q819" s="424"/>
    </row>
    <row r="820" spans="10:17" ht="12.5">
      <c r="J820" s="424"/>
      <c r="Q820" s="424"/>
    </row>
    <row r="821" spans="10:17" ht="12.5">
      <c r="J821" s="424"/>
      <c r="Q821" s="424"/>
    </row>
    <row r="822" spans="10:17" ht="12.5">
      <c r="J822" s="424"/>
      <c r="Q822" s="424"/>
    </row>
    <row r="823" spans="10:17" ht="12.5">
      <c r="J823" s="424"/>
      <c r="Q823" s="424"/>
    </row>
    <row r="824" spans="10:17" ht="12.5">
      <c r="J824" s="424"/>
      <c r="Q824" s="424"/>
    </row>
    <row r="825" spans="10:17" ht="12.5">
      <c r="J825" s="424"/>
      <c r="Q825" s="424"/>
    </row>
    <row r="826" spans="10:17" ht="12.5">
      <c r="J826" s="424"/>
      <c r="Q826" s="424"/>
    </row>
    <row r="827" spans="10:17" ht="12.5">
      <c r="J827" s="424"/>
      <c r="Q827" s="424"/>
    </row>
    <row r="828" spans="10:17" ht="12.5">
      <c r="J828" s="424"/>
      <c r="Q828" s="424"/>
    </row>
    <row r="829" spans="10:17" ht="12.5">
      <c r="J829" s="424"/>
      <c r="Q829" s="424"/>
    </row>
    <row r="830" spans="10:17" ht="12.5">
      <c r="J830" s="424"/>
      <c r="Q830" s="424"/>
    </row>
    <row r="831" spans="10:17" ht="12.5">
      <c r="J831" s="424"/>
      <c r="Q831" s="424"/>
    </row>
    <row r="832" spans="10:17" ht="12.5">
      <c r="J832" s="424"/>
      <c r="Q832" s="424"/>
    </row>
    <row r="833" spans="10:17" ht="12.5">
      <c r="J833" s="424"/>
      <c r="Q833" s="424"/>
    </row>
    <row r="834" spans="10:17" ht="12.5">
      <c r="J834" s="424"/>
      <c r="Q834" s="424"/>
    </row>
    <row r="835" spans="10:17" ht="12.5">
      <c r="J835" s="424"/>
      <c r="Q835" s="424"/>
    </row>
    <row r="836" spans="10:17" ht="12.5">
      <c r="J836" s="424"/>
      <c r="Q836" s="424"/>
    </row>
    <row r="837" spans="10:17" ht="12.5">
      <c r="J837" s="424"/>
      <c r="Q837" s="424"/>
    </row>
    <row r="838" spans="10:17" ht="12.5">
      <c r="J838" s="424"/>
      <c r="Q838" s="424"/>
    </row>
    <row r="839" spans="10:17" ht="12.5">
      <c r="J839" s="424"/>
      <c r="Q839" s="424"/>
    </row>
    <row r="840" spans="10:17" ht="12.5">
      <c r="J840" s="424"/>
      <c r="Q840" s="424"/>
    </row>
    <row r="841" spans="10:17" ht="12.5">
      <c r="J841" s="424"/>
      <c r="Q841" s="424"/>
    </row>
    <row r="842" spans="10:17" ht="12.5">
      <c r="J842" s="424"/>
      <c r="Q842" s="424"/>
    </row>
    <row r="843" spans="10:17" ht="12.5">
      <c r="J843" s="424"/>
      <c r="Q843" s="424"/>
    </row>
    <row r="844" spans="10:17" ht="12.5">
      <c r="J844" s="424"/>
      <c r="Q844" s="424"/>
    </row>
    <row r="845" spans="10:17" ht="12.5">
      <c r="J845" s="424"/>
      <c r="Q845" s="424"/>
    </row>
    <row r="846" spans="10:17" ht="12.5">
      <c r="J846" s="424"/>
      <c r="Q846" s="424"/>
    </row>
    <row r="847" spans="10:17" ht="12.5">
      <c r="J847" s="424"/>
      <c r="Q847" s="424"/>
    </row>
    <row r="848" spans="10:17" ht="12.5">
      <c r="J848" s="424"/>
      <c r="Q848" s="424"/>
    </row>
    <row r="849" spans="10:17" ht="12.5">
      <c r="J849" s="424"/>
      <c r="Q849" s="424"/>
    </row>
    <row r="850" spans="10:17" ht="12.5">
      <c r="J850" s="424"/>
      <c r="Q850" s="424"/>
    </row>
    <row r="851" spans="10:17" ht="12.5">
      <c r="J851" s="424"/>
      <c r="Q851" s="424"/>
    </row>
    <row r="852" spans="10:17" ht="12.5">
      <c r="J852" s="424"/>
      <c r="Q852" s="424"/>
    </row>
    <row r="853" spans="10:17" ht="12.5">
      <c r="J853" s="424"/>
      <c r="Q853" s="424"/>
    </row>
    <row r="854" spans="10:17" ht="12.5">
      <c r="J854" s="424"/>
      <c r="Q854" s="424"/>
    </row>
    <row r="855" spans="10:17" ht="12.5">
      <c r="J855" s="424"/>
      <c r="Q855" s="424"/>
    </row>
    <row r="856" spans="10:17" ht="12.5">
      <c r="J856" s="424"/>
      <c r="Q856" s="424"/>
    </row>
    <row r="857" spans="10:17" ht="12.5">
      <c r="J857" s="424"/>
      <c r="Q857" s="424"/>
    </row>
    <row r="858" spans="10:17" ht="12.5">
      <c r="J858" s="424"/>
      <c r="Q858" s="424"/>
    </row>
    <row r="859" spans="10:17" ht="12.5">
      <c r="J859" s="424"/>
      <c r="Q859" s="424"/>
    </row>
    <row r="860" spans="10:17" ht="12.5">
      <c r="J860" s="424"/>
      <c r="Q860" s="424"/>
    </row>
    <row r="861" spans="10:17" ht="12.5">
      <c r="J861" s="424"/>
      <c r="Q861" s="424"/>
    </row>
    <row r="862" spans="10:17" ht="12.5">
      <c r="J862" s="424"/>
      <c r="Q862" s="424"/>
    </row>
    <row r="863" spans="10:17" ht="12.5">
      <c r="J863" s="424"/>
      <c r="Q863" s="424"/>
    </row>
    <row r="864" spans="10:17" ht="12.5">
      <c r="J864" s="424"/>
      <c r="Q864" s="424"/>
    </row>
    <row r="865" spans="10:17" ht="12.5">
      <c r="J865" s="424"/>
      <c r="Q865" s="424"/>
    </row>
    <row r="866" spans="10:17" ht="12.5">
      <c r="J866" s="424"/>
      <c r="Q866" s="424"/>
    </row>
    <row r="867" spans="10:17" ht="12.5">
      <c r="J867" s="424"/>
      <c r="Q867" s="424"/>
    </row>
    <row r="868" spans="10:17" ht="12.5">
      <c r="J868" s="424"/>
      <c r="Q868" s="424"/>
    </row>
    <row r="869" spans="10:17" ht="12.5">
      <c r="J869" s="424"/>
      <c r="Q869" s="424"/>
    </row>
    <row r="870" spans="10:17" ht="12.5">
      <c r="J870" s="424"/>
      <c r="Q870" s="424"/>
    </row>
    <row r="871" spans="10:17" ht="12.5">
      <c r="J871" s="424"/>
      <c r="Q871" s="424"/>
    </row>
    <row r="872" spans="10:17" ht="12.5">
      <c r="J872" s="424"/>
      <c r="Q872" s="424"/>
    </row>
    <row r="873" spans="10:17" ht="12.5">
      <c r="J873" s="424"/>
      <c r="Q873" s="424"/>
    </row>
    <row r="874" spans="10:17" ht="12.5">
      <c r="J874" s="424"/>
      <c r="Q874" s="424"/>
    </row>
    <row r="875" spans="10:17" ht="12.5">
      <c r="J875" s="424"/>
      <c r="Q875" s="424"/>
    </row>
    <row r="876" spans="10:17" ht="12.5">
      <c r="J876" s="424"/>
      <c r="Q876" s="424"/>
    </row>
    <row r="877" spans="10:17" ht="12.5">
      <c r="J877" s="424"/>
      <c r="Q877" s="424"/>
    </row>
    <row r="878" spans="10:17" ht="12.5">
      <c r="J878" s="424"/>
      <c r="Q878" s="424"/>
    </row>
    <row r="879" spans="10:17" ht="12.5">
      <c r="J879" s="424"/>
      <c r="Q879" s="424"/>
    </row>
    <row r="880" spans="10:17" ht="12.5">
      <c r="J880" s="424"/>
      <c r="Q880" s="424"/>
    </row>
    <row r="881" spans="10:17" ht="12.5">
      <c r="J881" s="424"/>
      <c r="Q881" s="424"/>
    </row>
    <row r="882" spans="10:17" ht="12.5">
      <c r="J882" s="424"/>
      <c r="Q882" s="424"/>
    </row>
    <row r="883" spans="10:17" ht="12.5">
      <c r="J883" s="424"/>
      <c r="Q883" s="424"/>
    </row>
    <row r="884" spans="10:17" ht="12.5">
      <c r="J884" s="424"/>
      <c r="Q884" s="424"/>
    </row>
    <row r="885" spans="10:17" ht="12.5">
      <c r="J885" s="424"/>
      <c r="Q885" s="424"/>
    </row>
    <row r="886" spans="10:17" ht="12.5">
      <c r="J886" s="424"/>
      <c r="Q886" s="424"/>
    </row>
    <row r="887" spans="10:17" ht="12.5">
      <c r="J887" s="424"/>
      <c r="Q887" s="424"/>
    </row>
    <row r="888" spans="10:17" ht="12.5">
      <c r="J888" s="424"/>
      <c r="Q888" s="424"/>
    </row>
    <row r="889" spans="10:17" ht="12.5">
      <c r="J889" s="424"/>
      <c r="Q889" s="424"/>
    </row>
    <row r="890" spans="10:17" ht="12.5">
      <c r="J890" s="424"/>
      <c r="Q890" s="424"/>
    </row>
    <row r="891" spans="10:17" ht="12.5">
      <c r="J891" s="424"/>
      <c r="Q891" s="424"/>
    </row>
    <row r="892" spans="10:17" ht="12.5">
      <c r="J892" s="424"/>
      <c r="Q892" s="424"/>
    </row>
    <row r="893" spans="10:17" ht="12.5">
      <c r="J893" s="424"/>
      <c r="Q893" s="424"/>
    </row>
    <row r="894" spans="10:17" ht="12.5">
      <c r="J894" s="424"/>
      <c r="Q894" s="424"/>
    </row>
    <row r="895" spans="10:17" ht="12.5">
      <c r="J895" s="424"/>
      <c r="Q895" s="424"/>
    </row>
    <row r="896" spans="10:17" ht="12.5">
      <c r="J896" s="424"/>
      <c r="Q896" s="424"/>
    </row>
    <row r="897" spans="10:17" ht="12.5">
      <c r="J897" s="424"/>
      <c r="Q897" s="424"/>
    </row>
    <row r="898" spans="10:17" ht="12.5">
      <c r="J898" s="424"/>
      <c r="Q898" s="424"/>
    </row>
    <row r="899" spans="10:17" ht="12.5">
      <c r="J899" s="424"/>
      <c r="Q899" s="424"/>
    </row>
    <row r="900" spans="10:17" ht="12.5">
      <c r="J900" s="424"/>
      <c r="Q900" s="424"/>
    </row>
    <row r="901" spans="10:17" ht="12.5">
      <c r="J901" s="424"/>
      <c r="Q901" s="424"/>
    </row>
    <row r="902" spans="10:17" ht="12.5">
      <c r="J902" s="424"/>
      <c r="Q902" s="424"/>
    </row>
    <row r="903" spans="10:17" ht="12.5">
      <c r="J903" s="424"/>
      <c r="Q903" s="424"/>
    </row>
    <row r="904" spans="10:17" ht="12.5">
      <c r="J904" s="424"/>
      <c r="Q904" s="424"/>
    </row>
    <row r="905" spans="10:17" ht="12.5">
      <c r="J905" s="424"/>
      <c r="Q905" s="424"/>
    </row>
    <row r="906" spans="10:17" ht="12.5">
      <c r="J906" s="424"/>
      <c r="Q906" s="424"/>
    </row>
    <row r="907" spans="10:17" ht="12.5">
      <c r="J907" s="424"/>
      <c r="Q907" s="424"/>
    </row>
    <row r="908" spans="10:17" ht="12.5">
      <c r="J908" s="424"/>
      <c r="Q908" s="424"/>
    </row>
    <row r="909" spans="10:17" ht="12.5">
      <c r="J909" s="424"/>
      <c r="Q909" s="424"/>
    </row>
    <row r="910" spans="10:17" ht="12.5">
      <c r="J910" s="424"/>
      <c r="Q910" s="424"/>
    </row>
    <row r="911" spans="10:17" ht="12.5">
      <c r="J911" s="424"/>
      <c r="Q911" s="424"/>
    </row>
    <row r="912" spans="10:17" ht="12.5">
      <c r="J912" s="424"/>
      <c r="Q912" s="424"/>
    </row>
    <row r="913" spans="10:17" ht="12.5">
      <c r="J913" s="424"/>
      <c r="Q913" s="424"/>
    </row>
    <row r="914" spans="10:17" ht="12.5">
      <c r="J914" s="424"/>
      <c r="Q914" s="424"/>
    </row>
    <row r="915" spans="10:17" ht="12.5">
      <c r="J915" s="424"/>
      <c r="Q915" s="424"/>
    </row>
    <row r="916" spans="10:17" ht="12.5">
      <c r="J916" s="424"/>
      <c r="Q916" s="424"/>
    </row>
    <row r="917" spans="10:17" ht="12.5">
      <c r="J917" s="424"/>
      <c r="Q917" s="424"/>
    </row>
    <row r="918" spans="10:17" ht="12.5">
      <c r="J918" s="424"/>
      <c r="Q918" s="424"/>
    </row>
    <row r="919" spans="10:17" ht="12.5">
      <c r="J919" s="424"/>
      <c r="Q919" s="424"/>
    </row>
    <row r="920" spans="10:17" ht="12.5">
      <c r="J920" s="424"/>
      <c r="Q920" s="424"/>
    </row>
    <row r="921" spans="10:17" ht="12.5">
      <c r="J921" s="424"/>
      <c r="Q921" s="424"/>
    </row>
    <row r="922" spans="10:17" ht="12.5">
      <c r="J922" s="424"/>
      <c r="Q922" s="424"/>
    </row>
    <row r="923" spans="10:17" ht="12.5">
      <c r="J923" s="424"/>
      <c r="Q923" s="424"/>
    </row>
    <row r="924" spans="10:17" ht="12.5">
      <c r="J924" s="424"/>
      <c r="Q924" s="424"/>
    </row>
    <row r="925" spans="10:17" ht="12.5">
      <c r="J925" s="424"/>
      <c r="Q925" s="424"/>
    </row>
    <row r="926" spans="10:17" ht="12.5">
      <c r="J926" s="424"/>
      <c r="Q926" s="424"/>
    </row>
    <row r="927" spans="10:17" ht="12.5">
      <c r="J927" s="424"/>
      <c r="Q927" s="424"/>
    </row>
    <row r="928" spans="10:17" ht="12.5">
      <c r="J928" s="424"/>
      <c r="Q928" s="424"/>
    </row>
    <row r="929" spans="10:17" ht="12.5">
      <c r="J929" s="424"/>
      <c r="Q929" s="424"/>
    </row>
    <row r="930" spans="10:17" ht="12.5">
      <c r="J930" s="424"/>
      <c r="Q930" s="424"/>
    </row>
    <row r="931" spans="10:17" ht="12.5">
      <c r="J931" s="424"/>
      <c r="Q931" s="424"/>
    </row>
    <row r="932" spans="10:17" ht="12.5">
      <c r="J932" s="424"/>
      <c r="Q932" s="424"/>
    </row>
    <row r="933" spans="10:17" ht="12.5">
      <c r="J933" s="424"/>
      <c r="Q933" s="424"/>
    </row>
    <row r="934" spans="10:17" ht="12.5">
      <c r="J934" s="424"/>
      <c r="Q934" s="424"/>
    </row>
    <row r="935" spans="10:17" ht="12.5">
      <c r="J935" s="424"/>
      <c r="Q935" s="424"/>
    </row>
    <row r="936" spans="10:17" ht="12.5">
      <c r="J936" s="424"/>
      <c r="Q936" s="424"/>
    </row>
    <row r="937" spans="10:17" ht="12.5">
      <c r="J937" s="424"/>
      <c r="Q937" s="424"/>
    </row>
    <row r="938" spans="10:17" ht="12.5">
      <c r="J938" s="424"/>
      <c r="Q938" s="424"/>
    </row>
    <row r="939" spans="10:17" ht="12.5">
      <c r="J939" s="424"/>
      <c r="Q939" s="424"/>
    </row>
    <row r="940" spans="10:17" ht="12.5">
      <c r="J940" s="424"/>
      <c r="Q940" s="424"/>
    </row>
    <row r="941" spans="10:17" ht="12.5">
      <c r="J941" s="424"/>
      <c r="Q941" s="424"/>
    </row>
    <row r="942" spans="10:17" ht="12.5">
      <c r="J942" s="424"/>
      <c r="Q942" s="424"/>
    </row>
    <row r="943" spans="10:17" ht="12.5">
      <c r="J943" s="424"/>
      <c r="Q943" s="424"/>
    </row>
    <row r="944" spans="10:17" ht="12.5">
      <c r="J944" s="424"/>
      <c r="Q944" s="424"/>
    </row>
    <row r="945" spans="10:17" ht="12.5">
      <c r="J945" s="424"/>
      <c r="Q945" s="424"/>
    </row>
    <row r="946" spans="10:17" ht="12.5">
      <c r="J946" s="424"/>
      <c r="Q946" s="424"/>
    </row>
    <row r="947" spans="10:17" ht="12.5">
      <c r="J947" s="424"/>
      <c r="Q947" s="424"/>
    </row>
    <row r="948" spans="10:17" ht="12.5">
      <c r="J948" s="424"/>
      <c r="Q948" s="424"/>
    </row>
    <row r="949" spans="10:17" ht="12.5">
      <c r="J949" s="424"/>
      <c r="Q949" s="424"/>
    </row>
    <row r="950" spans="10:17" ht="12.5">
      <c r="J950" s="424"/>
      <c r="Q950" s="424"/>
    </row>
    <row r="951" spans="10:17" ht="12.5">
      <c r="J951" s="424"/>
      <c r="Q951" s="424"/>
    </row>
    <row r="952" spans="10:17" ht="12.5">
      <c r="J952" s="424"/>
      <c r="Q952" s="424"/>
    </row>
    <row r="953" spans="10:17" ht="12.5">
      <c r="J953" s="424"/>
      <c r="Q953" s="424"/>
    </row>
    <row r="954" spans="10:17" ht="12.5">
      <c r="J954" s="424"/>
      <c r="Q954" s="424"/>
    </row>
    <row r="955" spans="10:17" ht="12.5">
      <c r="J955" s="424"/>
      <c r="Q955" s="424"/>
    </row>
    <row r="956" spans="10:17" ht="12.5">
      <c r="J956" s="424"/>
      <c r="Q956" s="424"/>
    </row>
    <row r="957" spans="10:17" ht="12.5">
      <c r="J957" s="424"/>
      <c r="Q957" s="424"/>
    </row>
    <row r="958" spans="10:17" ht="12.5">
      <c r="J958" s="424"/>
      <c r="Q958" s="424"/>
    </row>
    <row r="959" spans="10:17" ht="12.5">
      <c r="J959" s="424"/>
      <c r="Q959" s="424"/>
    </row>
    <row r="960" spans="10:17" ht="12.5">
      <c r="J960" s="424"/>
      <c r="Q960" s="424"/>
    </row>
    <row r="961" spans="10:17" ht="12.5">
      <c r="J961" s="424"/>
      <c r="Q961" s="424"/>
    </row>
    <row r="962" spans="10:17" ht="12.5">
      <c r="J962" s="424"/>
      <c r="Q962" s="424"/>
    </row>
    <row r="963" spans="10:17" ht="12.5">
      <c r="J963" s="424"/>
      <c r="Q963" s="424"/>
    </row>
    <row r="964" spans="10:17" ht="12.5">
      <c r="J964" s="424"/>
      <c r="Q964" s="424"/>
    </row>
    <row r="965" spans="10:17" ht="12.5">
      <c r="J965" s="424"/>
      <c r="Q965" s="424"/>
    </row>
    <row r="966" spans="10:17" ht="12.5">
      <c r="J966" s="424"/>
      <c r="Q966" s="424"/>
    </row>
    <row r="967" spans="10:17" ht="12.5">
      <c r="J967" s="424"/>
      <c r="Q967" s="424"/>
    </row>
    <row r="968" spans="10:17" ht="12.5">
      <c r="J968" s="424"/>
      <c r="Q968" s="424"/>
    </row>
    <row r="969" spans="10:17" ht="12.5">
      <c r="J969" s="424"/>
      <c r="Q969" s="424"/>
    </row>
    <row r="970" spans="10:17" ht="12.5">
      <c r="J970" s="424"/>
      <c r="Q970" s="424"/>
    </row>
    <row r="971" spans="10:17" ht="12.5">
      <c r="J971" s="424"/>
      <c r="Q971" s="424"/>
    </row>
    <row r="972" spans="10:17" ht="12.5">
      <c r="J972" s="424"/>
      <c r="Q972" s="424"/>
    </row>
    <row r="973" spans="10:17" ht="12.5">
      <c r="J973" s="424"/>
      <c r="Q973" s="424"/>
    </row>
    <row r="974" spans="10:17" ht="12.5">
      <c r="J974" s="424"/>
      <c r="Q974" s="424"/>
    </row>
    <row r="975" spans="10:17" ht="12.5">
      <c r="J975" s="424"/>
      <c r="Q975" s="424"/>
    </row>
    <row r="976" spans="10:17" ht="12.5">
      <c r="J976" s="424"/>
      <c r="Q976" s="424"/>
    </row>
    <row r="977" spans="10:17" ht="12.5">
      <c r="J977" s="424"/>
      <c r="Q977" s="424"/>
    </row>
    <row r="978" spans="10:17" ht="12.5">
      <c r="J978" s="424"/>
      <c r="Q978" s="424"/>
    </row>
    <row r="979" spans="10:17" ht="12.5">
      <c r="J979" s="424"/>
      <c r="Q979" s="424"/>
    </row>
    <row r="980" spans="10:17" ht="12.5">
      <c r="J980" s="424"/>
      <c r="Q980" s="424"/>
    </row>
    <row r="981" spans="10:17" ht="12.5">
      <c r="J981" s="424"/>
      <c r="Q981" s="424"/>
    </row>
    <row r="982" spans="10:17" ht="12.5">
      <c r="J982" s="424"/>
      <c r="Q982" s="424"/>
    </row>
    <row r="983" spans="10:17" ht="12.5">
      <c r="J983" s="424"/>
      <c r="Q983" s="424"/>
    </row>
    <row r="984" spans="10:17" ht="12.5">
      <c r="J984" s="424"/>
      <c r="Q984" s="424"/>
    </row>
    <row r="985" spans="10:17" ht="12.5">
      <c r="J985" s="424"/>
      <c r="Q985" s="424"/>
    </row>
    <row r="986" spans="10:17" ht="12.5">
      <c r="J986" s="424"/>
      <c r="Q986" s="424"/>
    </row>
    <row r="987" spans="10:17" ht="12.5">
      <c r="J987" s="424"/>
      <c r="Q987" s="424"/>
    </row>
    <row r="988" spans="10:17" ht="12.5">
      <c r="J988" s="424"/>
      <c r="Q988" s="424"/>
    </row>
    <row r="989" spans="10:17" ht="12.5">
      <c r="J989" s="424"/>
      <c r="Q989" s="424"/>
    </row>
    <row r="990" spans="10:17" ht="12.5">
      <c r="J990" s="424"/>
      <c r="Q990" s="424"/>
    </row>
    <row r="991" spans="10:17" ht="12.5">
      <c r="J991" s="424"/>
      <c r="Q991" s="424"/>
    </row>
    <row r="992" spans="10:17" ht="12.5">
      <c r="J992" s="424"/>
      <c r="Q992" s="424"/>
    </row>
    <row r="993" spans="10:17" ht="12.5">
      <c r="J993" s="424"/>
      <c r="Q993" s="424"/>
    </row>
    <row r="994" spans="10:17" ht="12.5">
      <c r="J994" s="424"/>
      <c r="Q994" s="424"/>
    </row>
    <row r="995" spans="10:17" ht="12.5">
      <c r="J995" s="424"/>
      <c r="Q995" s="424"/>
    </row>
    <row r="996" spans="10:17" ht="12.5">
      <c r="J996" s="424"/>
      <c r="Q996" s="424"/>
    </row>
    <row r="997" spans="10:17" ht="12.5">
      <c r="J997" s="424"/>
      <c r="Q997" s="424"/>
    </row>
    <row r="998" spans="10:17" ht="12.5">
      <c r="J998" s="424"/>
      <c r="Q998" s="424"/>
    </row>
    <row r="999" spans="10:17" ht="12.5">
      <c r="J999" s="424"/>
      <c r="Q999" s="424"/>
    </row>
    <row r="1000" spans="10:17" ht="12.5">
      <c r="J1000" s="424"/>
      <c r="Q1000" s="424"/>
    </row>
    <row r="1001" spans="10:17" ht="12.5">
      <c r="J1001" s="424"/>
      <c r="Q1001" s="424"/>
    </row>
    <row r="1002" spans="10:17" ht="12.5">
      <c r="J1002" s="424"/>
      <c r="Q1002" s="424"/>
    </row>
    <row r="1003" spans="10:17" ht="12.5">
      <c r="J1003" s="424"/>
      <c r="Q1003" s="424"/>
    </row>
    <row r="1004" spans="10:17" ht="12.5">
      <c r="J1004" s="424"/>
      <c r="Q1004" s="424"/>
    </row>
  </sheetData>
  <mergeCells count="8">
    <mergeCell ref="AL1:AR1"/>
    <mergeCell ref="A8:A19"/>
    <mergeCell ref="A33:A44"/>
    <mergeCell ref="C1:I1"/>
    <mergeCell ref="J1:P1"/>
    <mergeCell ref="Q1:W1"/>
    <mergeCell ref="X1:AD1"/>
    <mergeCell ref="AE1:AK1"/>
  </mergeCells>
  <dataValidations count="1">
    <dataValidation type="list" allowBlank="1" showErrorMessage="1" sqref="AE8:AR9 AE10 AK10:AR10 AE11:AR18 AE19:AJ19 AE20:AR20" xr:uid="{00000000-0002-0000-0800-000000000000}">
      <formula1>#REF!</formula1>
    </dataValidation>
  </dataValidations>
  <hyperlinks>
    <hyperlink ref="B7" r:id="rId1" xr:uid="{00000000-0004-0000-0800-000000000000}"/>
    <hyperlink ref="B8" r:id="rId2" xr:uid="{00000000-0004-0000-0800-000001000000}"/>
    <hyperlink ref="B9" r:id="rId3" xr:uid="{00000000-0004-0000-0800-000002000000}"/>
    <hyperlink ref="B10" r:id="rId4" xr:uid="{00000000-0004-0000-0800-000003000000}"/>
    <hyperlink ref="B11" r:id="rId5" xr:uid="{00000000-0004-0000-0800-000004000000}"/>
    <hyperlink ref="B12" r:id="rId6" xr:uid="{00000000-0004-0000-0800-000005000000}"/>
    <hyperlink ref="B13" r:id="rId7" xr:uid="{00000000-0004-0000-0800-000006000000}"/>
    <hyperlink ref="B14" r:id="rId8" xr:uid="{00000000-0004-0000-0800-000007000000}"/>
    <hyperlink ref="B15" r:id="rId9" xr:uid="{00000000-0004-0000-0800-000008000000}"/>
    <hyperlink ref="B16" r:id="rId10" xr:uid="{00000000-0004-0000-0800-000009000000}"/>
    <hyperlink ref="B17" r:id="rId11" xr:uid="{00000000-0004-0000-0800-00000A000000}"/>
    <hyperlink ref="B18" r:id="rId12" xr:uid="{00000000-0004-0000-0800-00000B000000}"/>
    <hyperlink ref="B19" r:id="rId13" xr:uid="{00000000-0004-0000-0800-00000C000000}"/>
  </hyperlinks>
  <pageMargins left="0.7" right="0.7" top="0.75" bottom="0.75" header="0.3" footer="0.3"/>
  <drawing r:id="rId14"/>
  <legacyDrawing r:id="rId15"/>
  <tableParts count="8"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docMetadata/LabelInfo.xml><?xml version="1.0" encoding="utf-8"?>
<clbl:labelList xmlns:clbl="http://schemas.microsoft.com/office/2020/mipLabelMetadata">
  <clbl:label id="{d9290083-bd2f-48a2-8ac5-09a524b17d15}" enabled="1" method="Privileged" siteId="{b9fec68c-c92d-461e-9a97-3d03a0f18b8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FO NEW</vt:lpstr>
      <vt:lpstr>SUP--</vt:lpstr>
      <vt:lpstr>New BO</vt:lpstr>
      <vt:lpstr>VUS</vt:lpstr>
      <vt:lpstr>BO</vt:lpstr>
      <vt:lpstr>FO2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SADIKI, Zouhair</dc:creator>
  <cp:lastModifiedBy>SADIKI, Zouhair</cp:lastModifiedBy>
  <dcterms:created xsi:type="dcterms:W3CDTF">2026-05-13T11:59:05Z</dcterms:created>
  <dcterms:modified xsi:type="dcterms:W3CDTF">2026-06-15T11:23:43Z</dcterms:modified>
</cp:coreProperties>
</file>